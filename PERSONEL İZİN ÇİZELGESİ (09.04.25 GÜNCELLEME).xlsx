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BuÇalışmaKitabı" defaultThemeVersion="124226"/>
  <mc:AlternateContent xmlns:mc="http://schemas.openxmlformats.org/markup-compatibility/2006">
    <mc:Choice Requires="x15">
      <x15ac:absPath xmlns:x15ac="http://schemas.microsoft.com/office/spreadsheetml/2010/11/ac" url="\\192.168.1.103\Ortak-Server\14-PERSONEL ÖZLÜK DOSYASI\3-İZİN DOSYASI\"/>
    </mc:Choice>
  </mc:AlternateContent>
  <bookViews>
    <workbookView xWindow="0" yWindow="0" windowWidth="13155" windowHeight="11565" tabRatio="958"/>
  </bookViews>
  <sheets>
    <sheet name="ANA SAYFA" sheetId="4" r:id="rId1"/>
    <sheet name="1" sheetId="1" r:id="rId2"/>
    <sheet name="2" sheetId="315" r:id="rId3"/>
    <sheet name="3" sheetId="317" r:id="rId4"/>
    <sheet name="4" sheetId="316" r:id="rId5"/>
    <sheet name="5" sheetId="318" r:id="rId6"/>
    <sheet name="6" sheetId="319" r:id="rId7"/>
    <sheet name="7" sheetId="320" r:id="rId8"/>
    <sheet name="8" sheetId="321" r:id="rId9"/>
    <sheet name="9" sheetId="322" r:id="rId10"/>
    <sheet name="10" sheetId="323" r:id="rId11"/>
    <sheet name="11" sheetId="324" r:id="rId12"/>
    <sheet name="12" sheetId="325" r:id="rId13"/>
    <sheet name="13" sheetId="326" r:id="rId14"/>
    <sheet name="14" sheetId="327" r:id="rId15"/>
    <sheet name="15" sheetId="328" r:id="rId16"/>
    <sheet name="16" sheetId="329" r:id="rId17"/>
    <sheet name="17" sheetId="330" r:id="rId18"/>
    <sheet name="18" sheetId="331" r:id="rId19"/>
    <sheet name="19" sheetId="332" r:id="rId20"/>
    <sheet name="20" sheetId="333" r:id="rId21"/>
    <sheet name="21" sheetId="334" r:id="rId22"/>
    <sheet name="22" sheetId="335" r:id="rId23"/>
    <sheet name="23" sheetId="336" r:id="rId24"/>
    <sheet name="24" sheetId="337" r:id="rId25"/>
    <sheet name="25" sheetId="345" r:id="rId26"/>
    <sheet name="26" sheetId="346" r:id="rId27"/>
    <sheet name="27" sheetId="347" r:id="rId28"/>
    <sheet name="28" sheetId="348" r:id="rId29"/>
    <sheet name="29" sheetId="349" r:id="rId30"/>
    <sheet name="30" sheetId="350" r:id="rId31"/>
    <sheet name="31" sheetId="351" r:id="rId32"/>
    <sheet name="32" sheetId="352" r:id="rId33"/>
    <sheet name="33" sheetId="353" r:id="rId34"/>
    <sheet name="34" sheetId="354" r:id="rId35"/>
    <sheet name="35" sheetId="355" r:id="rId36"/>
    <sheet name="36" sheetId="356" r:id="rId37"/>
    <sheet name="37" sheetId="357" r:id="rId38"/>
    <sheet name="38" sheetId="358" r:id="rId39"/>
    <sheet name="39" sheetId="359" r:id="rId40"/>
    <sheet name="40" sheetId="371" r:id="rId41"/>
    <sheet name="41" sheetId="361" r:id="rId42"/>
    <sheet name="42" sheetId="362" r:id="rId43"/>
    <sheet name="43" sheetId="363" r:id="rId44"/>
    <sheet name="44" sheetId="364" r:id="rId45"/>
    <sheet name="45" sheetId="365" r:id="rId46"/>
    <sheet name="46" sheetId="366" r:id="rId47"/>
    <sheet name="47" sheetId="372" r:id="rId48"/>
    <sheet name="48" sheetId="368" r:id="rId49"/>
    <sheet name="49" sheetId="369" r:id="rId50"/>
    <sheet name="50" sheetId="370" r:id="rId51"/>
    <sheet name="51" sheetId="373" r:id="rId52"/>
    <sheet name="52" sheetId="374" r:id="rId53"/>
    <sheet name="53" sheetId="375" r:id="rId54"/>
    <sheet name="54" sheetId="376" r:id="rId55"/>
    <sheet name="55" sheetId="377" r:id="rId56"/>
    <sheet name="56" sheetId="378" r:id="rId57"/>
    <sheet name="57" sheetId="379" r:id="rId58"/>
    <sheet name="58" sheetId="380" r:id="rId59"/>
    <sheet name="59" sheetId="381" r:id="rId60"/>
    <sheet name="60" sheetId="382" r:id="rId61"/>
    <sheet name="61" sheetId="383" r:id="rId62"/>
    <sheet name="62" sheetId="384" r:id="rId63"/>
    <sheet name="63" sheetId="385" r:id="rId64"/>
    <sheet name="64" sheetId="386" r:id="rId65"/>
    <sheet name="65" sheetId="387" r:id="rId66"/>
    <sheet name="66" sheetId="388" r:id="rId67"/>
    <sheet name="67" sheetId="389" r:id="rId68"/>
    <sheet name="68" sheetId="390" r:id="rId69"/>
    <sheet name="69" sheetId="391" r:id="rId70"/>
    <sheet name="70" sheetId="392" r:id="rId71"/>
    <sheet name="71" sheetId="393" r:id="rId72"/>
    <sheet name="72" sheetId="394" r:id="rId73"/>
    <sheet name="73" sheetId="395" r:id="rId74"/>
    <sheet name="74" sheetId="396" r:id="rId75"/>
    <sheet name="Sayfa1" sheetId="462" r:id="rId76"/>
    <sheet name="75" sheetId="397" r:id="rId77"/>
    <sheet name="76" sheetId="398" r:id="rId78"/>
    <sheet name="77" sheetId="403" r:id="rId79"/>
    <sheet name="78" sheetId="399" r:id="rId80"/>
    <sheet name="79" sheetId="400" r:id="rId81"/>
    <sheet name="80" sheetId="401" r:id="rId82"/>
    <sheet name="81" sheetId="402" r:id="rId83"/>
    <sheet name="82" sheetId="404" r:id="rId84"/>
    <sheet name="83" sheetId="405" r:id="rId85"/>
    <sheet name="84" sheetId="406" r:id="rId86"/>
    <sheet name="85" sheetId="407" r:id="rId87"/>
    <sheet name="86" sheetId="408" r:id="rId88"/>
    <sheet name="87" sheetId="409" r:id="rId89"/>
    <sheet name="88" sheetId="410" r:id="rId90"/>
    <sheet name="89" sheetId="411" r:id="rId91"/>
    <sheet name="90" sheetId="412" r:id="rId92"/>
    <sheet name="91" sheetId="413" r:id="rId93"/>
    <sheet name="92" sheetId="414" r:id="rId94"/>
    <sheet name="93" sheetId="415" r:id="rId95"/>
    <sheet name="94" sheetId="416" r:id="rId96"/>
    <sheet name="95" sheetId="417" r:id="rId97"/>
    <sheet name="96" sheetId="418" r:id="rId98"/>
    <sheet name="97" sheetId="419" r:id="rId99"/>
    <sheet name="98" sheetId="420" r:id="rId100"/>
    <sheet name="99" sheetId="421" r:id="rId101"/>
    <sheet name="100" sheetId="422" r:id="rId102"/>
    <sheet name="101" sheetId="423" r:id="rId103"/>
    <sheet name="102" sheetId="424" r:id="rId104"/>
    <sheet name="103." sheetId="427" r:id="rId105"/>
    <sheet name="104." sheetId="428" r:id="rId106"/>
    <sheet name="105." sheetId="429" r:id="rId107"/>
    <sheet name="106." sheetId="430" r:id="rId108"/>
    <sheet name="108" sheetId="431" r:id="rId109"/>
    <sheet name="109" sheetId="432" r:id="rId110"/>
    <sheet name="107" sheetId="426" r:id="rId111"/>
    <sheet name="110" sheetId="433" r:id="rId112"/>
    <sheet name="111." sheetId="434" r:id="rId113"/>
    <sheet name="112" sheetId="435" r:id="rId114"/>
    <sheet name="113" sheetId="436" r:id="rId115"/>
    <sheet name="114" sheetId="437" r:id="rId116"/>
    <sheet name="115" sheetId="438" r:id="rId117"/>
    <sheet name="116" sheetId="439" r:id="rId118"/>
    <sheet name="117" sheetId="440" r:id="rId119"/>
    <sheet name="118" sheetId="441" r:id="rId120"/>
    <sheet name="119" sheetId="445" r:id="rId121"/>
    <sheet name="120" sheetId="442" r:id="rId122"/>
    <sheet name="121" sheetId="443" r:id="rId123"/>
    <sheet name="122" sheetId="447" r:id="rId124"/>
    <sheet name="123" sheetId="448" r:id="rId125"/>
    <sheet name="124" sheetId="449" r:id="rId126"/>
    <sheet name="125" sheetId="450" r:id="rId127"/>
    <sheet name="126" sheetId="451" r:id="rId128"/>
    <sheet name="127" sheetId="453" r:id="rId129"/>
    <sheet name="128" sheetId="454" r:id="rId130"/>
    <sheet name="129" sheetId="455" r:id="rId131"/>
    <sheet name="130" sheetId="456" r:id="rId132"/>
    <sheet name="131" sheetId="457" r:id="rId133"/>
    <sheet name="132" sheetId="458" r:id="rId134"/>
    <sheet name="133" sheetId="459" r:id="rId135"/>
    <sheet name="134" sheetId="460" r:id="rId136"/>
    <sheet name="135" sheetId="461" r:id="rId137"/>
    <sheet name="136" sheetId="463" r:id="rId138"/>
    <sheet name="137" sheetId="465" r:id="rId139"/>
    <sheet name="138" sheetId="467" r:id="rId140"/>
    <sheet name="139" sheetId="468" r:id="rId141"/>
    <sheet name="140" sheetId="469" r:id="rId142"/>
    <sheet name="141" sheetId="470" r:id="rId143"/>
    <sheet name="142" sheetId="471" r:id="rId144"/>
    <sheet name="143" sheetId="472" r:id="rId145"/>
    <sheet name="144" sheetId="473" r:id="rId146"/>
  </sheets>
  <definedNames>
    <definedName name="_xlnm._FilterDatabase" localSheetId="14" hidden="1">'14'!$A$6:$D$20</definedName>
    <definedName name="_xlnm._FilterDatabase" localSheetId="0" hidden="1">'ANA SAYFA'!$A$1:$G$1</definedName>
    <definedName name="ÇALIŞILAN_FİRMA__SEÇ">'ANA SAYFA'!$B$1</definedName>
    <definedName name="ÇALIŞILAN_FİRMA_SEÇ">'ANA SAYFA'!$B$1</definedName>
    <definedName name="_xlnm.Print_Area" localSheetId="10">'10'!$A$1:$H$47</definedName>
    <definedName name="_xlnm.Print_Area" localSheetId="101">'100'!$A$1:$H$31</definedName>
    <definedName name="_xlnm.Print_Area" localSheetId="103">'102'!$A$1:$H$36</definedName>
    <definedName name="_xlnm.Print_Area" localSheetId="104">'103.'!$A$1:$H$35</definedName>
    <definedName name="_xlnm.Print_Area" localSheetId="105">'104.'!$A$1:$H$27</definedName>
    <definedName name="_xlnm.Print_Area" localSheetId="106">'105.'!$A$1:$H$35</definedName>
    <definedName name="_xlnm.Print_Area" localSheetId="110">'107'!$A$1:$H$40</definedName>
    <definedName name="_xlnm.Print_Area" localSheetId="108">'108'!$A$1:$H$30</definedName>
    <definedName name="_xlnm.Print_Area" localSheetId="109">'109'!$A$1:$H$34</definedName>
    <definedName name="_xlnm.Print_Area" localSheetId="11">'11'!$A$1:$H$36</definedName>
    <definedName name="_xlnm.Print_Area" localSheetId="111">'110'!$A$1:$H$34</definedName>
    <definedName name="_xlnm.Print_Area" localSheetId="112">'111.'!$A$1:$H$40</definedName>
    <definedName name="_xlnm.Print_Area" localSheetId="113">'112'!$A$1:$H$25</definedName>
    <definedName name="_xlnm.Print_Area" localSheetId="114">'113'!$A$1:$H$40</definedName>
    <definedName name="_xlnm.Print_Area" localSheetId="115">'114'!$A$1:$H$35</definedName>
    <definedName name="_xlnm.Print_Area" localSheetId="116">'115'!$A$1:$H$36</definedName>
    <definedName name="_xlnm.Print_Area" localSheetId="117">'116'!$A$1:$H$35</definedName>
    <definedName name="_xlnm.Print_Area" localSheetId="118">'117'!$A$1:$H$43</definedName>
    <definedName name="_xlnm.Print_Area" localSheetId="119">'118'!$A$1:$K$40</definedName>
    <definedName name="_xlnm.Print_Area" localSheetId="120">'119'!$A$1:$H$35</definedName>
    <definedName name="_xlnm.Print_Area" localSheetId="12">'12'!$A$1:$H$29</definedName>
    <definedName name="_xlnm.Print_Area" localSheetId="121">'120'!$A$1:$H$36</definedName>
    <definedName name="_xlnm.Print_Area" localSheetId="122">'121'!$A$1:$H$33</definedName>
    <definedName name="_xlnm.Print_Area" localSheetId="123">'122'!$A$1:$H$33</definedName>
    <definedName name="_xlnm.Print_Area" localSheetId="124">'123'!$A$1:$H$33</definedName>
    <definedName name="_xlnm.Print_Area" localSheetId="125">'124'!$A$1:$H$33</definedName>
    <definedName name="_xlnm.Print_Area" localSheetId="126">'125'!$A$1:$H$32</definedName>
    <definedName name="_xlnm.Print_Area" localSheetId="127">'126'!$A$1:$H$34</definedName>
    <definedName name="_xlnm.Print_Area" localSheetId="128">'127'!$A$1:$H$33</definedName>
    <definedName name="_xlnm.Print_Area" localSheetId="129">'128'!$A$1:$H$33</definedName>
    <definedName name="_xlnm.Print_Area" localSheetId="130">'129'!$A$1:$H$33</definedName>
    <definedName name="_xlnm.Print_Area" localSheetId="13">'13'!$A$1:$H$36</definedName>
    <definedName name="_xlnm.Print_Area" localSheetId="131">'130'!$A$1:$H$34</definedName>
    <definedName name="_xlnm.Print_Area" localSheetId="132">'131'!$A$1:$H$34</definedName>
    <definedName name="_xlnm.Print_Area" localSheetId="133">'132'!$A$1:$H$33</definedName>
    <definedName name="_xlnm.Print_Area" localSheetId="134">'133'!$A$1:$H$33</definedName>
    <definedName name="_xlnm.Print_Area" localSheetId="135">'134'!$A$1:$H$34</definedName>
    <definedName name="_xlnm.Print_Area" localSheetId="14">'14'!$A$1:$H$43</definedName>
    <definedName name="_xlnm.Print_Area" localSheetId="15">'15'!$A$1:$H$33</definedName>
    <definedName name="_xlnm.Print_Area" localSheetId="16">'16'!$A$1:$H$39</definedName>
    <definedName name="_xlnm.Print_Area" localSheetId="18">'18'!$A$1:$H$31</definedName>
    <definedName name="_xlnm.Print_Area" localSheetId="19">'19'!$A$1:$H$30</definedName>
    <definedName name="_xlnm.Print_Area" localSheetId="20">'20'!$A$1:$H$43</definedName>
    <definedName name="_xlnm.Print_Area" localSheetId="21">'21'!$A$1:$H$35</definedName>
    <definedName name="_xlnm.Print_Area" localSheetId="22">'22'!$A$1:$I$40</definedName>
    <definedName name="_xlnm.Print_Area" localSheetId="23">'23'!$A$1:$H$37</definedName>
    <definedName name="_xlnm.Print_Area" localSheetId="24">'24'!$A$1:$H$44</definedName>
    <definedName name="_xlnm.Print_Area" localSheetId="25">'25'!$A$1:$H$37</definedName>
    <definedName name="_xlnm.Print_Area" localSheetId="26">'26'!$A$1:$H$56</definedName>
    <definedName name="_xlnm.Print_Area" localSheetId="27">'27'!$A$1:$H$29</definedName>
    <definedName name="_xlnm.Print_Area" localSheetId="28">'28'!$A$1:$H$32</definedName>
    <definedName name="_xlnm.Print_Area" localSheetId="29">'29'!$A$1:$H$37</definedName>
    <definedName name="_xlnm.Print_Area" localSheetId="30">'30'!$A$1:$H$44</definedName>
    <definedName name="_xlnm.Print_Area" localSheetId="31">'31'!$A$1:$H$70</definedName>
    <definedName name="_xlnm.Print_Area" localSheetId="32">'32'!$A$1:$H$34</definedName>
    <definedName name="_xlnm.Print_Area" localSheetId="33">'33'!$A$1:$I$62</definedName>
    <definedName name="_xlnm.Print_Area" localSheetId="34">'34'!$A$1:$H$44</definedName>
    <definedName name="_xlnm.Print_Area" localSheetId="35">'35'!$A$1:$H$38</definedName>
    <definedName name="_xlnm.Print_Area" localSheetId="36">'36'!$A$1:$H$54</definedName>
    <definedName name="_xlnm.Print_Area" localSheetId="37">'37'!$A$1:$H$36</definedName>
    <definedName name="_xlnm.Print_Area" localSheetId="38">'38'!$A$1:$H$45</definedName>
    <definedName name="_xlnm.Print_Area" localSheetId="39">'39'!$A$1:$H$63</definedName>
    <definedName name="_xlnm.Print_Area" localSheetId="4">'4'!$A$1:$H$35</definedName>
    <definedName name="_xlnm.Print_Area" localSheetId="40">'40'!$A$1:$H$36</definedName>
    <definedName name="_xlnm.Print_Area" localSheetId="42">'42'!$A$1:$H$43</definedName>
    <definedName name="_xlnm.Print_Area" localSheetId="43">'43'!$A$1:$H$42</definedName>
    <definedName name="_xlnm.Print_Area" localSheetId="44">'44'!$A$1:$H$41</definedName>
    <definedName name="_xlnm.Print_Area" localSheetId="45">'45'!$A$1:$H$34</definedName>
    <definedName name="_xlnm.Print_Area" localSheetId="46">'46'!$A$1:$H$69</definedName>
    <definedName name="_xlnm.Print_Area" localSheetId="47">'47'!$A$1:$H$46</definedName>
    <definedName name="_xlnm.Print_Area" localSheetId="48">'48'!$A$1:$H$47</definedName>
    <definedName name="_xlnm.Print_Area" localSheetId="49">'49'!$A$1:$H$42</definedName>
    <definedName name="_xlnm.Print_Area" localSheetId="50">'50'!$A$1:$H$55</definedName>
    <definedName name="_xlnm.Print_Area" localSheetId="51">'51'!$A$1:$H$93</definedName>
    <definedName name="_xlnm.Print_Area" localSheetId="52">'52'!$A$1:$H$37</definedName>
    <definedName name="_xlnm.Print_Area" localSheetId="53">'53'!$A$1:$H$41</definedName>
    <definedName name="_xlnm.Print_Area" localSheetId="54">'54'!$A$1:$H$120</definedName>
    <definedName name="_xlnm.Print_Area" localSheetId="55">'55'!$A$1:$H$39</definedName>
    <definedName name="_xlnm.Print_Area" localSheetId="56">'56'!$A$1:$H$51</definedName>
    <definedName name="_xlnm.Print_Area" localSheetId="57">'57'!$A$1:$H$49</definedName>
    <definedName name="_xlnm.Print_Area" localSheetId="58">'58'!$A$1:$H$43</definedName>
    <definedName name="_xlnm.Print_Area" localSheetId="59">'59'!$A$1:$H$45</definedName>
    <definedName name="_xlnm.Print_Area" localSheetId="61">'61'!$A$1:$H$36</definedName>
    <definedName name="_xlnm.Print_Area" localSheetId="62">'62'!$A$1:$H$40</definedName>
    <definedName name="_xlnm.Print_Area" localSheetId="63">'63'!$A$1:$H$49</definedName>
    <definedName name="_xlnm.Print_Area" localSheetId="64">'64'!$A$1:$H$37</definedName>
    <definedName name="_xlnm.Print_Area" localSheetId="65">'65'!$A$1:$H$36</definedName>
    <definedName name="_xlnm.Print_Area" localSheetId="66">'66'!$A$1:$H$60</definedName>
    <definedName name="_xlnm.Print_Area" localSheetId="67">'67'!$A$1:$H$33</definedName>
    <definedName name="_xlnm.Print_Area" localSheetId="68">'68'!$A$1:$H$34</definedName>
    <definedName name="_xlnm.Print_Area" localSheetId="69">'69'!$A$1:$H$37</definedName>
    <definedName name="_xlnm.Print_Area" localSheetId="70">'70'!$A$1:$H$29</definedName>
    <definedName name="_xlnm.Print_Area" localSheetId="71">'71'!$A$1:$H$37</definedName>
    <definedName name="_xlnm.Print_Area" localSheetId="76">'75'!$A$1:$H$39</definedName>
    <definedName name="_xlnm.Print_Area" localSheetId="77">'76'!$A$1:$H$38</definedName>
    <definedName name="_xlnm.Print_Area" localSheetId="78">'77'!$A$1:$H$41</definedName>
    <definedName name="_xlnm.Print_Area" localSheetId="79">'78'!$A$1:$H$35</definedName>
    <definedName name="_xlnm.Print_Area" localSheetId="80">'79'!$A$1:$I$47</definedName>
    <definedName name="_xlnm.Print_Area" localSheetId="81">'80'!$A$1:$H$31</definedName>
    <definedName name="_xlnm.Print_Area" localSheetId="82">'81'!$A$1:$H$25</definedName>
    <definedName name="_xlnm.Print_Area" localSheetId="83">'82'!$A$1:$H$56</definedName>
    <definedName name="_xlnm.Print_Area" localSheetId="84">'83'!$A$1:$H$38</definedName>
    <definedName name="_xlnm.Print_Area" localSheetId="85">'84'!$A$1:$H$40</definedName>
    <definedName name="_xlnm.Print_Area" localSheetId="86">'85'!$A$1:$H$36</definedName>
    <definedName name="_xlnm.Print_Area" localSheetId="87">'86'!$A$1:$H$41</definedName>
    <definedName name="_xlnm.Print_Area" localSheetId="88">'87'!$A$1:$H$71</definedName>
    <definedName name="_xlnm.Print_Area" localSheetId="89">'88'!$A$1:$H$34</definedName>
    <definedName name="_xlnm.Print_Area" localSheetId="90">'89'!$A$1:$H$35</definedName>
    <definedName name="_xlnm.Print_Area" localSheetId="9">'9'!$A$1:$H$32</definedName>
    <definedName name="_xlnm.Print_Area" localSheetId="91">'90'!$A$1:$H$31</definedName>
    <definedName name="_xlnm.Print_Area" localSheetId="92">'91'!$A$1:$H$43</definedName>
    <definedName name="_xlnm.Print_Area" localSheetId="93">'92'!$A$1:$H$37</definedName>
    <definedName name="_xlnm.Print_Area" localSheetId="94">'93'!$A$1:$H$43</definedName>
    <definedName name="_xlnm.Print_Area" localSheetId="95">'94'!$A$1:$H$26</definedName>
    <definedName name="_xlnm.Print_Area" localSheetId="96">'95'!$A$1:$I$37</definedName>
    <definedName name="_xlnm.Print_Area" localSheetId="97">'96'!$A$1:$H$41</definedName>
    <definedName name="_xlnm.Print_Area" localSheetId="98">'97'!$A$1:$H$26</definedName>
    <definedName name="_xlnm.Print_Area" localSheetId="99">'98'!$A$1:$H$41</definedName>
    <definedName name="_xlnm.Print_Area" localSheetId="100">'99'!$A$1:$H$39</definedName>
    <definedName name="_xlnm.Print_Area" localSheetId="0">'ANA SAYFA'!$A$1:$G$120</definedName>
    <definedName name="_xlnm.Print_Titles" localSheetId="20">'20'!$6:$6</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 i="473" l="1"/>
  <c r="B2" i="473"/>
  <c r="B3" i="473"/>
  <c r="B4" i="473"/>
  <c r="B5" i="473"/>
  <c r="H36" i="398" l="1"/>
  <c r="B2" i="410"/>
  <c r="B2" i="409"/>
  <c r="B1" i="379" l="1"/>
  <c r="B2" i="399"/>
  <c r="H118" i="376" l="1"/>
  <c r="M14" i="430" l="1"/>
  <c r="M16" i="430" s="1"/>
  <c r="H43" i="381"/>
  <c r="G43" i="381"/>
  <c r="L46" i="381"/>
  <c r="L47" i="381" s="1"/>
  <c r="H24" i="396"/>
  <c r="B4" i="448"/>
  <c r="B3" i="448"/>
  <c r="H30" i="450"/>
  <c r="G30" i="450"/>
  <c r="H45" i="381" l="1"/>
  <c r="L45" i="381"/>
  <c r="H31" i="473"/>
  <c r="G31" i="473"/>
  <c r="B5" i="472"/>
  <c r="B4" i="472"/>
  <c r="B3" i="472"/>
  <c r="B2" i="472"/>
  <c r="B1" i="472"/>
  <c r="H31" i="472"/>
  <c r="G31" i="472"/>
  <c r="B5" i="471"/>
  <c r="B4" i="471"/>
  <c r="B3" i="471"/>
  <c r="B2" i="471"/>
  <c r="B1" i="471"/>
  <c r="H31" i="471"/>
  <c r="G31" i="471"/>
  <c r="B5" i="470"/>
  <c r="B4" i="470"/>
  <c r="B3" i="470"/>
  <c r="B2" i="470"/>
  <c r="B1" i="470"/>
  <c r="H31" i="470"/>
  <c r="G31" i="470"/>
  <c r="B5" i="469"/>
  <c r="B4" i="469"/>
  <c r="B3" i="469"/>
  <c r="B2" i="469"/>
  <c r="B1" i="469"/>
  <c r="H31" i="469"/>
  <c r="G31" i="469"/>
  <c r="B5" i="468"/>
  <c r="B4" i="468"/>
  <c r="B3" i="468"/>
  <c r="B2" i="468"/>
  <c r="B1" i="468"/>
  <c r="H31" i="468"/>
  <c r="G31" i="468"/>
  <c r="B5" i="467"/>
  <c r="B4" i="467"/>
  <c r="B3" i="467"/>
  <c r="B2" i="467"/>
  <c r="B1" i="467"/>
  <c r="H31" i="467"/>
  <c r="G31" i="467"/>
  <c r="B5" i="465"/>
  <c r="B4" i="465"/>
  <c r="B3" i="465"/>
  <c r="B2" i="465"/>
  <c r="B1" i="465"/>
  <c r="H31" i="465"/>
  <c r="G31" i="465"/>
  <c r="B5" i="392"/>
  <c r="B4" i="392"/>
  <c r="H37" i="397"/>
  <c r="K51" i="4"/>
  <c r="M28" i="333"/>
  <c r="H33" i="472" l="1"/>
  <c r="H33" i="470"/>
  <c r="H33" i="467"/>
  <c r="G141" i="4" s="1"/>
  <c r="H33" i="469"/>
  <c r="H33" i="471"/>
  <c r="G142" i="4" s="1"/>
  <c r="H33" i="465"/>
  <c r="G138" i="4" s="1"/>
  <c r="H33" i="473"/>
  <c r="G139" i="4"/>
  <c r="G144" i="4"/>
  <c r="G143" i="4"/>
  <c r="H33" i="468"/>
  <c r="B5" i="463"/>
  <c r="B4" i="463"/>
  <c r="B3" i="463"/>
  <c r="B2" i="463"/>
  <c r="B1" i="463"/>
  <c r="H31" i="463"/>
  <c r="G31" i="463"/>
  <c r="B5" i="461"/>
  <c r="B4" i="461"/>
  <c r="B3" i="461"/>
  <c r="B2" i="461"/>
  <c r="B1" i="461"/>
  <c r="H31" i="461"/>
  <c r="G31" i="461"/>
  <c r="G140" i="4" l="1"/>
  <c r="G145" i="4"/>
  <c r="H33" i="461"/>
  <c r="G136" i="4" s="1"/>
  <c r="H33" i="463"/>
  <c r="G137" i="4" s="1"/>
  <c r="H91" i="373"/>
  <c r="H54" i="404" l="1"/>
  <c r="B5" i="460" l="1"/>
  <c r="B4" i="460"/>
  <c r="B3" i="460"/>
  <c r="B2" i="460"/>
  <c r="B1" i="460"/>
  <c r="B5" i="459"/>
  <c r="B4" i="459"/>
  <c r="B3" i="459"/>
  <c r="B2" i="459"/>
  <c r="B1" i="459"/>
  <c r="B1" i="458"/>
  <c r="H32" i="460"/>
  <c r="G32" i="460"/>
  <c r="G134" i="4"/>
  <c r="H60" i="350"/>
  <c r="H61" i="350" s="1"/>
  <c r="H62" i="350" s="1"/>
  <c r="B42" i="350"/>
  <c r="B44" i="350" s="1"/>
  <c r="H28" i="350"/>
  <c r="G28" i="350"/>
  <c r="H51" i="350"/>
  <c r="H53" i="350" s="1"/>
  <c r="H34" i="460" l="1"/>
  <c r="G135" i="4" s="1"/>
  <c r="L19" i="333"/>
  <c r="G71" i="317" l="1"/>
  <c r="G38" i="426" l="1"/>
  <c r="H38" i="426"/>
  <c r="H35" i="386" l="1"/>
  <c r="H31" i="459"/>
  <c r="G31" i="459"/>
  <c r="H33" i="459" l="1"/>
  <c r="B5" i="458"/>
  <c r="B4" i="458"/>
  <c r="B3" i="458"/>
  <c r="B2" i="458"/>
  <c r="H31" i="458"/>
  <c r="G31" i="458"/>
  <c r="H33" i="458" l="1"/>
  <c r="G133" i="4" s="1"/>
  <c r="B5" i="457" l="1"/>
  <c r="B4" i="457"/>
  <c r="B3" i="457"/>
  <c r="B2" i="457"/>
  <c r="B1" i="457"/>
  <c r="B5" i="456"/>
  <c r="B4" i="456"/>
  <c r="B3" i="456"/>
  <c r="B2" i="456"/>
  <c r="B1" i="456"/>
  <c r="H32" i="457"/>
  <c r="G32" i="457"/>
  <c r="H32" i="456"/>
  <c r="G32" i="456"/>
  <c r="H34" i="456" l="1"/>
  <c r="G131" i="4" s="1"/>
  <c r="H34" i="457"/>
  <c r="G132" i="4" s="1"/>
  <c r="H69" i="409"/>
  <c r="B5" i="451"/>
  <c r="B4" i="451"/>
  <c r="B3" i="451"/>
  <c r="B2" i="451"/>
  <c r="B1" i="451"/>
  <c r="B5" i="455"/>
  <c r="B4" i="455"/>
  <c r="B3" i="455"/>
  <c r="B2" i="455"/>
  <c r="B1" i="455"/>
  <c r="H31" i="455"/>
  <c r="G31" i="455"/>
  <c r="B5" i="454"/>
  <c r="B4" i="454"/>
  <c r="B3" i="454"/>
  <c r="B2" i="454"/>
  <c r="B1" i="454"/>
  <c r="H31" i="454"/>
  <c r="G31" i="454"/>
  <c r="B5" i="453"/>
  <c r="B4" i="453"/>
  <c r="B3" i="453"/>
  <c r="B2" i="453"/>
  <c r="B1" i="453"/>
  <c r="H33" i="455" l="1"/>
  <c r="G130" i="4" s="1"/>
  <c r="H33" i="454"/>
  <c r="G129" i="4" s="1"/>
  <c r="H31" i="453"/>
  <c r="G31" i="453"/>
  <c r="B5" i="447"/>
  <c r="B4" i="447"/>
  <c r="B3" i="447"/>
  <c r="B2" i="447"/>
  <c r="B1" i="447"/>
  <c r="H33" i="453" l="1"/>
  <c r="G128" i="4" s="1"/>
  <c r="B5" i="450"/>
  <c r="B4" i="450"/>
  <c r="B3" i="450"/>
  <c r="B2" i="450"/>
  <c r="B1" i="450"/>
  <c r="H32" i="451" l="1"/>
  <c r="G32" i="451"/>
  <c r="B5" i="449"/>
  <c r="B4" i="449"/>
  <c r="B3" i="449"/>
  <c r="B2" i="449"/>
  <c r="B1" i="449"/>
  <c r="H32" i="450"/>
  <c r="H31" i="449"/>
  <c r="G31" i="449"/>
  <c r="H34" i="451" l="1"/>
  <c r="G127" i="4" s="1"/>
  <c r="G126" i="4"/>
  <c r="H33" i="449"/>
  <c r="G125" i="4" s="1"/>
  <c r="H31" i="448"/>
  <c r="G31" i="448"/>
  <c r="H31" i="447"/>
  <c r="G31" i="447"/>
  <c r="B1" i="355"/>
  <c r="B1" i="443"/>
  <c r="B3" i="443"/>
  <c r="B2" i="443"/>
  <c r="B4" i="443"/>
  <c r="B5" i="443"/>
  <c r="H33" i="448" l="1"/>
  <c r="G124" i="4" s="1"/>
  <c r="H33" i="447"/>
  <c r="G123" i="4" s="1"/>
  <c r="H28" i="431"/>
  <c r="H25" i="428" l="1"/>
  <c r="H36" i="405" l="1"/>
  <c r="G36" i="405"/>
  <c r="G54" i="346"/>
  <c r="G54" i="404"/>
  <c r="H56" i="404" s="1"/>
  <c r="G38" i="384"/>
  <c r="H33" i="334"/>
  <c r="G33" i="334"/>
  <c r="G31" i="443"/>
  <c r="G32" i="352"/>
  <c r="H32" i="390"/>
  <c r="G35" i="391"/>
  <c r="G35" i="349"/>
  <c r="G91" i="373"/>
  <c r="H93" i="373" s="1"/>
  <c r="B5" i="445"/>
  <c r="B4" i="445"/>
  <c r="B3" i="445"/>
  <c r="B2" i="445"/>
  <c r="B1" i="445"/>
  <c r="H33" i="445"/>
  <c r="G33" i="445"/>
  <c r="H37" i="441"/>
  <c r="G37" i="441"/>
  <c r="B5" i="441"/>
  <c r="B4" i="441"/>
  <c r="B3" i="441"/>
  <c r="B2" i="441"/>
  <c r="B1" i="441"/>
  <c r="H33" i="423"/>
  <c r="G33" i="423"/>
  <c r="H58" i="388"/>
  <c r="G34" i="327"/>
  <c r="H37" i="377"/>
  <c r="G37" i="377"/>
  <c r="H39" i="420"/>
  <c r="G39" i="420"/>
  <c r="G35" i="374"/>
  <c r="G118" i="376"/>
  <c r="H39" i="375"/>
  <c r="G39" i="375"/>
  <c r="H53" i="370"/>
  <c r="G53" i="370"/>
  <c r="B4" i="370"/>
  <c r="H35" i="414"/>
  <c r="G35" i="414"/>
  <c r="G33" i="427"/>
  <c r="H33" i="427"/>
  <c r="H38" i="406"/>
  <c r="G38" i="406"/>
  <c r="H40" i="369"/>
  <c r="G40" i="369"/>
  <c r="H34" i="326"/>
  <c r="G34" i="326"/>
  <c r="H36" i="355"/>
  <c r="G36" i="355"/>
  <c r="H24" i="416"/>
  <c r="G24" i="416"/>
  <c r="H45" i="368"/>
  <c r="G45" i="368"/>
  <c r="G36" i="398"/>
  <c r="H44" i="372"/>
  <c r="G44" i="372"/>
  <c r="H32" i="410"/>
  <c r="G32" i="410"/>
  <c r="H38" i="436"/>
  <c r="G38" i="436"/>
  <c r="G32" i="365"/>
  <c r="H41" i="440"/>
  <c r="G41" i="440"/>
  <c r="G41" i="413"/>
  <c r="H41" i="413"/>
  <c r="H40" i="363"/>
  <c r="H32" i="430"/>
  <c r="H61" i="359"/>
  <c r="G61" i="359"/>
  <c r="H34" i="407"/>
  <c r="G34" i="407"/>
  <c r="H43" i="358"/>
  <c r="G43" i="358"/>
  <c r="G35" i="336"/>
  <c r="H35" i="336"/>
  <c r="H34" i="438"/>
  <c r="G34" i="438"/>
  <c r="G29" i="422"/>
  <c r="H29" i="422"/>
  <c r="G35" i="386"/>
  <c r="G47" i="385"/>
  <c r="G33" i="439"/>
  <c r="H41" i="415"/>
  <c r="G41" i="415"/>
  <c r="H43" i="415" l="1"/>
  <c r="H55" i="370"/>
  <c r="H36" i="407"/>
  <c r="H52" i="353"/>
  <c r="G52" i="353"/>
  <c r="G30" i="348"/>
  <c r="G68" i="351"/>
  <c r="G33" i="429"/>
  <c r="G34" i="324"/>
  <c r="H33" i="316"/>
  <c r="H54" i="353" l="1"/>
  <c r="G34" i="4" s="1"/>
  <c r="B5" i="318"/>
  <c r="B4" i="318"/>
  <c r="B3" i="318"/>
  <c r="B2" i="318"/>
  <c r="B1" i="318"/>
  <c r="B5" i="391"/>
  <c r="B4" i="391"/>
  <c r="B3" i="391"/>
  <c r="B2" i="391"/>
  <c r="B1" i="391"/>
  <c r="I39" i="1" l="1"/>
  <c r="H34" i="327" l="1"/>
  <c r="G39" i="408" l="1"/>
  <c r="H39" i="408"/>
  <c r="G39" i="403" l="1"/>
  <c r="G69" i="409" l="1"/>
  <c r="G28" i="431" l="1"/>
  <c r="B2" i="432" l="1"/>
  <c r="H31" i="443"/>
  <c r="H33" i="443" l="1"/>
  <c r="B2" i="355"/>
  <c r="B3" i="355"/>
  <c r="B4" i="355"/>
  <c r="B5" i="355"/>
  <c r="G122" i="4" l="1"/>
  <c r="B2" i="323"/>
  <c r="G23" i="435" l="1"/>
  <c r="H23" i="435"/>
  <c r="H25" i="435" l="1"/>
  <c r="B2" i="369" l="1"/>
  <c r="B5" i="384" l="1"/>
  <c r="B2" i="400" l="1"/>
  <c r="G25" i="395" l="1"/>
  <c r="B2" i="327" l="1"/>
  <c r="G32" i="390" l="1"/>
  <c r="H34" i="390" l="1"/>
  <c r="G69" i="4" s="1"/>
  <c r="I37" i="353" l="1"/>
  <c r="H51" i="320" l="1"/>
  <c r="G36" i="319" l="1"/>
  <c r="G32" i="430" l="1"/>
  <c r="B5" i="442" l="1"/>
  <c r="B4" i="442"/>
  <c r="B3" i="442"/>
  <c r="B2" i="442"/>
  <c r="B1" i="442"/>
  <c r="H34" i="442"/>
  <c r="G121" i="4" s="1"/>
  <c r="G34" i="442"/>
  <c r="H36" i="442" l="1"/>
  <c r="H39" i="441" l="1"/>
  <c r="G119" i="4" s="1"/>
  <c r="H35" i="445"/>
  <c r="G120" i="4" s="1"/>
  <c r="B5" i="389" l="1"/>
  <c r="B3" i="389"/>
  <c r="B2" i="389"/>
  <c r="B1" i="389"/>
  <c r="B1" i="374"/>
  <c r="B2" i="374"/>
  <c r="B4" i="412" l="1"/>
  <c r="H24" i="394" l="1"/>
  <c r="H52" i="356" l="1"/>
  <c r="G52" i="356"/>
  <c r="B4" i="417" l="1"/>
  <c r="B3" i="392" l="1"/>
  <c r="B2" i="392"/>
  <c r="B1" i="392"/>
  <c r="B4" i="356" l="1"/>
  <c r="B5" i="407" l="1"/>
  <c r="B4" i="407"/>
  <c r="B3" i="407"/>
  <c r="B2" i="407"/>
  <c r="B1" i="407"/>
  <c r="G31" i="417" l="1"/>
  <c r="H31" i="417"/>
  <c r="B5" i="440" l="1"/>
  <c r="B4" i="440"/>
  <c r="B3" i="440"/>
  <c r="B2" i="440"/>
  <c r="B1" i="440"/>
  <c r="H43" i="440" l="1"/>
  <c r="G118" i="4" s="1"/>
  <c r="B5" i="439"/>
  <c r="B4" i="439"/>
  <c r="B3" i="439"/>
  <c r="B2" i="439"/>
  <c r="B1" i="439"/>
  <c r="H33" i="439"/>
  <c r="H35" i="439" l="1"/>
  <c r="G117" i="4" s="1"/>
  <c r="B5" i="438"/>
  <c r="B4" i="438"/>
  <c r="B3" i="438"/>
  <c r="B2" i="438"/>
  <c r="B1" i="438"/>
  <c r="H36" i="438" l="1"/>
  <c r="G116" i="4" s="1"/>
  <c r="B5" i="437"/>
  <c r="B4" i="437"/>
  <c r="B3" i="437"/>
  <c r="B2" i="437"/>
  <c r="B1" i="437"/>
  <c r="H33" i="437"/>
  <c r="G33" i="437"/>
  <c r="H35" i="437" l="1"/>
  <c r="G115" i="4" s="1"/>
  <c r="B5" i="380"/>
  <c r="B5" i="436" l="1"/>
  <c r="B4" i="436"/>
  <c r="B3" i="436"/>
  <c r="B2" i="436"/>
  <c r="B1" i="436"/>
  <c r="H40" i="436" l="1"/>
  <c r="G114" i="4" s="1"/>
  <c r="G33" i="316"/>
  <c r="H35" i="316" s="1"/>
  <c r="G5" i="4" s="1"/>
  <c r="B5" i="316"/>
  <c r="B4" i="316"/>
  <c r="B3" i="316"/>
  <c r="B2" i="316"/>
  <c r="B1" i="316"/>
  <c r="B5" i="435" l="1"/>
  <c r="B4" i="435"/>
  <c r="B3" i="435"/>
  <c r="B2" i="435"/>
  <c r="B1" i="435"/>
  <c r="G113" i="4" l="1"/>
  <c r="B5" i="434"/>
  <c r="B4" i="434"/>
  <c r="B3" i="434"/>
  <c r="B2" i="434"/>
  <c r="B1" i="434"/>
  <c r="H35" i="434"/>
  <c r="G35" i="434"/>
  <c r="H37" i="434" l="1"/>
  <c r="G112" i="4" s="1"/>
  <c r="B5" i="433"/>
  <c r="B4" i="433"/>
  <c r="B3" i="433"/>
  <c r="B2" i="433"/>
  <c r="B1" i="433"/>
  <c r="H32" i="433"/>
  <c r="G32" i="433"/>
  <c r="B5" i="432"/>
  <c r="B4" i="432"/>
  <c r="B3" i="432"/>
  <c r="B1" i="432"/>
  <c r="H32" i="432"/>
  <c r="G32" i="432"/>
  <c r="B5" i="431"/>
  <c r="B4" i="431"/>
  <c r="B3" i="431"/>
  <c r="B2" i="431"/>
  <c r="B1" i="431"/>
  <c r="B5" i="426"/>
  <c r="B4" i="426"/>
  <c r="B3" i="426"/>
  <c r="B2" i="426"/>
  <c r="B1" i="426"/>
  <c r="B5" i="430"/>
  <c r="B4" i="430"/>
  <c r="B3" i="430"/>
  <c r="B2" i="430"/>
  <c r="B1" i="430"/>
  <c r="H40" i="426" l="1"/>
  <c r="G108" i="4" s="1"/>
  <c r="H34" i="433"/>
  <c r="G111" i="4" s="1"/>
  <c r="H34" i="430"/>
  <c r="G107" i="4" s="1"/>
  <c r="H34" i="432"/>
  <c r="G110" i="4" s="1"/>
  <c r="B5" i="429"/>
  <c r="B4" i="429"/>
  <c r="B3" i="429"/>
  <c r="B2" i="429"/>
  <c r="B1" i="429"/>
  <c r="H33" i="429"/>
  <c r="B5" i="428"/>
  <c r="B4" i="428"/>
  <c r="B3" i="428"/>
  <c r="B2" i="428"/>
  <c r="B1" i="428"/>
  <c r="G25" i="428"/>
  <c r="B4" i="427"/>
  <c r="B3" i="427"/>
  <c r="B2" i="427"/>
  <c r="B1" i="427"/>
  <c r="B1" i="424"/>
  <c r="B2" i="424"/>
  <c r="H35" i="429" l="1"/>
  <c r="G106" i="4" s="1"/>
  <c r="H27" i="428"/>
  <c r="G105" i="4" s="1"/>
  <c r="H35" i="427"/>
  <c r="G104" i="4" s="1"/>
  <c r="B5" i="315"/>
  <c r="B2" i="315"/>
  <c r="B5" i="319"/>
  <c r="B4" i="319"/>
  <c r="B3" i="319"/>
  <c r="B2" i="319"/>
  <c r="B1" i="319"/>
  <c r="B5" i="424" l="1"/>
  <c r="B4" i="424"/>
  <c r="B3" i="424"/>
  <c r="B5" i="423"/>
  <c r="B4" i="423"/>
  <c r="B3" i="423"/>
  <c r="B2" i="423"/>
  <c r="B1" i="423"/>
  <c r="B5" i="418"/>
  <c r="B4" i="418"/>
  <c r="B3" i="418"/>
  <c r="B2" i="418"/>
  <c r="B1" i="418"/>
  <c r="B5" i="414"/>
  <c r="B4" i="414"/>
  <c r="B3" i="414"/>
  <c r="B2" i="414"/>
  <c r="B1" i="414"/>
  <c r="B5" i="411"/>
  <c r="B4" i="411"/>
  <c r="B3" i="411"/>
  <c r="B2" i="411"/>
  <c r="B1" i="411"/>
  <c r="B5" i="408"/>
  <c r="B4" i="408"/>
  <c r="B3" i="408"/>
  <c r="B2" i="408"/>
  <c r="B1" i="408"/>
  <c r="B5" i="405"/>
  <c r="B4" i="405"/>
  <c r="B3" i="405"/>
  <c r="B2" i="405"/>
  <c r="B1" i="405"/>
  <c r="B5" i="402"/>
  <c r="B4" i="402"/>
  <c r="B3" i="402"/>
  <c r="B2" i="402"/>
  <c r="B1" i="402"/>
  <c r="B5" i="403"/>
  <c r="B4" i="403"/>
  <c r="B3" i="403"/>
  <c r="B2" i="403"/>
  <c r="B1" i="403"/>
  <c r="B5" i="398"/>
  <c r="B4" i="398"/>
  <c r="B3" i="398"/>
  <c r="B2" i="398"/>
  <c r="B1" i="398"/>
  <c r="B5" i="334"/>
  <c r="B4" i="334"/>
  <c r="B3" i="334"/>
  <c r="B2" i="334"/>
  <c r="B1" i="334"/>
  <c r="B5" i="377"/>
  <c r="B4" i="377"/>
  <c r="B3" i="377"/>
  <c r="B2" i="377"/>
  <c r="B1" i="377"/>
  <c r="B5" i="390"/>
  <c r="B4" i="390"/>
  <c r="B3" i="390"/>
  <c r="B2" i="390"/>
  <c r="B1" i="390"/>
  <c r="H34" i="387"/>
  <c r="B5" i="387"/>
  <c r="B4" i="387"/>
  <c r="B3" i="387"/>
  <c r="B2" i="387"/>
  <c r="B1" i="387"/>
  <c r="B5" i="386"/>
  <c r="B4" i="386"/>
  <c r="B3" i="386"/>
  <c r="B2" i="386"/>
  <c r="B1" i="386"/>
  <c r="B5" i="385"/>
  <c r="B4" i="385"/>
  <c r="B3" i="385"/>
  <c r="B2" i="385"/>
  <c r="B1" i="385"/>
  <c r="B5" i="413"/>
  <c r="B4" i="413"/>
  <c r="B3" i="413"/>
  <c r="B2" i="413"/>
  <c r="B1" i="413"/>
  <c r="H38" i="398" l="1"/>
  <c r="G77" i="4" s="1"/>
  <c r="B5" i="368"/>
  <c r="B4" i="368"/>
  <c r="B3" i="368"/>
  <c r="B2" i="368"/>
  <c r="B1" i="368"/>
  <c r="H34" i="424" l="1"/>
  <c r="G34" i="424"/>
  <c r="H36" i="424" l="1"/>
  <c r="G103" i="4" s="1"/>
  <c r="B5" i="330"/>
  <c r="B4" i="330"/>
  <c r="B3" i="330"/>
  <c r="B2" i="330"/>
  <c r="B1" i="330"/>
  <c r="B4" i="384"/>
  <c r="B3" i="384"/>
  <c r="B2" i="384"/>
  <c r="B1" i="384"/>
  <c r="B5" i="383"/>
  <c r="B3" i="383"/>
  <c r="B2" i="383"/>
  <c r="B1" i="383"/>
  <c r="B5" i="382"/>
  <c r="B4" i="382"/>
  <c r="B3" i="382"/>
  <c r="B2" i="382"/>
  <c r="B1" i="382"/>
  <c r="B5" i="415"/>
  <c r="B4" i="415"/>
  <c r="B3" i="415"/>
  <c r="B2" i="415"/>
  <c r="B1" i="415"/>
  <c r="B5" i="381"/>
  <c r="B4" i="381"/>
  <c r="B3" i="381"/>
  <c r="B2" i="381"/>
  <c r="B1" i="381"/>
  <c r="B4" i="380"/>
  <c r="B3" i="380"/>
  <c r="B2" i="380"/>
  <c r="B1" i="380"/>
  <c r="B5" i="419" l="1"/>
  <c r="B4" i="419"/>
  <c r="B3" i="419"/>
  <c r="B2" i="419"/>
  <c r="B1" i="419"/>
  <c r="B5" i="409"/>
  <c r="B4" i="409"/>
  <c r="B3" i="409"/>
  <c r="B1" i="409"/>
  <c r="B5" i="379"/>
  <c r="B4" i="379"/>
  <c r="B3" i="379"/>
  <c r="B2" i="379"/>
  <c r="B5" i="378"/>
  <c r="B4" i="378"/>
  <c r="B3" i="378"/>
  <c r="B2" i="378"/>
  <c r="B1" i="378"/>
  <c r="B5" i="420"/>
  <c r="B4" i="420"/>
  <c r="B3" i="420"/>
  <c r="B2" i="420"/>
  <c r="B1" i="420"/>
  <c r="B5" i="376"/>
  <c r="B4" i="376"/>
  <c r="B3" i="376"/>
  <c r="B2" i="376"/>
  <c r="B1" i="376"/>
  <c r="B5" i="374" l="1"/>
  <c r="B4" i="374"/>
  <c r="B3" i="374"/>
  <c r="B5" i="373" l="1"/>
  <c r="B4" i="373"/>
  <c r="B3" i="373"/>
  <c r="B2" i="373"/>
  <c r="B1" i="373"/>
  <c r="B5" i="370"/>
  <c r="B3" i="370"/>
  <c r="B2" i="370"/>
  <c r="B1" i="370"/>
  <c r="B5" i="422"/>
  <c r="B4" i="422"/>
  <c r="B3" i="422"/>
  <c r="B2" i="422"/>
  <c r="B1" i="422"/>
  <c r="B5" i="406"/>
  <c r="B4" i="406"/>
  <c r="B3" i="406"/>
  <c r="B2" i="406"/>
  <c r="B1" i="406"/>
  <c r="B5" i="369" l="1"/>
  <c r="B4" i="369"/>
  <c r="B3" i="369"/>
  <c r="B1" i="369"/>
  <c r="B5" i="372" l="1"/>
  <c r="B4" i="372"/>
  <c r="B3" i="372"/>
  <c r="B2" i="372"/>
  <c r="B1" i="372"/>
  <c r="B5" i="365" l="1"/>
  <c r="B4" i="365"/>
  <c r="B3" i="365"/>
  <c r="B2" i="365"/>
  <c r="B1" i="365"/>
  <c r="B5" i="366" l="1"/>
  <c r="B4" i="366"/>
  <c r="B3" i="366"/>
  <c r="B2" i="366"/>
  <c r="B1" i="366"/>
  <c r="H35" i="423" l="1"/>
  <c r="G102" i="4" s="1"/>
  <c r="H31" i="422" l="1"/>
  <c r="G101" i="4" s="1"/>
  <c r="G39" i="364"/>
  <c r="H39" i="364"/>
  <c r="B5" i="364"/>
  <c r="B4" i="364"/>
  <c r="B3" i="364"/>
  <c r="B2" i="364"/>
  <c r="B1" i="364"/>
  <c r="B5" i="361"/>
  <c r="B4" i="361"/>
  <c r="B3" i="361"/>
  <c r="B2" i="361"/>
  <c r="B1" i="361"/>
  <c r="B5" i="416"/>
  <c r="B4" i="416"/>
  <c r="B3" i="416"/>
  <c r="B2" i="416"/>
  <c r="B1" i="416"/>
  <c r="G40" i="363"/>
  <c r="B5" i="363"/>
  <c r="B4" i="363"/>
  <c r="B3" i="363"/>
  <c r="B2" i="363"/>
  <c r="B1" i="363"/>
  <c r="B5" i="362"/>
  <c r="B4" i="362"/>
  <c r="B3" i="362"/>
  <c r="B2" i="362"/>
  <c r="B1" i="362"/>
  <c r="G41" i="362"/>
  <c r="G34" i="371"/>
  <c r="B5" i="371"/>
  <c r="B4" i="371"/>
  <c r="B3" i="371"/>
  <c r="B2" i="371"/>
  <c r="B1" i="371"/>
  <c r="B5" i="359"/>
  <c r="B4" i="359"/>
  <c r="B3" i="359"/>
  <c r="B2" i="359"/>
  <c r="B1" i="359"/>
  <c r="B5" i="358"/>
  <c r="B4" i="358"/>
  <c r="B3" i="358"/>
  <c r="B2" i="358"/>
  <c r="B1" i="358"/>
  <c r="B5" i="357"/>
  <c r="B4" i="357"/>
  <c r="B3" i="357"/>
  <c r="B2" i="357"/>
  <c r="B1" i="357"/>
  <c r="H42" i="363" l="1"/>
  <c r="B1" i="356"/>
  <c r="B5" i="356"/>
  <c r="B3" i="356"/>
  <c r="B2" i="356"/>
  <c r="B5" i="354"/>
  <c r="B4" i="354"/>
  <c r="B3" i="354"/>
  <c r="B2" i="354"/>
  <c r="B1" i="354"/>
  <c r="B5" i="353"/>
  <c r="B4" i="353"/>
  <c r="B3" i="353"/>
  <c r="B2" i="353"/>
  <c r="B1" i="353"/>
  <c r="B5" i="352"/>
  <c r="B4" i="352"/>
  <c r="B3" i="352"/>
  <c r="B2" i="352"/>
  <c r="B1" i="352"/>
  <c r="B1" i="351"/>
  <c r="B5" i="351"/>
  <c r="B4" i="351"/>
  <c r="B3" i="351"/>
  <c r="B2" i="351"/>
  <c r="B5" i="350"/>
  <c r="B4" i="350"/>
  <c r="B3" i="350"/>
  <c r="B2" i="350"/>
  <c r="B1" i="350"/>
  <c r="B5" i="349"/>
  <c r="B4" i="349"/>
  <c r="B3" i="349"/>
  <c r="B2" i="349"/>
  <c r="B1" i="349"/>
  <c r="B5" i="348"/>
  <c r="B4" i="348"/>
  <c r="B3" i="348"/>
  <c r="B2" i="348"/>
  <c r="B1" i="348"/>
  <c r="B4" i="347" l="1"/>
  <c r="B3" i="347"/>
  <c r="B4" i="346"/>
  <c r="B4" i="345"/>
  <c r="B3" i="345"/>
  <c r="B1" i="345"/>
  <c r="B5" i="421"/>
  <c r="B4" i="421"/>
  <c r="B3" i="421"/>
  <c r="B2" i="421"/>
  <c r="B1" i="421"/>
  <c r="B5" i="336"/>
  <c r="B4" i="336"/>
  <c r="B3" i="336"/>
  <c r="B2" i="336"/>
  <c r="B1" i="336"/>
  <c r="B5" i="417" l="1"/>
  <c r="B3" i="417"/>
  <c r="B2" i="417"/>
  <c r="B1" i="417"/>
  <c r="B4" i="333"/>
  <c r="B5" i="412"/>
  <c r="B3" i="412"/>
  <c r="B2" i="412"/>
  <c r="B1" i="412"/>
  <c r="B5" i="327"/>
  <c r="B4" i="327"/>
  <c r="B3" i="327"/>
  <c r="B1" i="327"/>
  <c r="B5" i="410"/>
  <c r="B4" i="410"/>
  <c r="B3" i="410"/>
  <c r="B1" i="410"/>
  <c r="H36" i="421" l="1"/>
  <c r="G36" i="421"/>
  <c r="H38" i="421" l="1"/>
  <c r="G100" i="4" s="1"/>
  <c r="H41" i="420" l="1"/>
  <c r="G99" i="4" s="1"/>
  <c r="H24" i="419"/>
  <c r="G24" i="419"/>
  <c r="H26" i="419" l="1"/>
  <c r="G98" i="4" s="1"/>
  <c r="H39" i="418"/>
  <c r="G39" i="418"/>
  <c r="H41" i="418" l="1"/>
  <c r="G97" i="4" s="1"/>
  <c r="H33" i="417" l="1"/>
  <c r="G96" i="4" s="1"/>
  <c r="H26" i="416" l="1"/>
  <c r="G95" i="4" s="1"/>
  <c r="G94" i="4" l="1"/>
  <c r="H37" i="414" l="1"/>
  <c r="G93" i="4" s="1"/>
  <c r="H29" i="412"/>
  <c r="G29" i="412"/>
  <c r="H43" i="413" l="1"/>
  <c r="G92" i="4" s="1"/>
  <c r="H31" i="412"/>
  <c r="G91" i="4" s="1"/>
  <c r="H33" i="411"/>
  <c r="G33" i="411"/>
  <c r="H35" i="411" l="1"/>
  <c r="G90" i="4" s="1"/>
  <c r="H34" i="410" l="1"/>
  <c r="G89" i="4" s="1"/>
  <c r="H71" i="409" l="1"/>
  <c r="G88" i="4" s="1"/>
  <c r="B5" i="347"/>
  <c r="B2" i="347"/>
  <c r="B1" i="347"/>
  <c r="B5" i="346"/>
  <c r="B3" i="346"/>
  <c r="B2" i="346"/>
  <c r="B1" i="346"/>
  <c r="B5" i="345"/>
  <c r="B2" i="345"/>
  <c r="B5" i="404" l="1"/>
  <c r="B4" i="404"/>
  <c r="B3" i="404"/>
  <c r="B2" i="404"/>
  <c r="B1" i="404"/>
  <c r="B5" i="335"/>
  <c r="B4" i="335"/>
  <c r="B3" i="335"/>
  <c r="B2" i="335"/>
  <c r="B1" i="335"/>
  <c r="B5" i="333" l="1"/>
  <c r="B3" i="333"/>
  <c r="B2" i="333"/>
  <c r="B1" i="333"/>
  <c r="B5" i="332"/>
  <c r="B4" i="332"/>
  <c r="B3" i="332"/>
  <c r="B2" i="332"/>
  <c r="B1" i="332"/>
  <c r="B5" i="331"/>
  <c r="B4" i="331"/>
  <c r="B3" i="331"/>
  <c r="B2" i="331"/>
  <c r="B1" i="331"/>
  <c r="B5" i="329"/>
  <c r="B4" i="329"/>
  <c r="B3" i="329"/>
  <c r="B2" i="329"/>
  <c r="B1" i="329"/>
  <c r="B5" i="328"/>
  <c r="B4" i="328"/>
  <c r="B3" i="328"/>
  <c r="B2" i="328"/>
  <c r="B1" i="328"/>
  <c r="B5" i="326" l="1"/>
  <c r="B4" i="326"/>
  <c r="B3" i="326"/>
  <c r="B2" i="326"/>
  <c r="B1" i="326"/>
  <c r="B5" i="325"/>
  <c r="B4" i="325"/>
  <c r="B3" i="325"/>
  <c r="B2" i="325"/>
  <c r="B1" i="325"/>
  <c r="B5" i="324"/>
  <c r="B4" i="324"/>
  <c r="B3" i="324"/>
  <c r="B2" i="324"/>
  <c r="B1" i="324"/>
  <c r="B5" i="401"/>
  <c r="B4" i="401"/>
  <c r="B3" i="401"/>
  <c r="B2" i="401"/>
  <c r="B1" i="401"/>
  <c r="B5" i="400"/>
  <c r="B4" i="400"/>
  <c r="B3" i="400"/>
  <c r="B1" i="400"/>
  <c r="B5" i="399" l="1"/>
  <c r="B4" i="399"/>
  <c r="B3" i="399"/>
  <c r="B1" i="399"/>
  <c r="B5" i="323"/>
  <c r="B4" i="323"/>
  <c r="B3" i="323"/>
  <c r="B1" i="323"/>
  <c r="B5" i="322"/>
  <c r="B4" i="322"/>
  <c r="B3" i="322"/>
  <c r="B2" i="322"/>
  <c r="B1" i="322"/>
  <c r="B5" i="397"/>
  <c r="B4" i="397"/>
  <c r="B3" i="397"/>
  <c r="B2" i="397"/>
  <c r="B1" i="397"/>
  <c r="B5" i="396"/>
  <c r="B4" i="396"/>
  <c r="B3" i="396"/>
  <c r="B2" i="396"/>
  <c r="B1" i="396"/>
  <c r="B5" i="395"/>
  <c r="B4" i="395"/>
  <c r="B3" i="395"/>
  <c r="B2" i="395"/>
  <c r="B1" i="395"/>
  <c r="B5" i="394"/>
  <c r="B4" i="394"/>
  <c r="B3" i="394"/>
  <c r="B2" i="394"/>
  <c r="B1" i="394"/>
  <c r="G28" i="321"/>
  <c r="H28" i="321"/>
  <c r="B5" i="321"/>
  <c r="B4" i="321"/>
  <c r="B3" i="321"/>
  <c r="B2" i="321"/>
  <c r="B1" i="321"/>
  <c r="B3" i="320"/>
  <c r="B4" i="320"/>
  <c r="B5" i="320"/>
  <c r="B2" i="320"/>
  <c r="B1" i="320"/>
  <c r="B5" i="393"/>
  <c r="B4" i="393"/>
  <c r="B3" i="393"/>
  <c r="B2" i="393"/>
  <c r="B1" i="393"/>
  <c r="C1" i="1"/>
  <c r="B3" i="315"/>
  <c r="C3" i="1"/>
  <c r="C2" i="1"/>
  <c r="G58" i="388" l="1"/>
  <c r="H41" i="408" l="1"/>
  <c r="G87" i="4" s="1"/>
  <c r="G86" i="4" l="1"/>
  <c r="H40" i="406"/>
  <c r="G85" i="4" s="1"/>
  <c r="H38" i="405"/>
  <c r="G84" i="4" s="1"/>
  <c r="G83" i="4"/>
  <c r="H27" i="403" l="1"/>
  <c r="H39" i="403" s="1"/>
  <c r="H45" i="400"/>
  <c r="G45" i="400"/>
  <c r="H33" i="399"/>
  <c r="G33" i="399"/>
  <c r="G37" i="397"/>
  <c r="H39" i="397" s="1"/>
  <c r="G76" i="4" l="1"/>
  <c r="H35" i="399"/>
  <c r="G79" i="4" s="1"/>
  <c r="H47" i="400"/>
  <c r="G80" i="4" s="1"/>
  <c r="H41" i="403"/>
  <c r="G78" i="4" s="1"/>
  <c r="H23" i="402" l="1"/>
  <c r="G23" i="402"/>
  <c r="H29" i="401"/>
  <c r="G29" i="401"/>
  <c r="G24" i="396"/>
  <c r="H35" i="393"/>
  <c r="G35" i="393"/>
  <c r="H35" i="391"/>
  <c r="H25" i="395"/>
  <c r="G24" i="394"/>
  <c r="H27" i="392"/>
  <c r="G27" i="392"/>
  <c r="H31" i="389"/>
  <c r="G31" i="389"/>
  <c r="H60" i="388"/>
  <c r="H33" i="389" l="1"/>
  <c r="G68" i="4" s="1"/>
  <c r="H37" i="391"/>
  <c r="G70" i="4" s="1"/>
  <c r="H37" i="393"/>
  <c r="G72" i="4" s="1"/>
  <c r="H25" i="402"/>
  <c r="G82" i="4" s="1"/>
  <c r="H31" i="401"/>
  <c r="G81" i="4" s="1"/>
  <c r="H27" i="395"/>
  <c r="G74" i="4" s="1"/>
  <c r="H26" i="396"/>
  <c r="G75" i="4" s="1"/>
  <c r="H26" i="394"/>
  <c r="G73" i="4" s="1"/>
  <c r="H29" i="392"/>
  <c r="G71" i="4" s="1"/>
  <c r="G67" i="4"/>
  <c r="G34" i="387" l="1"/>
  <c r="H47" i="385"/>
  <c r="H38" i="384"/>
  <c r="H34" i="383"/>
  <c r="G34" i="383"/>
  <c r="H34" i="382"/>
  <c r="G34" i="382"/>
  <c r="H47" i="379"/>
  <c r="G47" i="379"/>
  <c r="H46" i="378"/>
  <c r="G46" i="378"/>
  <c r="H35" i="374"/>
  <c r="H41" i="380"/>
  <c r="G41" i="380"/>
  <c r="H49" i="379" l="1"/>
  <c r="G58" i="4" s="1"/>
  <c r="H36" i="383"/>
  <c r="G62" i="4" s="1"/>
  <c r="H39" i="377"/>
  <c r="G56" i="4" s="1"/>
  <c r="H37" i="374"/>
  <c r="G55" i="4" s="1"/>
  <c r="H40" i="384"/>
  <c r="G63" i="4" s="1"/>
  <c r="G60" i="4"/>
  <c r="H36" i="382"/>
  <c r="G61" i="4" s="1"/>
  <c r="H36" i="387"/>
  <c r="G66" i="4" s="1"/>
  <c r="H120" i="376"/>
  <c r="G54" i="4" s="1"/>
  <c r="G52" i="4"/>
  <c r="H46" i="372"/>
  <c r="G48" i="4" s="1"/>
  <c r="H49" i="385"/>
  <c r="G64" i="4" s="1"/>
  <c r="H37" i="386"/>
  <c r="G65" i="4" s="1"/>
  <c r="H43" i="380"/>
  <c r="G59" i="4" s="1"/>
  <c r="H48" i="378"/>
  <c r="G57" i="4" s="1"/>
  <c r="H41" i="375"/>
  <c r="G53" i="4" s="1"/>
  <c r="H67" i="366"/>
  <c r="G67" i="366"/>
  <c r="H34" i="371"/>
  <c r="H68" i="351"/>
  <c r="H69" i="366" l="1"/>
  <c r="G47" i="4" s="1"/>
  <c r="H42" i="369"/>
  <c r="G50" i="4" s="1"/>
  <c r="H41" i="364"/>
  <c r="G45" i="4" s="1"/>
  <c r="H36" i="371"/>
  <c r="G41" i="4" s="1"/>
  <c r="G51" i="4"/>
  <c r="H70" i="351"/>
  <c r="G32" i="4" s="1"/>
  <c r="H28" i="332" l="1"/>
  <c r="G28" i="332"/>
  <c r="H41" i="333"/>
  <c r="G41" i="333"/>
  <c r="H43" i="333" l="1"/>
  <c r="G21" i="4" s="1"/>
  <c r="H30" i="332"/>
  <c r="G20" i="4" s="1"/>
  <c r="H32" i="365"/>
  <c r="H47" i="368" l="1"/>
  <c r="G49" i="4" s="1"/>
  <c r="H34" i="365"/>
  <c r="G46" i="4" s="1"/>
  <c r="G44" i="4"/>
  <c r="H41" i="362"/>
  <c r="H34" i="361"/>
  <c r="G34" i="361"/>
  <c r="H34" i="357"/>
  <c r="G34" i="357"/>
  <c r="H42" i="354"/>
  <c r="G42" i="354"/>
  <c r="H32" i="352"/>
  <c r="H35" i="349"/>
  <c r="H30" i="348"/>
  <c r="H27" i="347"/>
  <c r="G27" i="347"/>
  <c r="H36" i="357" l="1"/>
  <c r="G38" i="4" s="1"/>
  <c r="H30" i="350"/>
  <c r="G31" i="4" s="1"/>
  <c r="H43" i="362"/>
  <c r="G43" i="4" s="1"/>
  <c r="H36" i="361"/>
  <c r="G42" i="4" s="1"/>
  <c r="H38" i="355"/>
  <c r="G36" i="4" s="1"/>
  <c r="H63" i="359"/>
  <c r="G40" i="4" s="1"/>
  <c r="H45" i="358"/>
  <c r="G39" i="4" s="1"/>
  <c r="H54" i="356"/>
  <c r="G37" i="4" s="1"/>
  <c r="H44" i="354"/>
  <c r="G35" i="4" s="1"/>
  <c r="H34" i="352"/>
  <c r="G33" i="4" s="1"/>
  <c r="H37" i="349"/>
  <c r="G30" i="4" s="1"/>
  <c r="H32" i="348"/>
  <c r="G29" i="4" s="1"/>
  <c r="H29" i="347"/>
  <c r="G28" i="4" s="1"/>
  <c r="H54" i="346"/>
  <c r="H35" i="345"/>
  <c r="G35" i="345"/>
  <c r="H37" i="337"/>
  <c r="G37" i="337"/>
  <c r="H38" i="335"/>
  <c r="G38" i="335"/>
  <c r="H29" i="331"/>
  <c r="G29" i="331"/>
  <c r="H35" i="330"/>
  <c r="G35" i="330"/>
  <c r="G37" i="329"/>
  <c r="G31" i="328"/>
  <c r="G27" i="325"/>
  <c r="G45" i="323"/>
  <c r="G30" i="322"/>
  <c r="G51" i="320"/>
  <c r="G38" i="318"/>
  <c r="G38" i="315"/>
  <c r="H39" i="1"/>
  <c r="H40" i="335" l="1"/>
  <c r="G23" i="4" s="1"/>
  <c r="H35" i="334"/>
  <c r="G22" i="4" s="1"/>
  <c r="H31" i="331"/>
  <c r="G19" i="4" s="1"/>
  <c r="H37" i="330"/>
  <c r="G18" i="4" s="1"/>
  <c r="H56" i="346"/>
  <c r="G27" i="4" s="1"/>
  <c r="H37" i="345"/>
  <c r="G26" i="4" s="1"/>
  <c r="H39" i="337"/>
  <c r="G25" i="4" s="1"/>
  <c r="H37" i="336"/>
  <c r="G24" i="4" s="1"/>
  <c r="H37" i="329"/>
  <c r="H39" i="329" s="1"/>
  <c r="G17" i="4" s="1"/>
  <c r="H31" i="328" l="1"/>
  <c r="H33" i="328" s="1"/>
  <c r="G16" i="4" s="1"/>
  <c r="H36" i="327"/>
  <c r="G15" i="4" s="1"/>
  <c r="H36" i="326"/>
  <c r="G14" i="4" s="1"/>
  <c r="H27" i="325"/>
  <c r="H29" i="325" s="1"/>
  <c r="G13" i="4" s="1"/>
  <c r="H34" i="324"/>
  <c r="H36" i="324" s="1"/>
  <c r="G12" i="4" s="1"/>
  <c r="H45" i="323"/>
  <c r="H30" i="322"/>
  <c r="H32" i="322" s="1"/>
  <c r="G10" i="4" s="1"/>
  <c r="H30" i="321"/>
  <c r="G9" i="4" s="1"/>
  <c r="H53" i="320"/>
  <c r="G8" i="4" s="1"/>
  <c r="H36" i="319"/>
  <c r="H38" i="319" l="1"/>
  <c r="G7" i="4" s="1"/>
  <c r="H47" i="323"/>
  <c r="G11" i="4" s="1"/>
  <c r="H71" i="317"/>
  <c r="H73" i="317" s="1"/>
  <c r="G4" i="4" s="1"/>
  <c r="H38" i="318" l="1"/>
  <c r="H40" i="318" s="1"/>
  <c r="G6" i="4" s="1"/>
  <c r="H38" i="315" l="1"/>
  <c r="H40" i="315" s="1"/>
  <c r="G3" i="4" s="1"/>
  <c r="B4" i="315"/>
  <c r="B1" i="315"/>
  <c r="C5" i="1"/>
  <c r="C4" i="1"/>
  <c r="I41" i="1" l="1"/>
  <c r="G2" i="4" s="1"/>
  <c r="H30" i="431" l="1"/>
  <c r="G109" i="4" s="1"/>
</calcChain>
</file>

<file path=xl/comments1.xml><?xml version="1.0" encoding="utf-8"?>
<comments xmlns="http://schemas.openxmlformats.org/spreadsheetml/2006/main">
  <authors>
    <author>acer</author>
  </authors>
  <commentList>
    <comment ref="E13" authorId="0" shapeId="0">
      <text>
        <r>
          <rPr>
            <b/>
            <sz val="9"/>
            <color indexed="81"/>
            <rFont val="Tahoma"/>
            <family val="2"/>
            <charset val="162"/>
          </rPr>
          <t>acer:</t>
        </r>
        <r>
          <rPr>
            <sz val="9"/>
            <color indexed="81"/>
            <rFont val="Tahoma"/>
            <family val="2"/>
            <charset val="162"/>
          </rPr>
          <t xml:space="preserve">
1.02.2024 RESMİ İŞE GİRİŞİ OKUL YÜZÜNDEN</t>
        </r>
      </text>
    </comment>
  </commentList>
</comments>
</file>

<file path=xl/comments2.xml><?xml version="1.0" encoding="utf-8"?>
<comments xmlns="http://schemas.openxmlformats.org/spreadsheetml/2006/main">
  <authors>
    <author>acer</author>
  </authors>
  <commentList>
    <comment ref="H7" authorId="0" shapeId="0">
      <text>
        <r>
          <rPr>
            <b/>
            <sz val="9"/>
            <color indexed="81"/>
            <rFont val="Tahoma"/>
            <family val="2"/>
            <charset val="162"/>
          </rPr>
          <t>acer:</t>
        </r>
        <r>
          <rPr>
            <sz val="9"/>
            <color indexed="81"/>
            <rFont val="Tahoma"/>
            <family val="2"/>
            <charset val="162"/>
          </rPr>
          <t xml:space="preserve">
06/08/2025 30 GÜNLÜK İZİN PARASI ÖDENDİ
KIDEMİ İLE BİRLİKTE</t>
        </r>
      </text>
    </comment>
    <comment ref="H8" authorId="0" shapeId="0">
      <text>
        <r>
          <rPr>
            <b/>
            <sz val="9"/>
            <color indexed="81"/>
            <rFont val="Tahoma"/>
            <family val="2"/>
            <charset val="162"/>
          </rPr>
          <t>acer:</t>
        </r>
        <r>
          <rPr>
            <sz val="9"/>
            <color indexed="81"/>
            <rFont val="Tahoma"/>
            <family val="2"/>
            <charset val="162"/>
          </rPr>
          <t xml:space="preserve">
06/08/2025 30 GÜNLÜK İZİN PARASI ÖDENDİ
KIDEMİ İLE BİRLİKTE</t>
        </r>
      </text>
    </comment>
    <comment ref="H9" authorId="0" shapeId="0">
      <text>
        <r>
          <rPr>
            <b/>
            <sz val="9"/>
            <color indexed="81"/>
            <rFont val="Tahoma"/>
            <family val="2"/>
            <charset val="162"/>
          </rPr>
          <t>acer:</t>
        </r>
        <r>
          <rPr>
            <sz val="9"/>
            <color indexed="81"/>
            <rFont val="Tahoma"/>
            <family val="2"/>
            <charset val="162"/>
          </rPr>
          <t xml:space="preserve">
3 GÜN GEÇMİŞTE İZİN KULLANDIĞINI BEYAN ETMİŞTİ</t>
        </r>
      </text>
    </comment>
    <comment ref="H11" authorId="0" shapeId="0">
      <text>
        <r>
          <rPr>
            <b/>
            <sz val="9"/>
            <color indexed="81"/>
            <rFont val="Tahoma"/>
            <family val="2"/>
            <charset val="162"/>
          </rPr>
          <t>acer:</t>
        </r>
        <r>
          <rPr>
            <sz val="9"/>
            <color indexed="81"/>
            <rFont val="Tahoma"/>
            <family val="2"/>
            <charset val="162"/>
          </rPr>
          <t xml:space="preserve">
06/08/2025 30 GÜNLÜK İZİN PARASI ÖDENDİ
KIDEMİ İLE BİRLİKTE</t>
        </r>
      </text>
    </comment>
    <comment ref="H12" authorId="0" shapeId="0">
      <text>
        <r>
          <rPr>
            <b/>
            <sz val="9"/>
            <color indexed="81"/>
            <rFont val="Tahoma"/>
            <family val="2"/>
            <charset val="162"/>
          </rPr>
          <t>acer:</t>
        </r>
        <r>
          <rPr>
            <sz val="9"/>
            <color indexed="81"/>
            <rFont val="Tahoma"/>
            <family val="2"/>
            <charset val="162"/>
          </rPr>
          <t xml:space="preserve">
06/08/2025 30 GÜNLÜK İZİN PARASI ÖDENDİ
KIDEMİ İLE BİRLİKTE</t>
        </r>
      </text>
    </comment>
    <comment ref="H13" authorId="0" shapeId="0">
      <text>
        <r>
          <rPr>
            <b/>
            <sz val="9"/>
            <color indexed="81"/>
            <rFont val="Tahoma"/>
            <family val="2"/>
            <charset val="162"/>
          </rPr>
          <t>acer:</t>
        </r>
        <r>
          <rPr>
            <sz val="9"/>
            <color indexed="81"/>
            <rFont val="Tahoma"/>
            <family val="2"/>
            <charset val="162"/>
          </rPr>
          <t xml:space="preserve">
3 GÜN GEÇMİŞTE İZİN KULLANDIĞINI BEYAN ETMİŞTİ</t>
        </r>
      </text>
    </comment>
  </commentList>
</comments>
</file>

<file path=xl/comments3.xml><?xml version="1.0" encoding="utf-8"?>
<comments xmlns="http://schemas.openxmlformats.org/spreadsheetml/2006/main">
  <authors>
    <author>acer</author>
  </authors>
  <commentList>
    <comment ref="H32" authorId="0" shapeId="0">
      <text>
        <r>
          <rPr>
            <b/>
            <sz val="9"/>
            <color indexed="81"/>
            <rFont val="Tahoma"/>
            <family val="2"/>
            <charset val="162"/>
          </rPr>
          <t>acer:</t>
        </r>
        <r>
          <rPr>
            <sz val="9"/>
            <color indexed="81"/>
            <rFont val="Tahoma"/>
            <family val="2"/>
            <charset val="162"/>
          </rPr>
          <t xml:space="preserve">
23 GÜN İZİN PARASI YATIRILDI MAYIS MAAŞI İLE
BAYRAM VE 19 MAYIS SAYILMADI</t>
        </r>
      </text>
    </comment>
  </commentList>
</comments>
</file>

<file path=xl/sharedStrings.xml><?xml version="1.0" encoding="utf-8"?>
<sst xmlns="http://schemas.openxmlformats.org/spreadsheetml/2006/main" count="3858" uniqueCount="1050">
  <si>
    <t>İZİN NEDENİ</t>
  </si>
  <si>
    <t>İZİNE ÇIKIŞ TARİHİ</t>
  </si>
  <si>
    <t>İZİNDEN DÖNÜŞ TARİHİ</t>
  </si>
  <si>
    <t>KULALNILAN İZİN TUTARI</t>
  </si>
  <si>
    <t>İZİNDEN DÖNÜŞ SAATİ</t>
  </si>
  <si>
    <t>Ana Sayfa</t>
  </si>
  <si>
    <t>SENELİK İZİN HAKKI TUTARI</t>
  </si>
  <si>
    <t>İZNİ KAZANDIĞI TARİH ARALIĞI</t>
  </si>
  <si>
    <t>KALAN FARK(-/+)</t>
  </si>
  <si>
    <t xml:space="preserve"> </t>
  </si>
  <si>
    <t>15.06.12-15.06.13</t>
  </si>
  <si>
    <t>15.06.13-15.06.14</t>
  </si>
  <si>
    <t>18.08.13-19.08.14</t>
  </si>
  <si>
    <t>19.08.14-19.08.15</t>
  </si>
  <si>
    <t>22.07.13-22.07.14</t>
  </si>
  <si>
    <t>03.09.13-03.09.14</t>
  </si>
  <si>
    <t>KULLANILAN İZİN TUTARI</t>
  </si>
  <si>
    <t>08.00</t>
  </si>
  <si>
    <t>13.06.14-13.06.15</t>
  </si>
  <si>
    <t>15.06.14-15.06.15</t>
  </si>
  <si>
    <t>22.07.14-22.07.15</t>
  </si>
  <si>
    <t>15.06.15-15.06.16</t>
  </si>
  <si>
    <t>22.07.15-22.07.16</t>
  </si>
  <si>
    <t>30.12.16-30.12.17</t>
  </si>
  <si>
    <t>13.06.15-13.06.16</t>
  </si>
  <si>
    <t>11.03.15-11.03.16</t>
  </si>
  <si>
    <t>03.09.14-03.09.15</t>
  </si>
  <si>
    <t>03.09.15-03.09.16</t>
  </si>
  <si>
    <t>23.01.16-23.01.17</t>
  </si>
  <si>
    <t>04.06.16-04.06.17</t>
  </si>
  <si>
    <t>11.03.16-11.03.17</t>
  </si>
  <si>
    <t>19.08.15-19.08.16</t>
  </si>
  <si>
    <t>19.08.16-19.08.17</t>
  </si>
  <si>
    <t>19.08.17-19.08.18</t>
  </si>
  <si>
    <t>ÜCRETİ ÖDENEREK RESMİ BORDRO İMZALATILDI.</t>
  </si>
  <si>
    <t>15.06.16-15.06.17</t>
  </si>
  <si>
    <t>08.04.16-08.04.17</t>
  </si>
  <si>
    <t>08.04.17-08.04.18</t>
  </si>
  <si>
    <t>TOPLAM</t>
  </si>
  <si>
    <t>22.08.17-22.08.18</t>
  </si>
  <si>
    <t>13.06.16-13.06.17</t>
  </si>
  <si>
    <t>13.06.17-13.06.18</t>
  </si>
  <si>
    <t>23.01.17-23.01.18</t>
  </si>
  <si>
    <t>03.09.16-03.09.17</t>
  </si>
  <si>
    <t>03.09.17-03.09.18</t>
  </si>
  <si>
    <t>04.06.17-04.06.18</t>
  </si>
  <si>
    <t>15.06.17-15.06.18</t>
  </si>
  <si>
    <t>21.10.17-21.10.18</t>
  </si>
  <si>
    <t>30.12.15-30.12.16</t>
  </si>
  <si>
    <t>23.01.18-23.01.19</t>
  </si>
  <si>
    <t>19.08.18-19.08.19</t>
  </si>
  <si>
    <t>0.5</t>
  </si>
  <si>
    <t>26.01.18-26.01.19</t>
  </si>
  <si>
    <t>15.06.18-15.06.19</t>
  </si>
  <si>
    <t>22.08.18-22.08.19</t>
  </si>
  <si>
    <t>03.09.18-03.09.19</t>
  </si>
  <si>
    <t>11.03.17-11.03.18</t>
  </si>
  <si>
    <t>11.03.18-11.03.19</t>
  </si>
  <si>
    <t>04.06.18-04.06.19</t>
  </si>
  <si>
    <t>08.04.18-08.04.19</t>
  </si>
  <si>
    <t>13.06.18-13.06.19</t>
  </si>
  <si>
    <t>21.10.18.-21.10.19</t>
  </si>
  <si>
    <t>23.01.19-23.01.20</t>
  </si>
  <si>
    <t>08.04.19-08.04.20</t>
  </si>
  <si>
    <t>30.06.18-30.06.19</t>
  </si>
  <si>
    <t>11.03.19-11.03.20</t>
  </si>
  <si>
    <t>26.01.19-26.01.20</t>
  </si>
  <si>
    <t>04.06.19-04.06.20</t>
  </si>
  <si>
    <t>30.12.17-30.12.18</t>
  </si>
  <si>
    <t>30.12.18-30.12.19</t>
  </si>
  <si>
    <t>13.06.19-13.06.20</t>
  </si>
  <si>
    <t>07.10.19-07.10.20</t>
  </si>
  <si>
    <t>15.00</t>
  </si>
  <si>
    <t>11.03.20-11.03.21</t>
  </si>
  <si>
    <t>15.06.19-15.06.20</t>
  </si>
  <si>
    <t>20.02.19-20.02.20</t>
  </si>
  <si>
    <t>22.08.19-22.08.20</t>
  </si>
  <si>
    <t>30.12.19-30.12.20</t>
  </si>
  <si>
    <t>21.10.19.-21.10.20</t>
  </si>
  <si>
    <t>23.01.20-23.01.21</t>
  </si>
  <si>
    <t>15.06.20-15.06.21</t>
  </si>
  <si>
    <t>08.04.20-08.04.21</t>
  </si>
  <si>
    <t>13.06.20-13.06.21</t>
  </si>
  <si>
    <t>03.09.19-03.09.20</t>
  </si>
  <si>
    <t>03.09.20-03.09.21</t>
  </si>
  <si>
    <t>22.08.20-22.08.21</t>
  </si>
  <si>
    <t>21.10.20.-21.10.21</t>
  </si>
  <si>
    <t>19.08.19-19.08.20</t>
  </si>
  <si>
    <t>19.08.20-19.08.21</t>
  </si>
  <si>
    <t>04.06.20-04.06.21</t>
  </si>
  <si>
    <t>08.04.21-08.04.22</t>
  </si>
  <si>
    <t>YARIM GÜN BİR GÜN KULLANILAN TAHMİNİ İZİN TUTARI</t>
  </si>
  <si>
    <t>5</t>
  </si>
  <si>
    <t>33.500-TL ELDEN NAKİT TESLİM ALINAN (7.000-TL MAAŞ GÖRE HESAPLANMIŞTIR.)</t>
  </si>
  <si>
    <t>01.01.98-01.01.99</t>
  </si>
  <si>
    <t>01.01.99-01.01.01</t>
  </si>
  <si>
    <t>01.01.01-01.01.02</t>
  </si>
  <si>
    <t>01.01.02-01.01.03</t>
  </si>
  <si>
    <t>01.01.04-01.01.05</t>
  </si>
  <si>
    <t>01.01.03-01.01.04</t>
  </si>
  <si>
    <t>01.01.05-01.01.06</t>
  </si>
  <si>
    <t>01.01.06-01.01.07</t>
  </si>
  <si>
    <t>01.01.07-01.01.08</t>
  </si>
  <si>
    <t>01.01.08-01.01.09</t>
  </si>
  <si>
    <t>01.01.09-01.01.10</t>
  </si>
  <si>
    <t>01.01.10-01.01.11</t>
  </si>
  <si>
    <t>01.01.11-01.01.12</t>
  </si>
  <si>
    <t>01.01.12-01.01.13</t>
  </si>
  <si>
    <t>01.01.13-01.01.14</t>
  </si>
  <si>
    <t>01.01.14-01.01.15</t>
  </si>
  <si>
    <t>01.01.15-01.01.16</t>
  </si>
  <si>
    <t>01.01.16-01.01.17</t>
  </si>
  <si>
    <t>01.01.17-01.01.18</t>
  </si>
  <si>
    <t>01.01.18-01.01.19</t>
  </si>
  <si>
    <t>01.01.19-01.01.20</t>
  </si>
  <si>
    <t>01.01.20-01.01.21</t>
  </si>
  <si>
    <t>01.01.21-01.01.22</t>
  </si>
  <si>
    <t>50.000-TL YAPI KREDİ HESABINA ÖDENEDİ</t>
  </si>
  <si>
    <t>02.06.20-02.06.21</t>
  </si>
  <si>
    <t>02.06.21-02.06.22</t>
  </si>
  <si>
    <t>İŞE GİRİŞ TARİHİ</t>
  </si>
  <si>
    <t>23.01.21-23.01.22</t>
  </si>
  <si>
    <t>03.09.21-03.09.22</t>
  </si>
  <si>
    <t>TOPLAMLAR</t>
  </si>
  <si>
    <t>22.08.21-22.08.22</t>
  </si>
  <si>
    <t>11.03.22-11.03.23</t>
  </si>
  <si>
    <t>11.03.21-11.03.22</t>
  </si>
  <si>
    <t>08.04.22-08.04.23</t>
  </si>
  <si>
    <t>KALAN                    (-/+)</t>
  </si>
  <si>
    <t>08.07.19-08.07.20</t>
  </si>
  <si>
    <t>DOĞUM TARİHİ</t>
  </si>
  <si>
    <t>GÖREVİ</t>
  </si>
  <si>
    <t>ALİ AYDEMİR</t>
  </si>
  <si>
    <t>İZİNE ÇIKIŞ SAATİ</t>
  </si>
  <si>
    <t>08.07.21-08.07.22</t>
  </si>
  <si>
    <t xml:space="preserve">ADI SOYADI </t>
  </si>
  <si>
    <t>PERSONEL İZİN ÇİZELGESİ</t>
  </si>
  <si>
    <t>T.C.KİMLİK NO</t>
  </si>
  <si>
    <t>T.C. KİMLİK NO</t>
  </si>
  <si>
    <t>2</t>
  </si>
  <si>
    <t xml:space="preserve">AHMET EMİN EFEOĞLU </t>
  </si>
  <si>
    <t>KAMYON ŞOFÖRÜ</t>
  </si>
  <si>
    <t>30.06.19-30.06.20</t>
  </si>
  <si>
    <t>30.06.21-30.06.22</t>
  </si>
  <si>
    <t>20 Kasım 2018 Cumartesi</t>
  </si>
  <si>
    <t>21 Kasım 2018 Pazar</t>
  </si>
  <si>
    <t>08.07.20-08.07.21</t>
  </si>
  <si>
    <t>ALİ TASLAK</t>
  </si>
  <si>
    <t>İNŞAAT USTASI</t>
  </si>
  <si>
    <t>3</t>
  </si>
  <si>
    <t xml:space="preserve">ALİ TASLAK </t>
  </si>
  <si>
    <t>4</t>
  </si>
  <si>
    <t>AVNİ ÖZGÜR</t>
  </si>
  <si>
    <t>TIR-ÇEKİCİ ŞOFÖRÜ</t>
  </si>
  <si>
    <t>15.06.21-15.06.22</t>
  </si>
  <si>
    <t>MUHASEBE MESLEK ELEMANI</t>
  </si>
  <si>
    <t>25 Şubat 2022 Cuma</t>
  </si>
  <si>
    <t>9 Ağustos 2017 Çarşamba</t>
  </si>
  <si>
    <t>25 Ağustos 2017 Cuma</t>
  </si>
  <si>
    <t>16 Temmuz 2021 Cuma</t>
  </si>
  <si>
    <t>19 Temmuz 2021 Pazartesi</t>
  </si>
  <si>
    <t>20 Ekim 2022 Perşembe</t>
  </si>
  <si>
    <t>7 kasım 2022 Pazartesi</t>
  </si>
  <si>
    <t>14.01.2013-14.01.2014</t>
  </si>
  <si>
    <t>14.01.2014-14.01.2015</t>
  </si>
  <si>
    <t>14.01.2016-14.01.2017</t>
  </si>
  <si>
    <t>14.01.2017-14.01.2018</t>
  </si>
  <si>
    <t>14.01.2018-14.01.2019</t>
  </si>
  <si>
    <t>14.01.2019-14.01.2020</t>
  </si>
  <si>
    <t>14.01.2015-14.01.2016</t>
  </si>
  <si>
    <t>23 ağustos 2022 Salı</t>
  </si>
  <si>
    <t>29 Ağustos 2022 Pazartesi</t>
  </si>
  <si>
    <t>16 Eylül 2016 Cuma</t>
  </si>
  <si>
    <t>8 Eylül 2016 Perşembe</t>
  </si>
  <si>
    <t xml:space="preserve">BEKİR BAHAR </t>
  </si>
  <si>
    <t>6</t>
  </si>
  <si>
    <t xml:space="preserve">7 </t>
  </si>
  <si>
    <t>KAYNAKÇI</t>
  </si>
  <si>
    <t>CELAL UNSUR</t>
  </si>
  <si>
    <t>26 Ağustos 2022 Cuma</t>
  </si>
  <si>
    <t>12 Eylül 2022 Pazartesi</t>
  </si>
  <si>
    <t>8</t>
  </si>
  <si>
    <t>DOĞAN NESANIR</t>
  </si>
  <si>
    <t>26 Ocak 2022 Çarşamba</t>
  </si>
  <si>
    <t>28 Ocak 2022 Cuma</t>
  </si>
  <si>
    <t>9 Eylül 2022 Cuma</t>
  </si>
  <si>
    <t>9</t>
  </si>
  <si>
    <t>EMİN İLHAN</t>
  </si>
  <si>
    <t>MADEN MÜHENDİSİ</t>
  </si>
  <si>
    <t>4 Temmuz 2022 Pazartesi</t>
  </si>
  <si>
    <t>19 Temmuz 2022 Salı</t>
  </si>
  <si>
    <t>OPERATÖR</t>
  </si>
  <si>
    <t>10</t>
  </si>
  <si>
    <t>11</t>
  </si>
  <si>
    <t>EYÜP ÇELENK</t>
  </si>
  <si>
    <t>3 Mart 2021 Çarşamba</t>
  </si>
  <si>
    <t>4 Mart 2021 Çarşamba</t>
  </si>
  <si>
    <t>16 Eylül 2021 Perşembe</t>
  </si>
  <si>
    <t>27 Eylül 2021 Pazartesi</t>
  </si>
  <si>
    <t>6 Haziran 2022 Pazartesi</t>
  </si>
  <si>
    <t>7 Haziran 2022 Salı</t>
  </si>
  <si>
    <t>12 Eylül 20222 Pazartesi</t>
  </si>
  <si>
    <t>23 Eylül 2022 Pazartesi</t>
  </si>
  <si>
    <t>12</t>
  </si>
  <si>
    <t>13</t>
  </si>
  <si>
    <t>14</t>
  </si>
  <si>
    <t>7 Mayıs 2022 Cumartesi</t>
  </si>
  <si>
    <t>15</t>
  </si>
  <si>
    <t>EKSKAVATÖR OPERATÖRÜ</t>
  </si>
  <si>
    <t xml:space="preserve">İBRAHİM SEVEN </t>
  </si>
  <si>
    <t>HÜSAMETTİN GÜLTEKİN</t>
  </si>
  <si>
    <t>KÜREKÇİ</t>
  </si>
  <si>
    <t>İBRAHİM KURT</t>
  </si>
  <si>
    <t>İŞ MAK. BAKIM VE ONARIM</t>
  </si>
  <si>
    <t xml:space="preserve">HİLMİ ÖZDEMİR </t>
  </si>
  <si>
    <t>16</t>
  </si>
  <si>
    <t>17</t>
  </si>
  <si>
    <t>18</t>
  </si>
  <si>
    <t>19</t>
  </si>
  <si>
    <t>20</t>
  </si>
  <si>
    <t>21</t>
  </si>
  <si>
    <t>22</t>
  </si>
  <si>
    <t>23</t>
  </si>
  <si>
    <t>24</t>
  </si>
  <si>
    <t>FORMEN</t>
  </si>
  <si>
    <t>25</t>
  </si>
  <si>
    <t>BEKÇİ</t>
  </si>
  <si>
    <t>26</t>
  </si>
  <si>
    <t>MESUT YILMAZ</t>
  </si>
  <si>
    <t>USTA YARDIMCISI</t>
  </si>
  <si>
    <t>27</t>
  </si>
  <si>
    <t>MUHAMMET MUSTAFA KOÇYİĞİT</t>
  </si>
  <si>
    <t>018:00</t>
  </si>
  <si>
    <t xml:space="preserve">28 </t>
  </si>
  <si>
    <t>MUHAMMED AYDIN</t>
  </si>
  <si>
    <t>29</t>
  </si>
  <si>
    <t>MUHİTTİN DEMİR</t>
  </si>
  <si>
    <t>30</t>
  </si>
  <si>
    <t>MUHSİN ZEDEF</t>
  </si>
  <si>
    <t>31</t>
  </si>
  <si>
    <t>MURAT ÖZSUBAŞI</t>
  </si>
  <si>
    <t>32</t>
  </si>
  <si>
    <t>33</t>
  </si>
  <si>
    <t>MUSTAFA DEMİRALAY</t>
  </si>
  <si>
    <t xml:space="preserve">34 </t>
  </si>
  <si>
    <t>MUSTAFA YALVAÇ</t>
  </si>
  <si>
    <t>BEDEN İŞCİSİ</t>
  </si>
  <si>
    <t>35</t>
  </si>
  <si>
    <t>TEMİZLİK GÖREVLİSİ</t>
  </si>
  <si>
    <t>36</t>
  </si>
  <si>
    <t>MÜMİN AKÇİN</t>
  </si>
  <si>
    <t>37</t>
  </si>
  <si>
    <t>38</t>
  </si>
  <si>
    <t>NİHAT ÖZGEL</t>
  </si>
  <si>
    <t>39</t>
  </si>
  <si>
    <t>NURETTİN AYDIN</t>
  </si>
  <si>
    <t>40</t>
  </si>
  <si>
    <t>41</t>
  </si>
  <si>
    <t>42</t>
  </si>
  <si>
    <t>ORHAN ÇETİN</t>
  </si>
  <si>
    <t>43</t>
  </si>
  <si>
    <t>ORHAN TUĞLU</t>
  </si>
  <si>
    <t xml:space="preserve">RAMAZAN YAPANOĞLU </t>
  </si>
  <si>
    <t>44</t>
  </si>
  <si>
    <t>45</t>
  </si>
  <si>
    <t>RECEP ALEMDAR</t>
  </si>
  <si>
    <t>46</t>
  </si>
  <si>
    <t>RESUL MURATHAN</t>
  </si>
  <si>
    <t>SADIK GÜRBÜZ</t>
  </si>
  <si>
    <t>47</t>
  </si>
  <si>
    <t xml:space="preserve">48 </t>
  </si>
  <si>
    <t>SALİH YALÇINKAYA</t>
  </si>
  <si>
    <t>HARİTA TEKNİKERİ</t>
  </si>
  <si>
    <t>49</t>
  </si>
  <si>
    <t>SAVAŞ KOTAN</t>
  </si>
  <si>
    <t>SEYDİ SALTIK</t>
  </si>
  <si>
    <t>51</t>
  </si>
  <si>
    <t>52</t>
  </si>
  <si>
    <t>53</t>
  </si>
  <si>
    <t>54</t>
  </si>
  <si>
    <t>55</t>
  </si>
  <si>
    <t>56</t>
  </si>
  <si>
    <t>57</t>
  </si>
  <si>
    <t>58</t>
  </si>
  <si>
    <t>59</t>
  </si>
  <si>
    <t>60</t>
  </si>
  <si>
    <t>SONER CANDEMİR</t>
  </si>
  <si>
    <t>ŞEYHMUS ARMAĞAN</t>
  </si>
  <si>
    <t xml:space="preserve">SÜREYYA ERTAŞ </t>
  </si>
  <si>
    <t>TIR ŞOFÖRÜ</t>
  </si>
  <si>
    <t>TALAT DOĞAN</t>
  </si>
  <si>
    <t>TUNCAY ELİÇİN</t>
  </si>
  <si>
    <t>GREYDER OPERATÖRÜ</t>
  </si>
  <si>
    <t>VURAL PAPAKÇI</t>
  </si>
  <si>
    <t>YAŞAR SEZGİN</t>
  </si>
  <si>
    <t>61</t>
  </si>
  <si>
    <t>62</t>
  </si>
  <si>
    <t>63</t>
  </si>
  <si>
    <t>64</t>
  </si>
  <si>
    <t>65</t>
  </si>
  <si>
    <t>66</t>
  </si>
  <si>
    <t>67</t>
  </si>
  <si>
    <t>68</t>
  </si>
  <si>
    <t>69</t>
  </si>
  <si>
    <t>70</t>
  </si>
  <si>
    <t>71</t>
  </si>
  <si>
    <t>72</t>
  </si>
  <si>
    <t>73</t>
  </si>
  <si>
    <t>ZEKAİ ÖZTÜRK</t>
  </si>
  <si>
    <t xml:space="preserve">ZÜLFİ PEKAL </t>
  </si>
  <si>
    <t>ZEYNEP ARSLANTEKİN</t>
  </si>
  <si>
    <t>08:000</t>
  </si>
  <si>
    <t>ABDULLAH IŞIK</t>
  </si>
  <si>
    <t>İŞ MAKİNELERİ OPERATÖRÜ</t>
  </si>
  <si>
    <t>74</t>
  </si>
  <si>
    <t>75</t>
  </si>
  <si>
    <t>76</t>
  </si>
  <si>
    <t>77</t>
  </si>
  <si>
    <t>79</t>
  </si>
  <si>
    <t>CENGİZ AÇIKGÖZ</t>
  </si>
  <si>
    <t>CEVAHİR ÖZTÜRK</t>
  </si>
  <si>
    <t xml:space="preserve">CİHAT ECER </t>
  </si>
  <si>
    <t>DURSUN KURT</t>
  </si>
  <si>
    <t>SAHA FORMENİ</t>
  </si>
  <si>
    <t>ERKAN DURMUŞ</t>
  </si>
  <si>
    <t>78</t>
  </si>
  <si>
    <t>80</t>
  </si>
  <si>
    <t>81</t>
  </si>
  <si>
    <t>ERTÜRK TORUK</t>
  </si>
  <si>
    <t>82</t>
  </si>
  <si>
    <t>83</t>
  </si>
  <si>
    <t>84</t>
  </si>
  <si>
    <t>85</t>
  </si>
  <si>
    <t>86</t>
  </si>
  <si>
    <t>SEBAHATTİN AYDIN</t>
  </si>
  <si>
    <t>87</t>
  </si>
  <si>
    <t>08.06.21-08.06.22</t>
  </si>
  <si>
    <t>MUHASEBE ŞEFİ</t>
  </si>
  <si>
    <t>07.10.21-07.10.22</t>
  </si>
  <si>
    <t>MAZERET DURUMU</t>
  </si>
  <si>
    <t>Evlenmesi Halinde</t>
  </si>
  <si>
    <t>Anne, Baba, Eş veya çoçuğun ölmesi halinde</t>
  </si>
  <si>
    <t>Eşinin Anne Babasının veya Kardeşinin Ölmesi Halinde</t>
  </si>
  <si>
    <t>Eşin Doğum Yapması Halinde</t>
  </si>
  <si>
    <t>Engelli Çocuğu Halinde</t>
  </si>
  <si>
    <t>Kardeşinin Ölmesi Halinde</t>
  </si>
  <si>
    <t>Emzirme İzni</t>
  </si>
  <si>
    <t>Çoçuğun Evlenmesi Halinde</t>
  </si>
  <si>
    <t>4857 Sayılı İş Kanunu</t>
  </si>
  <si>
    <t>3 gün</t>
  </si>
  <si>
    <t>*</t>
  </si>
  <si>
    <t>10 gün</t>
  </si>
  <si>
    <t>1,5 saat</t>
  </si>
  <si>
    <t>657 Sayılı Devlet Memurları Kanunu</t>
  </si>
  <si>
    <t>7 gün</t>
  </si>
  <si>
    <t>6 ay için 3 saat 2.ci 6 ay için 1,5 saat</t>
  </si>
  <si>
    <t>Hafta</t>
  </si>
  <si>
    <t>6 - 1,5 Yıl</t>
  </si>
  <si>
    <t>1,5 - 3 Yıl</t>
  </si>
  <si>
    <t>3 Yıl ve Üstü</t>
  </si>
  <si>
    <t>İhbar Bildirim (İşçi ve İşveren)</t>
  </si>
  <si>
    <t xml:space="preserve">EKSKAVATÖR OPERATÖR </t>
  </si>
  <si>
    <t>25.06.21-25.06.22</t>
  </si>
  <si>
    <t>11.04.22-11.04.23</t>
  </si>
  <si>
    <t>07.03.22-07.03.23</t>
  </si>
  <si>
    <t>18.05.17-18.05.18</t>
  </si>
  <si>
    <t>18.05.18-18.05.19</t>
  </si>
  <si>
    <t>18.05.19-18.05.20</t>
  </si>
  <si>
    <t>18.05.20-18.05.21</t>
  </si>
  <si>
    <t>18.05.21-18.05.22</t>
  </si>
  <si>
    <t>EKSKAVATÖR OPR.</t>
  </si>
  <si>
    <t>31.12.20-31.12.21</t>
  </si>
  <si>
    <t>31.12.21-31.12.22</t>
  </si>
  <si>
    <t>DOZER OPERATÖR</t>
  </si>
  <si>
    <t>27.07.21-27.07.22</t>
  </si>
  <si>
    <t>09.02.22-09.02.23</t>
  </si>
  <si>
    <t>10.01.2023 Tarihinde Devir Alacağı İzin Tutarı</t>
  </si>
  <si>
    <t>13.06.21-13.06.22</t>
  </si>
  <si>
    <t>27.04.20-27.04.21</t>
  </si>
  <si>
    <t>27.04.21-27.04.22</t>
  </si>
  <si>
    <t>07.10.20-07.10.21</t>
  </si>
  <si>
    <t>30 GÜNLÜK İZNİNİN BEDELİNİ PARA OLARAK ALDI</t>
  </si>
  <si>
    <t>YILDIZ UZUNOSMAN</t>
  </si>
  <si>
    <t>SEKRETER</t>
  </si>
  <si>
    <t>İDRİS GÖK</t>
  </si>
  <si>
    <t>ERSİN KÖLE</t>
  </si>
  <si>
    <t>ŞÜKRÜ KOCATEPE</t>
  </si>
  <si>
    <t>MEHMET AY</t>
  </si>
  <si>
    <t>30.08.21-30.08.22</t>
  </si>
  <si>
    <t>SENELİK   İZİN HAKKI TUTARI</t>
  </si>
  <si>
    <t>27.04.22-27.04.23</t>
  </si>
  <si>
    <t>09.06.21-09.06.22</t>
  </si>
  <si>
    <t>06.01.22-06.01.23</t>
  </si>
  <si>
    <t>21.10.21-21.10.22</t>
  </si>
  <si>
    <t>ROK OPERATÖR</t>
  </si>
  <si>
    <t>TOPOĞRAF</t>
  </si>
  <si>
    <t>23.01.22-23.01.23</t>
  </si>
  <si>
    <t>23.03.22-23.03.23</t>
  </si>
  <si>
    <t>28.01.19-28.01.20</t>
  </si>
  <si>
    <t>28.01.20-28.01.21</t>
  </si>
  <si>
    <t>28.01.21-28.01.22</t>
  </si>
  <si>
    <t>MUHASEBE MESLEK EL.</t>
  </si>
  <si>
    <t>28.01.22-28.01.23</t>
  </si>
  <si>
    <t>KEPÇE OPERATÖR</t>
  </si>
  <si>
    <t>23.12.19-23.12.20</t>
  </si>
  <si>
    <t>23.12.20-23.12.21</t>
  </si>
  <si>
    <t>23.12.21-23.12.22</t>
  </si>
  <si>
    <t>02.07.20-02.07.21</t>
  </si>
  <si>
    <t>02.07.21-02.07.22</t>
  </si>
  <si>
    <t>15.09.21-15.09.22</t>
  </si>
  <si>
    <t>SİLİNDİR OPERATÖR</t>
  </si>
  <si>
    <t>28.03.22-28.03.23</t>
  </si>
  <si>
    <t>04.06.21-04.06.22</t>
  </si>
  <si>
    <t>02.03.22-02.03.23</t>
  </si>
  <si>
    <t>01.11.21-01.11.22</t>
  </si>
  <si>
    <t>13.02.21-13.02.22</t>
  </si>
  <si>
    <t>13.02.22-13.02.23</t>
  </si>
  <si>
    <t>04.06.22-04.06.23</t>
  </si>
  <si>
    <t>30.12.20-30.12.21</t>
  </si>
  <si>
    <t>30.12.21-30.12.22</t>
  </si>
  <si>
    <t>26.01.20-26.01.21</t>
  </si>
  <si>
    <t>26.01.22-26.01.23</t>
  </si>
  <si>
    <t>AHMET SAVAŞ</t>
  </si>
  <si>
    <t>09.06.22-09.06.23</t>
  </si>
  <si>
    <t>NURETTİN ALTAY</t>
  </si>
  <si>
    <t>ALİ EMİCİ</t>
  </si>
  <si>
    <t>İDRİS SEVEN</t>
  </si>
  <si>
    <t>02.07.22-02.07.23</t>
  </si>
  <si>
    <t>KENAN ÇALIŞKAN</t>
  </si>
  <si>
    <t>13.06.22-13.06.23</t>
  </si>
  <si>
    <t>25.06.22-25.06.23</t>
  </si>
  <si>
    <t>MEHMET CEMİL ÇETİN</t>
  </si>
  <si>
    <t>02.06.22-02.06.23</t>
  </si>
  <si>
    <t>08.07.22-08.07.23</t>
  </si>
  <si>
    <t>29.08.22-29.08.23</t>
  </si>
  <si>
    <t>22.08.22-22.08.23</t>
  </si>
  <si>
    <t>YUSUF YASİN POLAT</t>
  </si>
  <si>
    <t>İSMAİL ÖZDEMİR</t>
  </si>
  <si>
    <t>ÖDENDİ</t>
  </si>
  <si>
    <t>MUHARREM KAN</t>
  </si>
  <si>
    <t>İŞ MAK. YAĞCISI</t>
  </si>
  <si>
    <t>30.08.22-30.08.23</t>
  </si>
  <si>
    <t>SAKIP KARACA</t>
  </si>
  <si>
    <t>ALİ DELİGÖZ</t>
  </si>
  <si>
    <t>ŞAHİN ÇAT</t>
  </si>
  <si>
    <t>TAMİRCİ</t>
  </si>
  <si>
    <t>19.08.21-19.08.22</t>
  </si>
  <si>
    <t>19.08.22-19.08.23</t>
  </si>
  <si>
    <t xml:space="preserve">eşi ameliyat oldu. </t>
  </si>
  <si>
    <t>ADI SOYADI</t>
  </si>
  <si>
    <t>1</t>
  </si>
  <si>
    <t>18 TEMMUZ 2022</t>
  </si>
  <si>
    <t>01.01.22-01.01.23</t>
  </si>
  <si>
    <t>12 KASIM 2022</t>
  </si>
  <si>
    <t>14 KASIM 2022</t>
  </si>
  <si>
    <t>03.09.22-03.09.23</t>
  </si>
  <si>
    <t>26.01.21-26.01.22</t>
  </si>
  <si>
    <t>07.10.22-07.10.23</t>
  </si>
  <si>
    <t>MUSTAFA KIRCA</t>
  </si>
  <si>
    <t>NECATİ KOCATEPE</t>
  </si>
  <si>
    <t>NECMETTİN GÜRSOY</t>
  </si>
  <si>
    <t>MEHMET ÇELİK</t>
  </si>
  <si>
    <t>20.08.22-20.08.23</t>
  </si>
  <si>
    <t>01.11.22-01.11.23</t>
  </si>
  <si>
    <t>15.09.22-15.09.23</t>
  </si>
  <si>
    <t>26.10.22-26.10.23</t>
  </si>
  <si>
    <t>ÖMER GEZMİŞ</t>
  </si>
  <si>
    <t>15.06.22-15.06.23</t>
  </si>
  <si>
    <t>21.10.22-21.10.23</t>
  </si>
  <si>
    <t>30.06.22-30.06.23</t>
  </si>
  <si>
    <t>18.05.22-18.05.23</t>
  </si>
  <si>
    <t>31.12.22-31.12.23</t>
  </si>
  <si>
    <t>27.07.22-27.07.23</t>
  </si>
  <si>
    <t>02.01.2023-02.01.2024</t>
  </si>
  <si>
    <t>06.01.23-06.01.24</t>
  </si>
  <si>
    <t>23.12.22-23.12.23</t>
  </si>
  <si>
    <t>30.12.22-30.12.23</t>
  </si>
  <si>
    <t>01.01.23-01.01.24</t>
  </si>
  <si>
    <t>28.01.23-28.01.24</t>
  </si>
  <si>
    <t>10 GÜNLÜK İZNİNİN BEDELİNİ PARA OLARAK ALDI 06.10.2023 7.000 TL</t>
  </si>
  <si>
    <t>23.01.23-23.01.24</t>
  </si>
  <si>
    <t>ÖZLEM ÖZDEMİR</t>
  </si>
  <si>
    <t>İSMAİL BEY TARAFINDAN KENDİSİNE VERİLEN</t>
  </si>
  <si>
    <t>06.03.2023 Yılı Emeklilikten Devir İzin Hakkı</t>
  </si>
  <si>
    <t>OCAK 2024 MAAŞINDAN YAPILAN KESİNTİ</t>
  </si>
  <si>
    <t xml:space="preserve">2024 OCAK MAAŞINDAN YAPILAN KESİNTİ </t>
  </si>
  <si>
    <t xml:space="preserve">YILLIK İZNİN KULLANILMASI
4857 Sayılı İş Yasasının 53’ Üncü maddesine göre işyerinde işe başladığı tarihten itibaren, deneme süreside içinde olmak kaydıyla, en Az 1 yıl çalışmış olan işçilere, yıllık izin verilmesi gerekmektedir. Nitelikleri gereği bir yıldan az süren mevsim veya kampanya işlerinde çalışanlar hakkında yıllık izin hükümleri uygulanmayacaktır. 
Yıllık izne ait hususların emrediciliği nedeniyle bu haktan vazgeçilmesi mümkün değildir. Dolayısıyla yıllık izin kullanmama taahhüdü yahut zorunluluğu içeren sözleşme hükümlerinin yok sayılması gerekmektedir. 
Yasanın 53’ Üncü maddesine ve yönetmeliğin 9’uncu maddesi uyarınca işçilere verilmesi gereken yıllık izin sürelerinin, hizmet süresi
• 1 yıldan 5 yıla kadar(5 yıl dahil) olanlara 14 günden,
• 5 yıldan fazla 15 yıldan az olanlara 20 günden,
• 15 yıl (dahil) ve daha fazla olanlara 26 günden az olmaması
• 18 ve daha küçük yaşta olan işçilere ve 50 ve daha fazla yaştaki işçilere verilecek izin süresinin de 20 günden az olmaması gerekmektedir. 
</t>
  </si>
  <si>
    <t>20.01.23-20.01.24</t>
  </si>
  <si>
    <t>RECEP BAYRAM</t>
  </si>
  <si>
    <t>EMRULLAH AKIN</t>
  </si>
  <si>
    <t>13.02.23-13.02.24</t>
  </si>
  <si>
    <t>10.03.2024 TARİHİNE KADAR KIDEM TAZMİNATINI ALDI.</t>
  </si>
  <si>
    <t xml:space="preserve">26.03.2024 SALI </t>
  </si>
  <si>
    <t>27.03.2024 ÇARŞAMBA</t>
  </si>
  <si>
    <t>28.03.2024 ÇARŞAMBA</t>
  </si>
  <si>
    <t>05.03.2024 PAZARTESİ</t>
  </si>
  <si>
    <t>06.03.2024 SALI</t>
  </si>
  <si>
    <t>14.03.2024 PERŞEMBE</t>
  </si>
  <si>
    <t>12.03.2024  SALI</t>
  </si>
  <si>
    <t>25.03.2024 PAZARTESİ</t>
  </si>
  <si>
    <t>21.03.2024 PERŞEMBE</t>
  </si>
  <si>
    <t>01.04.2024 PAZARTESİ</t>
  </si>
  <si>
    <t>15.04.2024 PAZARTESİ</t>
  </si>
  <si>
    <t>20.03.2024 SALI</t>
  </si>
  <si>
    <t>19.03.2024 SALI</t>
  </si>
  <si>
    <t>28.03.2024 PERŞEMBE</t>
  </si>
  <si>
    <t xml:space="preserve">02.04.2024 SALI </t>
  </si>
  <si>
    <t>08.04.2024 PAZARTESİ</t>
  </si>
  <si>
    <t xml:space="preserve">06.04.2024 CUMARTESİ </t>
  </si>
  <si>
    <t xml:space="preserve">08.04.2024 PAZARTESİ </t>
  </si>
  <si>
    <t xml:space="preserve">15.04.2024 PAZARTESİ </t>
  </si>
  <si>
    <t>6.04.2024 CUMARTESİ</t>
  </si>
  <si>
    <t>15.04.2024  PAZARTESİ</t>
  </si>
  <si>
    <t>30.03.2024 CUMARTESİ</t>
  </si>
  <si>
    <t xml:space="preserve">13.04.2024 CUMARTESİ </t>
  </si>
  <si>
    <t xml:space="preserve">03.04.2024 ÇARŞAMBA </t>
  </si>
  <si>
    <t xml:space="preserve">25.04.2024 PERŞEMBE </t>
  </si>
  <si>
    <t xml:space="preserve">01.04.2024 PAZARTESİ </t>
  </si>
  <si>
    <t>29.04.2024 PAZARTESİ</t>
  </si>
  <si>
    <t>26.04.2024  CUMA</t>
  </si>
  <si>
    <t>26.04.2024 CUMA</t>
  </si>
  <si>
    <t>04.05.2024 CUMARTESİ</t>
  </si>
  <si>
    <t>SALİH TUĞLU</t>
  </si>
  <si>
    <t>EKSKAVATÖR</t>
  </si>
  <si>
    <t>11/13.05.2024 CUMARTESİ</t>
  </si>
  <si>
    <t>14.05.2024 SALI</t>
  </si>
  <si>
    <t>18 Mart 2024 Cumartesi</t>
  </si>
  <si>
    <t>18 Mart Cumartesi 2024</t>
  </si>
  <si>
    <t xml:space="preserve">17.05.2024 CUMA </t>
  </si>
  <si>
    <t>20.05.2024 PAZARTESİ</t>
  </si>
  <si>
    <t>06.05.2024 PAZARTESİ</t>
  </si>
  <si>
    <t>30.04.2024 SALI</t>
  </si>
  <si>
    <t>15.05.2024 ÇARŞAMBA</t>
  </si>
  <si>
    <t>27.05.2024 Pazartesi</t>
  </si>
  <si>
    <t>24.05.2024 CUMA</t>
  </si>
  <si>
    <t>12.04.22-12.04.23</t>
  </si>
  <si>
    <t>12.04.23-12.04.24</t>
  </si>
  <si>
    <t xml:space="preserve">31.05.2024 Cuma </t>
  </si>
  <si>
    <t xml:space="preserve">03.06.2024 Pazartesi </t>
  </si>
  <si>
    <t>20.05.2024 Pazartesi</t>
  </si>
  <si>
    <t xml:space="preserve">27.05.2024 PAZARTESİ </t>
  </si>
  <si>
    <t>28.05.2024 SALI</t>
  </si>
  <si>
    <t>07.03.23-07.03.24</t>
  </si>
  <si>
    <t>28.02.23-28.02.24</t>
  </si>
  <si>
    <t>11.04.23-11.04.24</t>
  </si>
  <si>
    <t>UĞUR KOÇ</t>
  </si>
  <si>
    <t>21.02.20-20.02.21</t>
  </si>
  <si>
    <t>21.02.21-20.02.22</t>
  </si>
  <si>
    <t>21.02.22-20.02.23</t>
  </si>
  <si>
    <t>21.02.23-20.02.24</t>
  </si>
  <si>
    <t>31.05.2024 tarihinde işten çıkışı yapılarak tazminat ödemesi yapılmıştır. Devir Kalan İzin Alacağı</t>
  </si>
  <si>
    <t xml:space="preserve">05.06.2024 Çarşamba </t>
  </si>
  <si>
    <t>20.06.2024 Perşembe</t>
  </si>
  <si>
    <t>KIDEM TAZMİNATINDAN SONRA DEVREDEN İZİN</t>
  </si>
  <si>
    <t xml:space="preserve">11.06.2024 Salı </t>
  </si>
  <si>
    <t xml:space="preserve">14.06.2024 Cuma </t>
  </si>
  <si>
    <t>ÇETİN ÖZYÜKSEL</t>
  </si>
  <si>
    <t>KAYNAKCI</t>
  </si>
  <si>
    <t>10.06.2024 PAZARTESİ</t>
  </si>
  <si>
    <t>20.06.2024 PERŞEMBE</t>
  </si>
  <si>
    <t>ALPEREN TORUK</t>
  </si>
  <si>
    <t>DOĞAN YAĞMUR</t>
  </si>
  <si>
    <t>SELÇUK DOĞAN</t>
  </si>
  <si>
    <t xml:space="preserve">ÖN MUHASEBECİ </t>
  </si>
  <si>
    <t>HAKAN AKKOÇ</t>
  </si>
  <si>
    <t xml:space="preserve">KAMYON ŞOFÖRÜ </t>
  </si>
  <si>
    <t xml:space="preserve">20.06.2024 Perşembe </t>
  </si>
  <si>
    <t xml:space="preserve">24.05.2024 Pazartesi </t>
  </si>
  <si>
    <t xml:space="preserve">MUSTAFA ŞENOL SANCAK </t>
  </si>
  <si>
    <t>ENDÜSTRİYEL İLİŞKİLER VE PERSONEL İLİŞKİLERİ</t>
  </si>
  <si>
    <t>20/06/2024 Perşembe</t>
  </si>
  <si>
    <t>25.06.23-25.06.24</t>
  </si>
  <si>
    <t>13.06.23-13.06.24</t>
  </si>
  <si>
    <t>27.04.23-27.04.24</t>
  </si>
  <si>
    <t>09.06.23-09.06.24</t>
  </si>
  <si>
    <t>26.01.23-26.01.24</t>
  </si>
  <si>
    <t>04.06.23-04.06.24</t>
  </si>
  <si>
    <t>02.03.23-02.03.24</t>
  </si>
  <si>
    <t>NEVZAT KAŞIKÇI</t>
  </si>
  <si>
    <t>BULDOZER OPERATÖRÜ</t>
  </si>
  <si>
    <t>0 - 6 Ay</t>
  </si>
  <si>
    <t>EMEKLİLİK</t>
  </si>
  <si>
    <t>İŞE GİRŞ</t>
  </si>
  <si>
    <t>AYRILIŞ</t>
  </si>
  <si>
    <t>NEDENİ</t>
  </si>
  <si>
    <t>BİLD.FESİH</t>
  </si>
  <si>
    <t xml:space="preserve">ERTÜRK KAYA </t>
  </si>
  <si>
    <t>18.05.23-18.05.24</t>
  </si>
  <si>
    <t xml:space="preserve">HAYDAR AKASLAN </t>
  </si>
  <si>
    <t xml:space="preserve">ZİYA TURNA </t>
  </si>
  <si>
    <t>KONKASÖR OPERATÖRÜ</t>
  </si>
  <si>
    <t xml:space="preserve">  </t>
  </si>
  <si>
    <t>30.10.23-31.10.23 arası Çalışmasına Ücret Ödenmediğinden İzin Hakkına Eklenmiştir.</t>
  </si>
  <si>
    <t xml:space="preserve">BEDİR BOZAN </t>
  </si>
  <si>
    <t xml:space="preserve">TEMMUZ 2024 MAAŞINDAN YAPILAN KESİNTİ </t>
  </si>
  <si>
    <t xml:space="preserve">TEMMUZ 2024 MAAŞINDA YAPILAN KESİNTİ </t>
  </si>
  <si>
    <t>TEMMUZ 2024 MAAŞINDAN YAPILAN KESİNTİ</t>
  </si>
  <si>
    <t>31.07.2024 - 02/08/2024 3 Gün cenaze izini kullandı</t>
  </si>
  <si>
    <t>05-07.08.2024 TARİHLERİNDE 3 GÜN ÖLÜM İZNİ KULLANDI</t>
  </si>
  <si>
    <t>02.06.23-02.06.24</t>
  </si>
  <si>
    <t>31.08.2024 Cumartesi</t>
  </si>
  <si>
    <t>29.08.23-29.08.24</t>
  </si>
  <si>
    <t>08.04.23-08.04.24</t>
  </si>
  <si>
    <t>19 AĞUSTOS 2024 PAZARTESİ</t>
  </si>
  <si>
    <t>05 EYLÜL 2024 PERŞEMBE</t>
  </si>
  <si>
    <t>EROL MASALCI</t>
  </si>
  <si>
    <t>ilk işe giriş</t>
  </si>
  <si>
    <t>kıdem tazminatı</t>
  </si>
  <si>
    <t>21.09.22-21.09.23</t>
  </si>
  <si>
    <t>21.09.23-21.09.24</t>
  </si>
  <si>
    <t>11.03.23-11.03.24</t>
  </si>
  <si>
    <t>03.09.23-03.09-24</t>
  </si>
  <si>
    <t>02.07.23-02.07.24</t>
  </si>
  <si>
    <t>08.07.23-08.07.24</t>
  </si>
  <si>
    <t>30.06.23-30.06.24</t>
  </si>
  <si>
    <t>15.06.23-15.06.24</t>
  </si>
  <si>
    <t>27.07.23-27.07.24</t>
  </si>
  <si>
    <t>19.08.23-19.08.24</t>
  </si>
  <si>
    <t>04.09.23-04.09.24</t>
  </si>
  <si>
    <t>20.08.23-20.08.24</t>
  </si>
  <si>
    <t>23.03.23-23.03.24</t>
  </si>
  <si>
    <t>15.09.23-15.09.24</t>
  </si>
  <si>
    <t>11.08.23-11.08.24</t>
  </si>
  <si>
    <t>13.09.22-13.09.23</t>
  </si>
  <si>
    <t>13.09.23-13.09.24</t>
  </si>
  <si>
    <t>05.09.23-05.09.24</t>
  </si>
  <si>
    <t>30.08.23-30.08.24</t>
  </si>
  <si>
    <t>19.10.22-19.10.23</t>
  </si>
  <si>
    <t>11.10.22-11.10.23</t>
  </si>
  <si>
    <t>26.04.23-26.04.24</t>
  </si>
  <si>
    <t>16.08.23-16.08.24</t>
  </si>
  <si>
    <t xml:space="preserve">AĞUSTOS 2024 MAAŞINDAN YAPILAN KESİNTİ </t>
  </si>
  <si>
    <t>AĞUSTOS 2024 MAAŞINDAN YAPILAN KESİNTİ</t>
  </si>
  <si>
    <t xml:space="preserve"> AĞUSTOS 2024 MAAŞINDAN YAPILAN KESİNTİ</t>
  </si>
  <si>
    <t xml:space="preserve">04.04.2023-11.04.2023 TARİHLERİNDE 5 GÜN BABALIK İZNİ KULLANDI </t>
  </si>
  <si>
    <t>YUSUF KIROĞLU</t>
  </si>
  <si>
    <t>GÜVENLİK GÖREVLİSİ</t>
  </si>
  <si>
    <t>02.10.21-02.10.22</t>
  </si>
  <si>
    <t>02.10.22-02.10.23</t>
  </si>
  <si>
    <t xml:space="preserve">OCAK MAAŞINDAN YAPILAN  KESİNTİ 2 GÜN </t>
  </si>
  <si>
    <t>27 Eylül 2024 Cuma</t>
  </si>
  <si>
    <t>EYLÜL 2024 MAAŞINDAN YAPILAN KESİNTİ</t>
  </si>
  <si>
    <t xml:space="preserve">EYLÜL 2024 MAAŞINDAN YAPILAN KESİNTİ </t>
  </si>
  <si>
    <t xml:space="preserve">SATILMIŞ ÇAKAR </t>
  </si>
  <si>
    <t>BEKO LODER OPT.</t>
  </si>
  <si>
    <t>YENİ İŞE GİRİŞ</t>
  </si>
  <si>
    <t>07.10.23-07.10.24</t>
  </si>
  <si>
    <t>12.10.23-12.10.24</t>
  </si>
  <si>
    <t>26.10.23-26.10.24</t>
  </si>
  <si>
    <t>TAZMİNATINI ALDI</t>
  </si>
  <si>
    <t xml:space="preserve">UĞUR YILDIZ </t>
  </si>
  <si>
    <t xml:space="preserve">HASAN KURT </t>
  </si>
  <si>
    <t>SATIN ALMA SORUMLUSU</t>
  </si>
  <si>
    <t>19.10.23-19.10.24</t>
  </si>
  <si>
    <t xml:space="preserve">EKİM 2024 MAAŞINDAN YAPILAN KESİNTİ </t>
  </si>
  <si>
    <t>İŞARETÇİ/SAPANCI</t>
  </si>
  <si>
    <t>01.11.23-01.11.24</t>
  </si>
  <si>
    <t>21.10.23-21.10.24</t>
  </si>
  <si>
    <t>02.10.23-02.10.24</t>
  </si>
  <si>
    <t>E KADAR KIDEM TAZMİNATI ÖDENDİ</t>
  </si>
  <si>
    <t>TAZMİNATINI ALDI ARABULUCU YAPILDI</t>
  </si>
  <si>
    <t>KASIM 2024 MAAŞINDAN YAPILAN KESİNTİ</t>
  </si>
  <si>
    <t xml:space="preserve">MUSTAFA İSPİR </t>
  </si>
  <si>
    <t xml:space="preserve">MUHAMMET GÜRBÜZ </t>
  </si>
  <si>
    <t>23.12.23-23.12.24</t>
  </si>
  <si>
    <t xml:space="preserve">KASIM 2024 MAAŞINDAN YAPILAN KESİNTİ </t>
  </si>
  <si>
    <t xml:space="preserve">KASIM 2024 MAAŞINDAN YAPILAN YAPILAN KESİNTİ </t>
  </si>
  <si>
    <t>11.10.23-11.10.24</t>
  </si>
  <si>
    <t>EMİRHAN GÜRBÜZ</t>
  </si>
  <si>
    <t xml:space="preserve">İŞ MAKİNELERİ YAĞCISI </t>
  </si>
  <si>
    <t>ARALIK 2024 MAAŞINDAN YAPILAN KESİNTİ</t>
  </si>
  <si>
    <t xml:space="preserve">ARALIK 2024 MAAŞINDAN YAPILAN KESİNTİ </t>
  </si>
  <si>
    <t xml:space="preserve">1 OCAK MESAİSİ YERİNE 1 GÜNLÜK İZİN </t>
  </si>
  <si>
    <t>02.01.2024-02.01.2025</t>
  </si>
  <si>
    <t>14.01.2024-14.01.2025</t>
  </si>
  <si>
    <t>28.01.24-28.01.25</t>
  </si>
  <si>
    <t>01.01.24-01.01.25</t>
  </si>
  <si>
    <t>,</t>
  </si>
  <si>
    <t>OCAK 2025 MAAŞINDAN YAPILAN KESİNTİ</t>
  </si>
  <si>
    <t>31.12.23-31.12.24</t>
  </si>
  <si>
    <t>23.01.24-23.01.25</t>
  </si>
  <si>
    <t>30.12.23-30.12.24</t>
  </si>
  <si>
    <t>26.01.24-26.01.25</t>
  </si>
  <si>
    <t>07.03.24-07.03.25</t>
  </si>
  <si>
    <t>ŞUBAT 2025 MAAŞINDAN YAPILAN KESİNTİ</t>
  </si>
  <si>
    <t>04 Mart 2025 Salı</t>
  </si>
  <si>
    <t>06.01.24-06.01.25</t>
  </si>
  <si>
    <t>20.01.24-20.01.25</t>
  </si>
  <si>
    <t>22.07.16-22.07.17</t>
  </si>
  <si>
    <t>22.07.17-22.07.18</t>
  </si>
  <si>
    <t>22.07.18-22.07.19</t>
  </si>
  <si>
    <t>22.07.19-22.07.20</t>
  </si>
  <si>
    <t>İşten Ayrılış</t>
  </si>
  <si>
    <t>İşe giriş</t>
  </si>
  <si>
    <t>İşe Giriş</t>
  </si>
  <si>
    <t>Tazminat Ödendi</t>
  </si>
  <si>
    <t>Emeklilik-Tazminat Ödemesi</t>
  </si>
  <si>
    <t>28 Günlük İzin 24.08.24 Tarihinde Ödenmiştir.</t>
  </si>
  <si>
    <t>16.03.21-16.03.22</t>
  </si>
  <si>
    <t>Çalışmaya Devam Ediyor</t>
  </si>
  <si>
    <t>28.02.24-28.02.25</t>
  </si>
  <si>
    <t>17 Mart 2025 Pazartesi</t>
  </si>
  <si>
    <t>18 Mart 2025 Salı</t>
  </si>
  <si>
    <t>24 Mart 2025 Pazartesi</t>
  </si>
  <si>
    <t>25 Mart 2025 Salı</t>
  </si>
  <si>
    <t>56 Günlük İzin 28.03.25 Tarihinde Ödenmiştir. Hesabı kapatılmıştır.</t>
  </si>
  <si>
    <t>MART 2025 MAAŞINDAN YAPILAN KESİNTİ</t>
  </si>
  <si>
    <t>80.000-TL YAPI KREDİ HESABINA ÖDENEDİ</t>
  </si>
  <si>
    <t>08.04.24-08.04.25</t>
  </si>
  <si>
    <t>08.06.22-08.06.23</t>
  </si>
  <si>
    <t>08.06.23-08.06.24</t>
  </si>
  <si>
    <t>02.01.24-02.01.25</t>
  </si>
  <si>
    <t>ANA SAYFA</t>
  </si>
  <si>
    <t>11.04.24-11.04.25</t>
  </si>
  <si>
    <t>08.12.22-08.12.23</t>
  </si>
  <si>
    <t>08.12.23-08.12.24</t>
  </si>
  <si>
    <t>06.05.24-06.05.25</t>
  </si>
  <si>
    <t>19.06.23-19.06.24</t>
  </si>
  <si>
    <t>11.03.24-11.03.25</t>
  </si>
  <si>
    <t>21.03.24-21.03.25</t>
  </si>
  <si>
    <t>1. YAKIN VEFAT</t>
  </si>
  <si>
    <t>09.02.23-09.02.24</t>
  </si>
  <si>
    <t>09.02.24-09.02.25</t>
  </si>
  <si>
    <t>1.1.25 Tarihinde Çalışmasına Karşılık 1 Günlük Yıllık İzin Eklenmiştir.</t>
  </si>
  <si>
    <t xml:space="preserve">NOTLAR: </t>
  </si>
  <si>
    <t>İzin ücreti verildi. Giriş tarihi 10.01.2024 olarak düzeltildi.</t>
  </si>
  <si>
    <t>1.</t>
  </si>
  <si>
    <t>2.</t>
  </si>
  <si>
    <t>İşe Giriş Tarihi 30.08.2021 İlk yıl - 10.01.2024 İkinci Giriş Yılı</t>
  </si>
  <si>
    <t>02.02.23-02.02.24</t>
  </si>
  <si>
    <t>02.02.24-02.02.25</t>
  </si>
  <si>
    <t>BEKO-LODER OPERATÖR</t>
  </si>
  <si>
    <t>12.10.22-12.10.23</t>
  </si>
  <si>
    <t>NOTLAR;</t>
  </si>
  <si>
    <t>ÇALIŞMADAN ÖDENEN ÜCRETLER (RAPORLU)</t>
  </si>
  <si>
    <t>2025-OCAK</t>
  </si>
  <si>
    <t>2025-ŞUBAT</t>
  </si>
  <si>
    <t>2025-MART</t>
  </si>
  <si>
    <t>22.08.23-22.08.24</t>
  </si>
  <si>
    <t>09.10.23-09.10.24</t>
  </si>
  <si>
    <t>EKSKAVATÖR OPERATÖR</t>
  </si>
  <si>
    <t>17.07.23-17.07.24</t>
  </si>
  <si>
    <t>02.08.23-02.08.24</t>
  </si>
  <si>
    <t>28.03.23-28.03.24</t>
  </si>
  <si>
    <t>28.03.24-28.03.25</t>
  </si>
  <si>
    <t>02.03.24-02.03.25</t>
  </si>
  <si>
    <t>12.04.24-12.04.25</t>
  </si>
  <si>
    <t>13.02.24.13.02.25</t>
  </si>
  <si>
    <t>08.02.21-08.02.22</t>
  </si>
  <si>
    <t>08.02.22-08.02.23</t>
  </si>
  <si>
    <t>08.02.23-08.02.24</t>
  </si>
  <si>
    <t>08.02.24-08.02.25</t>
  </si>
  <si>
    <t>3 GÜN EVLİLİK</t>
  </si>
  <si>
    <t>01.09.22-01.09.23</t>
  </si>
  <si>
    <t>01.09.23-01.09.24</t>
  </si>
  <si>
    <t>23.03.23-23.03.25</t>
  </si>
  <si>
    <t>06.04.22-.06.04.23</t>
  </si>
  <si>
    <t>06.04.23-.06.04.24</t>
  </si>
  <si>
    <t>06.04.24-.06.04.25</t>
  </si>
  <si>
    <t>18.10.23-18.10.24</t>
  </si>
  <si>
    <t>24.10.22-24.10.23</t>
  </si>
  <si>
    <t>24.10.23-24.10.24</t>
  </si>
  <si>
    <t>25.08.22-25.08.23</t>
  </si>
  <si>
    <t>25.08.23-25.08.24</t>
  </si>
  <si>
    <t>21.02.24-20.02.25</t>
  </si>
  <si>
    <t>emekli oldu kıdemi hesaplandı henüz verilmedi</t>
  </si>
  <si>
    <t>3 Mayıs 2025 Cumartesi</t>
  </si>
  <si>
    <t xml:space="preserve">2 Mayıs 2025 Cuma </t>
  </si>
  <si>
    <t>3 mayıs 2025 Cumartesi</t>
  </si>
  <si>
    <t>19 Nisan 2025 Cumartesi</t>
  </si>
  <si>
    <t>26 Nisan 2025 Cumartesi</t>
  </si>
  <si>
    <t>8 nisan 2025 Salı</t>
  </si>
  <si>
    <t>30 nisan 2025 Çarşamba</t>
  </si>
  <si>
    <t>29 nisan 2025 Salı</t>
  </si>
  <si>
    <t>28 nisan 2025 Pazartesi</t>
  </si>
  <si>
    <t>14 Nisan 2025 Pazartesi</t>
  </si>
  <si>
    <t>5 Mayıs 2025 Cumartesi</t>
  </si>
  <si>
    <t>NİSAN 2025 MAAŞINDAN YAPILAN KESİNTİ</t>
  </si>
  <si>
    <t>HİKMET TÜRKOĞLU</t>
  </si>
  <si>
    <t>Beko Loder (Kazıcı - Yükleyici) Operatörü</t>
  </si>
  <si>
    <t>8.00</t>
  </si>
  <si>
    <t xml:space="preserve">NİSAN 2025 MAAŞINDAN YAPILAN KESİNTİ </t>
  </si>
  <si>
    <t xml:space="preserve">                                NİSAN 2025 MAAŞINDAN YAPILAN KESİNTİ </t>
  </si>
  <si>
    <t xml:space="preserve">NİSAN 2025 MAAŞINDA YAPILAN KESİNTİ </t>
  </si>
  <si>
    <t>İşaretçi/Sapancı</t>
  </si>
  <si>
    <t>2025-NİSAN</t>
  </si>
  <si>
    <t>ÇETİN KARABALÇIK</t>
  </si>
  <si>
    <t>MURAT ŞAHİN</t>
  </si>
  <si>
    <t>EMRAH MAYAR</t>
  </si>
  <si>
    <t>EMRAH TAŞAR</t>
  </si>
  <si>
    <t>HARİTA MÜHENDİSİ</t>
  </si>
  <si>
    <t>EV TAŞIMA</t>
  </si>
  <si>
    <t>KURBAN</t>
  </si>
  <si>
    <t>KIDEM TAZMİNATI</t>
  </si>
  <si>
    <t>MAYIS 2025 MAAŞINDAN YAPILAN KESİNTİ</t>
  </si>
  <si>
    <t>22.04.24-22.04.25</t>
  </si>
  <si>
    <t>MEHMET AYSOY</t>
  </si>
  <si>
    <t>BULDOZER-DOZER OPERATÖRÜ</t>
  </si>
  <si>
    <t>04.06.24-04.06.25</t>
  </si>
  <si>
    <t>METİN KÖKCÜ</t>
  </si>
  <si>
    <t>29.08.24-29.08.25</t>
  </si>
  <si>
    <t>HAZİRAN 2025 MAAŞINDAN YAPILAN KESİNTİ</t>
  </si>
  <si>
    <t>18.07.2025 ÇIKIŞ TARİHİNDEN KALAN ALCAK İZNİ</t>
  </si>
  <si>
    <t>16.07.2025  TARİHİNDE 60 GÜN YAPI KREDİ HESABINDAN 116.000-TL ÖDENMİŞ VE İZİN EVRAKLARI İMZALATILMIŞTIR.</t>
  </si>
  <si>
    <t>MAYIS MAAŞINDAN YAPILAN KESİNTİ</t>
  </si>
  <si>
    <t>17.09.2024-17.09.2025</t>
  </si>
  <si>
    <t>9.05.2024-9.05.2025</t>
  </si>
  <si>
    <t>31/10/2024 KIDEM TAZMİNATI VERİLDİ</t>
  </si>
  <si>
    <t>YENİ KIDEM BAŞLANGICI 01/11/2024</t>
  </si>
  <si>
    <t xml:space="preserve">MAYIS 2025 MAAŞINDAN YAPILAN KESİNTİ </t>
  </si>
  <si>
    <t>22.05.2024-22.05.2025</t>
  </si>
  <si>
    <t>02.08.24-02.08.25</t>
  </si>
  <si>
    <t>13.08.2024-13.08.2025</t>
  </si>
  <si>
    <t>EMEKLİLİK KIDEMİ VERİLDİ</t>
  </si>
  <si>
    <t>20.08.24-20.08.25</t>
  </si>
  <si>
    <t>YENİ KIDEM BAŞLANGICI</t>
  </si>
  <si>
    <t>13.06.24-13.06.25</t>
  </si>
  <si>
    <t>TEMMUZ 2025 MAAŞINDAN YAPILAN KESİNTİ</t>
  </si>
  <si>
    <t>8.04.2024-8.04.2025</t>
  </si>
  <si>
    <t>22.08.2024-22.08.2025</t>
  </si>
  <si>
    <t>4.07.2024-4.07.2025</t>
  </si>
  <si>
    <t>09.06.24-09.06.25</t>
  </si>
  <si>
    <t>19.06.24-19.06.25</t>
  </si>
  <si>
    <t>arnavutköyden dönüş</t>
  </si>
  <si>
    <t>16.08.24-16.08.25</t>
  </si>
  <si>
    <t>08.07.24-08.07.25</t>
  </si>
  <si>
    <t>15.06.24-15.06.25</t>
  </si>
  <si>
    <t>TEMMUZ MAAŞINDAN YAPILAN KESİNTİ</t>
  </si>
  <si>
    <t>KAĞIDI İMZALANMADI</t>
  </si>
  <si>
    <t>ÖMER TELLİ</t>
  </si>
  <si>
    <t>İMZASIZ</t>
  </si>
  <si>
    <t>1.09.2023-1.09.2024</t>
  </si>
  <si>
    <t>1.09.2024-1.09.2025</t>
  </si>
  <si>
    <t>ERHAN AYDEMİR</t>
  </si>
  <si>
    <t>KANTAR GÖREVLİSİ</t>
  </si>
  <si>
    <t>KIDEM TAZMİNATI ÖDENDİ</t>
  </si>
  <si>
    <t>EMİNE PALAZ</t>
  </si>
  <si>
    <t>13.03.2024-13.03.2025</t>
  </si>
  <si>
    <t>SAĞLIK NEDENİ</t>
  </si>
  <si>
    <t>TIR ÇEKİCİ ŞOFÖRÜ</t>
  </si>
  <si>
    <t>08.06.24-08.06.25</t>
  </si>
  <si>
    <t>31.07.2025 ÇIKIŞ TARİHİNDEN DEVİR</t>
  </si>
  <si>
    <t>15.01.25-15.01.26</t>
  </si>
  <si>
    <t>EMEKLİ ASGARİ</t>
  </si>
  <si>
    <t>2024-ARALIK</t>
  </si>
  <si>
    <t xml:space="preserve">KAZA GECİRDİGİNDEN DOLAYI 25 BİN TL YATIRILDI , KIDEM TAZMİNATINDAN DÜSÜLECEK </t>
  </si>
  <si>
    <t>2025-MAYIS</t>
  </si>
  <si>
    <t>2025-HAZİRAN</t>
  </si>
  <si>
    <t>KIDEM</t>
  </si>
  <si>
    <t>resmi giriş</t>
  </si>
  <si>
    <t>05.04.19-05.04.20</t>
  </si>
  <si>
    <t>05.04.20-05.04.21</t>
  </si>
  <si>
    <t>05.04.21-05.04.22</t>
  </si>
  <si>
    <t>05.04.22-05.04.23</t>
  </si>
  <si>
    <t>05.04.23-05.04.24</t>
  </si>
  <si>
    <t>05.04.24-05.04.25</t>
  </si>
  <si>
    <t>KALAN</t>
  </si>
  <si>
    <t>13 AYLIK</t>
  </si>
  <si>
    <t>AYLIK</t>
  </si>
  <si>
    <t>68 AYLIK</t>
  </si>
  <si>
    <t>5 YIL 8 AY</t>
  </si>
  <si>
    <t>(31.12.2024-05.04.2019</t>
  </si>
  <si>
    <t>ÖMER OZYER</t>
  </si>
  <si>
    <t>26.10.24-26.10.25</t>
  </si>
  <si>
    <t>04.09.24-04.09.25</t>
  </si>
  <si>
    <t>SAAT</t>
  </si>
  <si>
    <t>YILDA EN FAZLA KANUNEN</t>
  </si>
  <si>
    <t xml:space="preserve">511.597,82
</t>
  </si>
  <si>
    <t xml:space="preserve">06/01/2026 vadeli 0271123 nolu çek ile </t>
  </si>
  <si>
    <t>YENİ İŞE GİRİŞİ YENİ KIDEMİ 02/09/2025</t>
  </si>
  <si>
    <t>YENİ İE GİRİŞİ 09/07/2025</t>
  </si>
  <si>
    <t>KIDEM TAZMİNATINI ALDI</t>
  </si>
  <si>
    <t>YENİ İŞE GİRİŞİ YAPILDI KIDEMİ BURDAN BAŞLADI</t>
  </si>
  <si>
    <t>YENİ KIDEMİ BAŞLADI</t>
  </si>
  <si>
    <t>YENİ İŞE GİRİŞİ YENI KIDEM BAŞLANGICI</t>
  </si>
  <si>
    <t>11.08.24-11.08.25</t>
  </si>
  <si>
    <t>25.08.24-25.08.25</t>
  </si>
  <si>
    <t>imzasız</t>
  </si>
  <si>
    <t>İnşaat Mühendisi</t>
  </si>
  <si>
    <t>DENİZ YILDIZ</t>
  </si>
  <si>
    <t>İş Sağlığı ve Güvenliği Teknikeri</t>
  </si>
  <si>
    <t>19.08.24-19.08.25</t>
  </si>
  <si>
    <t>AĞUSTOS 2025 MAAŞINDAN YAPILAN KESİNTİ</t>
  </si>
  <si>
    <t>AĞUSTOS MAAŞINDAN YAPILAN KESİNTİ</t>
  </si>
  <si>
    <t>İŞLENMEYEN İZİNLERİ VAR</t>
  </si>
  <si>
    <t>BEDEN İŞÇİSİ</t>
  </si>
  <si>
    <t>ONUR ATILAN</t>
  </si>
  <si>
    <t>22.08.24-22.08.25</t>
  </si>
  <si>
    <t>03.09.24-03.09-25</t>
  </si>
  <si>
    <t>kıdem tazminatını aldı</t>
  </si>
  <si>
    <t>yeni işe girişi</t>
  </si>
  <si>
    <t>02.06.24-02.06.25</t>
  </si>
  <si>
    <t>DÜĞÜN</t>
  </si>
  <si>
    <t xml:space="preserve">EYLÜL 2025 MAAŞINDAN YAPILAN KESİNTİ </t>
  </si>
  <si>
    <t>25.06.24-25.06.25</t>
  </si>
  <si>
    <t>17.07.24-17.07.25</t>
  </si>
  <si>
    <t>S.N</t>
  </si>
  <si>
    <t>e kadar tazminatını aldı</t>
  </si>
  <si>
    <t>KIDEM TAZMİNATINI ALDI arabuluculu</t>
  </si>
  <si>
    <t>e KADAR TAZMİNATINI ALDI</t>
  </si>
  <si>
    <t xml:space="preserve"> ekadar kıdem tazminatını almıştı</t>
  </si>
  <si>
    <t>KURTYAPI/zSAT MAK</t>
  </si>
  <si>
    <t>yeni kıdem başlangıcı</t>
  </si>
  <si>
    <t>24.04.24-24.04.25</t>
  </si>
  <si>
    <t>e kadar KIDEM TAZMİNATINI ALDI</t>
  </si>
  <si>
    <t>e kadar kıdemini aldı</t>
  </si>
  <si>
    <t>yeni işe giriş kıdem başlama</t>
  </si>
  <si>
    <t>10 kasım da yatacak</t>
  </si>
  <si>
    <t>01.10.24-01.10.25</t>
  </si>
  <si>
    <t>11.10.24-11.10.25</t>
  </si>
  <si>
    <t>19.10.24-19.10.25</t>
  </si>
  <si>
    <t>13.09.24-13.09.25</t>
  </si>
  <si>
    <t>24.10.24-24.10.25</t>
  </si>
  <si>
    <t>12.10.24-12.10.25</t>
  </si>
  <si>
    <t>3 GÜN CENAZE</t>
  </si>
  <si>
    <t>1 GÜN 29 EKİM</t>
  </si>
  <si>
    <t>RIDVAN ÖZAY</t>
  </si>
  <si>
    <t>05.09.24-05.09.25</t>
  </si>
  <si>
    <t>EKİM 2025 MAAŞINDAN YAPILAN KESİNTİC</t>
  </si>
  <si>
    <t>15.09.24-15.09.25</t>
  </si>
  <si>
    <t>09.10.24-09.10.25</t>
  </si>
  <si>
    <t>İLK İŞE GİRİŞ 20.08.2004</t>
  </si>
  <si>
    <t>HALİL İŞİYOK</t>
  </si>
  <si>
    <t>MEMLEKETE GİDECEK</t>
  </si>
  <si>
    <t>HAMDİ AKYEL</t>
  </si>
  <si>
    <t>07.10.24-07.10.25</t>
  </si>
  <si>
    <t>08.12.24-08.12.25</t>
  </si>
  <si>
    <t>MUHAMMET HANİFİ ÖZÇELİK</t>
  </si>
  <si>
    <t>SERVET ÇELİK</t>
  </si>
  <si>
    <t>26.04.24-26.04.25</t>
  </si>
  <si>
    <t>01.11.24-01.11.25</t>
  </si>
  <si>
    <t>ERHAN DENİZ</t>
  </si>
  <si>
    <t>İNŞAAT MÜHENDİSİ</t>
  </si>
  <si>
    <t>KASIM MAAŞINDAN YAPILAN KESİNTİ</t>
  </si>
  <si>
    <t xml:space="preserve">KASIM 2025 MAAŞINDAN YAPILAN KESİNTİ </t>
  </si>
  <si>
    <t>KASIM 2025 MAAŞINDAN YAPILAN KESİNTİ</t>
  </si>
  <si>
    <t>ADI SOYADI 4</t>
  </si>
  <si>
    <t>KIDEMİNİ ALDI ARABULUCU YAPILDI</t>
  </si>
  <si>
    <t>06.01.25-06.01.26</t>
  </si>
  <si>
    <t>02.07.24-02.07.25</t>
  </si>
  <si>
    <t>01.09.24-01.09.25</t>
  </si>
  <si>
    <t>20.01.25-20.01.26</t>
  </si>
  <si>
    <t>21.09.24-21.09.25</t>
  </si>
  <si>
    <t>10.01.25-10.01.26</t>
  </si>
  <si>
    <t>31.12.24-31.12.25</t>
  </si>
  <si>
    <t>14.01.2025-14.01.2026</t>
  </si>
  <si>
    <t>13.02.25-13.02.26</t>
  </si>
  <si>
    <t>OCAK MAAŞINDAN YAPILAN KESİNTİ</t>
  </si>
  <si>
    <t>FATİH MESUT</t>
  </si>
  <si>
    <t>ÖMER AĞ</t>
  </si>
  <si>
    <t>02.02.25-02.02.26</t>
  </si>
  <si>
    <t>ABDULKADİR SARIDOĞAN</t>
  </si>
  <si>
    <t>VOLKAN ŞAHİN</t>
  </si>
  <si>
    <t>MUHİTTİN KALDIRIM</t>
  </si>
  <si>
    <t>MUHAMMETCAN GÜNDOĞDU</t>
  </si>
  <si>
    <t>YAHYA KEMAL ÖZKAN</t>
  </si>
  <si>
    <t>23.12.24-23.12.25</t>
  </si>
  <si>
    <t>HASAN ATMACA</t>
  </si>
  <si>
    <t>18.10.24-18.10.25</t>
  </si>
  <si>
    <t>27.04.24-27.04.25</t>
  </si>
  <si>
    <t xml:space="preserve">ANNESİ VEFAT ETTİ </t>
  </si>
  <si>
    <t>3 GÜN CENAZE İZNİ</t>
  </si>
  <si>
    <t>şubat ayından 14 gün izin hakkı yatırıldı sıfırlandı artık ücretsiz izin</t>
  </si>
  <si>
    <t>02.03.25-02.03.26</t>
  </si>
  <si>
    <t>28.02.25-28.02.26</t>
  </si>
  <si>
    <t>28.03.25-28.03.26</t>
  </si>
  <si>
    <t>14.01.2020-14.01.2021</t>
  </si>
  <si>
    <t>14.01.2021-14.01.2022</t>
  </si>
  <si>
    <t>14.01.2022-14.01.2023</t>
  </si>
  <si>
    <t>14.01.2023-14.01.2024</t>
  </si>
  <si>
    <t>BAYRAM CAN YILMAZ</t>
  </si>
  <si>
    <t>21.03.25-21.03.26</t>
  </si>
  <si>
    <t>11.03.25-11.03.26</t>
  </si>
  <si>
    <t>20.09.24-20.09.25</t>
  </si>
  <si>
    <t>21.10.24-21.10.25</t>
  </si>
  <si>
    <t>ONUR ÖZHAN YAKAN</t>
  </si>
  <si>
    <t>MEHMET KAYA</t>
  </si>
  <si>
    <t>SELAHATTİN ÇETİNKAYA</t>
  </si>
  <si>
    <t>07.03.25-07.03.26</t>
  </si>
  <si>
    <t>14.03.25-14.03.26</t>
  </si>
  <si>
    <t>NİLÜFER ÇELİKBİLEK</t>
  </si>
  <si>
    <t>09.02.25-09.02.26</t>
  </si>
  <si>
    <t>12.04.2025-12.04.2026</t>
  </si>
  <si>
    <t>31 ÇEKTİĞİ İÇİN 5 GÜN KESİLMİŞ OLDU</t>
  </si>
  <si>
    <t>MART MAAŞINDAN YAPILAN KESİNTİ</t>
  </si>
  <si>
    <t>23.01.25-23.01.26</t>
  </si>
  <si>
    <t>mart maaşından yapılan kesinti</t>
  </si>
  <si>
    <t>MART2026 MAAŞINDAN KESİNTİ</t>
  </si>
  <si>
    <t>MART2026 MAAŞINDAN KESİLDİ</t>
  </si>
  <si>
    <t>DİKKAT :MART MAAŞINDAN KESİNTİ YAPILMADI</t>
  </si>
  <si>
    <t>24/03/2026 ÇIKIŞ</t>
  </si>
  <si>
    <t>06/04/2026 GİRİŞ</t>
  </si>
  <si>
    <t>ADEM TÜRK</t>
  </si>
  <si>
    <t>RECEP AYDIN</t>
  </si>
  <si>
    <t>05.04.2025-05.04.2026</t>
  </si>
  <si>
    <t>VAHDETTİN YILDIZ</t>
  </si>
  <si>
    <t>EMİRHAN GÖKDEMİR</t>
  </si>
  <si>
    <t>YAŞAR ŞENTÜRK</t>
  </si>
  <si>
    <t>EROL TORUK</t>
  </si>
  <si>
    <t>23/09/2024-23/09/2025</t>
  </si>
  <si>
    <t>ÖMER KINALI</t>
  </si>
  <si>
    <t>OZAN ÖZKAN</t>
  </si>
  <si>
    <t>08.04.25-08.04.26</t>
  </si>
  <si>
    <t>Mart maaşından kesildiği için izin yazılmadı</t>
  </si>
  <si>
    <t>NİSAN MAAŞINDAN YAPILAN KESİNTİ</t>
  </si>
  <si>
    <t>ÜCRETSİZ İZİN</t>
  </si>
  <si>
    <t>ARALIK MAAŞINDAN YAPILAN KESİNTİ</t>
  </si>
  <si>
    <t>HAYDAR COŞKUN</t>
  </si>
  <si>
    <t>18.04.2025-18.04.2026</t>
  </si>
  <si>
    <t>16.06.2025-16.06.2026</t>
  </si>
  <si>
    <t>30.05.2025-30.05.2026</t>
  </si>
  <si>
    <t>26.04.2025-26.04.2026</t>
  </si>
  <si>
    <t>30.06.2025-30.06.2026</t>
  </si>
  <si>
    <t>9.05.2025-9.05.2026</t>
  </si>
  <si>
    <t xml:space="preserve">NİSAN MAAŞINDAN YAPILAN KESİNTİ </t>
  </si>
  <si>
    <t>02.08.25-02.08.26</t>
  </si>
  <si>
    <t>12.09.2025 - 12.09.2026</t>
  </si>
  <si>
    <t>NİSAN maaşından yapılan kesinti</t>
  </si>
  <si>
    <t>3.07.2025-3.07.2026</t>
  </si>
  <si>
    <t>NİSAN 2026 MAAŞINDAN KESİLDİ</t>
  </si>
  <si>
    <t>22.05.2025-22.05.26</t>
  </si>
  <si>
    <t>16.08.25-16.08.26</t>
  </si>
  <si>
    <t>02.01.25-02.01.26</t>
  </si>
  <si>
    <t>24.04.25-24.04.26</t>
  </si>
  <si>
    <t>HASAN AKÇAYOĞLU</t>
  </si>
  <si>
    <t>İBRAHİM AĞ</t>
  </si>
  <si>
    <t>MURAT TORUK</t>
  </si>
  <si>
    <t>12.04.25-12.04.26</t>
  </si>
  <si>
    <t>ÖMER ÖZTÜRK</t>
  </si>
  <si>
    <t>TURGAY ŞAŞ</t>
  </si>
  <si>
    <t>TANER OTÇU</t>
  </si>
  <si>
    <t>GÜN</t>
  </si>
  <si>
    <t>04.06.25-04.06.26</t>
  </si>
  <si>
    <t>KALP KRİZİ</t>
  </si>
  <si>
    <t>GÖZALTI</t>
  </si>
  <si>
    <t xml:space="preserve"> 08. 06.25-08.06.26</t>
  </si>
  <si>
    <t>maaş</t>
  </si>
  <si>
    <t>1gün</t>
  </si>
  <si>
    <t>22gün</t>
  </si>
  <si>
    <t>TARİHİNE KADAR KIDEMİ VERİLDİ.</t>
  </si>
  <si>
    <t>01.01.25-01.01.26</t>
  </si>
  <si>
    <t>06.05.25-06.05.26</t>
  </si>
  <si>
    <t>05.09.2023-05.09.2024</t>
  </si>
  <si>
    <t>05.09.2024-05.09.2025</t>
  </si>
  <si>
    <t>05.09.2025-05.09.2026</t>
  </si>
  <si>
    <t>03.10.2024-03.10.2025</t>
  </si>
  <si>
    <t>RIFAT AYDIN</t>
  </si>
  <si>
    <t>1.05.2024-1.05.2025</t>
  </si>
  <si>
    <t>1.05.2025-1.05.2026</t>
  </si>
  <si>
    <t>06.04.25-06.04.26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</si>
</sst>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quot;* #,##0.00_-;\-&quot;₺&quot;* #,##0.00_-;_-&quot;₺&quot;* &quot;-&quot;??_-;_-@_-"/>
    <numFmt numFmtId="43" formatCode="_-* #,##0.00_-;\-* #,##0.00_-;_-* &quot;-&quot;??_-;_-@_-"/>
    <numFmt numFmtId="164" formatCode="#,##0.00\ &quot;TL&quot;"/>
    <numFmt numFmtId="165" formatCode="#,##0.0"/>
    <numFmt numFmtId="166" formatCode="hh:mm;@"/>
    <numFmt numFmtId="167" formatCode="[$-F800]dddd\,\ mmmm\ dd\,\ yyyy"/>
    <numFmt numFmtId="168" formatCode="0.0"/>
    <numFmt numFmtId="169" formatCode="dd/mm/yy;@"/>
  </numFmts>
  <fonts count="93" x14ac:knownFonts="1">
    <font>
      <sz val="10"/>
      <color indexed="8"/>
      <name val="Arial"/>
      <charset val="162"/>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1"/>
      <color theme="1"/>
      <name val="Calibri"/>
      <family val="2"/>
      <charset val="162"/>
      <scheme val="minor"/>
    </font>
    <font>
      <sz val="10"/>
      <name val="Times New Roman"/>
      <family val="1"/>
      <charset val="162"/>
    </font>
    <font>
      <u/>
      <sz val="10"/>
      <color theme="10"/>
      <name val="Times New Roman"/>
      <family val="1"/>
      <charset val="162"/>
    </font>
    <font>
      <sz val="10"/>
      <name val="Arial Tur"/>
      <charset val="162"/>
    </font>
    <font>
      <sz val="10"/>
      <name val="Cambria"/>
      <family val="1"/>
      <charset val="162"/>
      <scheme val="major"/>
    </font>
    <font>
      <b/>
      <sz val="10"/>
      <name val="Cambria"/>
      <family val="1"/>
      <charset val="162"/>
      <scheme val="major"/>
    </font>
    <font>
      <sz val="10"/>
      <color rgb="FFFF0000"/>
      <name val="Cambria"/>
      <family val="1"/>
      <charset val="162"/>
      <scheme val="major"/>
    </font>
    <font>
      <u/>
      <sz val="10"/>
      <name val="Cambria"/>
      <family val="1"/>
      <charset val="162"/>
      <scheme val="major"/>
    </font>
    <font>
      <b/>
      <sz val="10"/>
      <color rgb="FFFF0000"/>
      <name val="Cambria"/>
      <family val="1"/>
      <charset val="162"/>
      <scheme val="major"/>
    </font>
    <font>
      <sz val="10"/>
      <color rgb="FF000000"/>
      <name val="Cambria"/>
      <family val="1"/>
      <charset val="162"/>
      <scheme val="major"/>
    </font>
    <font>
      <b/>
      <sz val="10"/>
      <color rgb="FF000000"/>
      <name val="Cambria"/>
      <family val="1"/>
      <charset val="162"/>
      <scheme val="major"/>
    </font>
    <font>
      <sz val="10"/>
      <color theme="1"/>
      <name val="Cambria"/>
      <family val="1"/>
      <charset val="162"/>
      <scheme val="major"/>
    </font>
    <font>
      <sz val="10"/>
      <name val="Verdana"/>
      <family val="2"/>
      <charset val="162"/>
    </font>
    <font>
      <sz val="10"/>
      <color theme="1"/>
      <name val="Verdana"/>
      <family val="2"/>
      <charset val="162"/>
    </font>
    <font>
      <b/>
      <sz val="10"/>
      <name val="Verdana"/>
      <family val="2"/>
      <charset val="162"/>
    </font>
    <font>
      <b/>
      <sz val="9"/>
      <color indexed="8"/>
      <name val="Verdana"/>
      <family val="2"/>
      <charset val="162"/>
    </font>
    <font>
      <sz val="9"/>
      <name val="Verdana"/>
      <family val="2"/>
      <charset val="162"/>
    </font>
    <font>
      <b/>
      <sz val="9"/>
      <name val="Verdana"/>
      <family val="2"/>
      <charset val="162"/>
    </font>
    <font>
      <b/>
      <sz val="9"/>
      <color rgb="FF000000"/>
      <name val="Verdana"/>
      <family val="2"/>
      <charset val="162"/>
    </font>
    <font>
      <u/>
      <sz val="9"/>
      <name val="Verdana"/>
      <family val="2"/>
      <charset val="162"/>
    </font>
    <font>
      <sz val="9"/>
      <color theme="1"/>
      <name val="Verdana"/>
      <family val="2"/>
      <charset val="162"/>
    </font>
    <font>
      <sz val="9"/>
      <color rgb="FFFF0000"/>
      <name val="Verdana"/>
      <family val="2"/>
      <charset val="162"/>
    </font>
    <font>
      <sz val="9"/>
      <color rgb="FF000000"/>
      <name val="Verdana"/>
      <family val="2"/>
      <charset val="162"/>
    </font>
    <font>
      <b/>
      <sz val="14"/>
      <color rgb="FFFFFF00"/>
      <name val="Verdana"/>
      <family val="2"/>
      <charset val="162"/>
    </font>
    <font>
      <b/>
      <sz val="8"/>
      <name val="Verdana"/>
      <family val="2"/>
      <charset val="162"/>
    </font>
    <font>
      <b/>
      <sz val="11"/>
      <name val="Verdana"/>
      <family val="2"/>
      <charset val="162"/>
    </font>
    <font>
      <sz val="9"/>
      <color indexed="8"/>
      <name val="Verdana"/>
      <family val="2"/>
      <charset val="162"/>
    </font>
    <font>
      <sz val="10"/>
      <color indexed="8"/>
      <name val="Verdana"/>
      <family val="2"/>
      <charset val="162"/>
    </font>
    <font>
      <b/>
      <sz val="10"/>
      <color indexed="8"/>
      <name val="Arial"/>
      <family val="2"/>
      <charset val="162"/>
    </font>
    <font>
      <b/>
      <sz val="11"/>
      <color rgb="FF000000"/>
      <name val="Cambria"/>
      <family val="1"/>
      <charset val="162"/>
      <scheme val="major"/>
    </font>
    <font>
      <b/>
      <sz val="10"/>
      <color theme="1"/>
      <name val="Verdana"/>
      <family val="2"/>
      <charset val="162"/>
    </font>
    <font>
      <sz val="7"/>
      <name val="Verdana"/>
      <family val="2"/>
      <charset val="162"/>
    </font>
    <font>
      <b/>
      <sz val="10"/>
      <color indexed="8"/>
      <name val="Verdana"/>
      <family val="2"/>
      <charset val="162"/>
    </font>
    <font>
      <sz val="9"/>
      <color indexed="8"/>
      <name val="Arial"/>
      <family val="2"/>
      <charset val="162"/>
    </font>
    <font>
      <b/>
      <sz val="9"/>
      <color theme="1"/>
      <name val="Verdana"/>
      <family val="2"/>
      <charset val="162"/>
    </font>
    <font>
      <b/>
      <u/>
      <sz val="18"/>
      <color rgb="FFFFFF00"/>
      <name val="Verdana"/>
      <family val="2"/>
      <charset val="162"/>
    </font>
    <font>
      <b/>
      <sz val="18"/>
      <color rgb="FFFFFF00"/>
      <name val="Verdana"/>
      <family val="2"/>
      <charset val="162"/>
    </font>
    <font>
      <b/>
      <sz val="10"/>
      <color rgb="FF000000"/>
      <name val="Verdana"/>
      <family val="2"/>
      <charset val="162"/>
    </font>
    <font>
      <sz val="10"/>
      <color rgb="FFFF0000"/>
      <name val="Verdana"/>
      <family val="2"/>
      <charset val="162"/>
    </font>
    <font>
      <b/>
      <sz val="13"/>
      <name val="Verdana"/>
      <family val="2"/>
      <charset val="162"/>
    </font>
    <font>
      <sz val="13"/>
      <name val="Verdana"/>
      <family val="2"/>
      <charset val="162"/>
    </font>
    <font>
      <sz val="15"/>
      <name val="Verdana"/>
      <family val="2"/>
      <charset val="162"/>
    </font>
    <font>
      <b/>
      <sz val="15"/>
      <color rgb="FF000000"/>
      <name val="Verdana"/>
      <family val="2"/>
      <charset val="162"/>
    </font>
    <font>
      <sz val="12"/>
      <color theme="1"/>
      <name val="Verdana"/>
      <family val="2"/>
      <charset val="162"/>
    </font>
    <font>
      <b/>
      <sz val="11"/>
      <color theme="1"/>
      <name val="Verdana"/>
      <family val="2"/>
      <charset val="162"/>
    </font>
    <font>
      <u/>
      <sz val="10"/>
      <name val="Verdana"/>
      <family val="2"/>
      <charset val="162"/>
    </font>
    <font>
      <sz val="18"/>
      <color indexed="8"/>
      <name val="Verdana"/>
      <family val="2"/>
      <charset val="162"/>
    </font>
    <font>
      <sz val="10"/>
      <color rgb="FF000000"/>
      <name val="Verdana"/>
      <family val="2"/>
      <charset val="162"/>
    </font>
    <font>
      <b/>
      <sz val="10"/>
      <color rgb="FFFF0000"/>
      <name val="Verdana"/>
      <family val="2"/>
      <charset val="162"/>
    </font>
    <font>
      <sz val="9"/>
      <name val="Cambria"/>
      <family val="1"/>
      <charset val="162"/>
      <scheme val="major"/>
    </font>
    <font>
      <sz val="9"/>
      <color rgb="FF000000"/>
      <name val="Cambria"/>
      <family val="1"/>
      <charset val="162"/>
      <scheme val="major"/>
    </font>
    <font>
      <b/>
      <sz val="9"/>
      <color rgb="FFFF0000"/>
      <name val="Verdana"/>
      <family val="2"/>
      <charset val="162"/>
    </font>
    <font>
      <sz val="10"/>
      <color rgb="FFFF0000"/>
      <name val="Arial"/>
      <family val="2"/>
      <charset val="162"/>
    </font>
    <font>
      <sz val="9"/>
      <color rgb="FFFFFF00"/>
      <name val="Verdana"/>
      <family val="2"/>
      <charset val="162"/>
    </font>
    <font>
      <sz val="11"/>
      <name val="Cambria"/>
      <family val="1"/>
      <charset val="162"/>
      <scheme val="major"/>
    </font>
    <font>
      <sz val="11"/>
      <color theme="1"/>
      <name val="Cambria"/>
      <family val="1"/>
      <charset val="162"/>
      <scheme val="major"/>
    </font>
    <font>
      <sz val="11"/>
      <color rgb="FF000000"/>
      <name val="Cambria"/>
      <family val="1"/>
      <charset val="162"/>
      <scheme val="major"/>
    </font>
    <font>
      <sz val="10"/>
      <color indexed="8"/>
      <name val="Arial"/>
      <family val="2"/>
      <charset val="162"/>
    </font>
    <font>
      <sz val="10"/>
      <name val="Calibri"/>
      <family val="2"/>
      <charset val="162"/>
      <scheme val="minor"/>
    </font>
    <font>
      <sz val="8"/>
      <name val="Verdana"/>
      <family val="2"/>
      <charset val="162"/>
    </font>
    <font>
      <b/>
      <sz val="16"/>
      <color indexed="8"/>
      <name val="Verdana"/>
      <family val="2"/>
      <charset val="162"/>
    </font>
    <font>
      <b/>
      <u/>
      <sz val="20"/>
      <color rgb="FFFFFF00"/>
      <name val="Times New Roman"/>
      <family val="1"/>
      <charset val="162"/>
    </font>
    <font>
      <b/>
      <u/>
      <sz val="18"/>
      <color rgb="FFFFFF00"/>
      <name val="Times New Roman"/>
      <family val="1"/>
      <charset val="162"/>
    </font>
    <font>
      <b/>
      <u/>
      <sz val="22"/>
      <color rgb="FFFFFF00"/>
      <name val="Times New Roman"/>
      <family val="1"/>
      <charset val="162"/>
    </font>
    <font>
      <b/>
      <sz val="20"/>
      <color indexed="8"/>
      <name val="Verdana"/>
      <family val="2"/>
      <charset val="162"/>
    </font>
    <font>
      <sz val="16"/>
      <name val="Verdana"/>
      <family val="2"/>
      <charset val="162"/>
    </font>
    <font>
      <sz val="16"/>
      <color indexed="8"/>
      <name val="Verdana"/>
      <family val="2"/>
      <charset val="162"/>
    </font>
    <font>
      <u/>
      <sz val="16"/>
      <name val="Verdana"/>
      <family val="2"/>
      <charset val="162"/>
    </font>
    <font>
      <b/>
      <sz val="14"/>
      <color rgb="FFFFFF00"/>
      <name val="Times New Roman"/>
      <family val="1"/>
      <charset val="162"/>
    </font>
    <font>
      <b/>
      <sz val="16"/>
      <color rgb="FFFFFF00"/>
      <name val="Verdana"/>
      <family val="2"/>
      <charset val="162"/>
    </font>
    <font>
      <b/>
      <sz val="16"/>
      <color rgb="FFFFFF00"/>
      <name val="Times New Roman"/>
      <family val="1"/>
      <charset val="162"/>
    </font>
    <font>
      <b/>
      <sz val="18"/>
      <color indexed="8"/>
      <name val="Verdana"/>
      <family val="2"/>
      <charset val="162"/>
    </font>
    <font>
      <b/>
      <sz val="18"/>
      <color rgb="FFFFFF00"/>
      <name val="Times New Roman"/>
      <family val="1"/>
      <charset val="162"/>
    </font>
    <font>
      <b/>
      <sz val="12"/>
      <color rgb="FFFF0000"/>
      <name val="Verdana"/>
      <family val="2"/>
      <charset val="162"/>
    </font>
    <font>
      <b/>
      <sz val="11"/>
      <color rgb="FFFF0000"/>
      <name val="Verdana"/>
      <family val="2"/>
      <charset val="162"/>
    </font>
    <font>
      <b/>
      <sz val="10"/>
      <color rgb="FF00B050"/>
      <name val="Verdana"/>
      <family val="2"/>
      <charset val="162"/>
    </font>
    <font>
      <b/>
      <sz val="11"/>
      <color rgb="FF000000"/>
      <name val="Verdana"/>
      <family val="2"/>
      <charset val="162"/>
    </font>
    <font>
      <b/>
      <sz val="15"/>
      <color rgb="FFFFFF00"/>
      <name val="Verdana"/>
      <family val="2"/>
      <charset val="162"/>
    </font>
    <font>
      <b/>
      <sz val="8"/>
      <color rgb="FF000000"/>
      <name val="Verdana"/>
      <family val="2"/>
      <charset val="162"/>
    </font>
    <font>
      <sz val="10"/>
      <color rgb="FF000000"/>
      <name val="Arial"/>
      <family val="2"/>
      <charset val="162"/>
    </font>
    <font>
      <sz val="10"/>
      <color indexed="8"/>
      <name val="Arial"/>
      <family val="2"/>
      <charset val="162"/>
    </font>
    <font>
      <sz val="8"/>
      <color theme="1"/>
      <name val="Verdana"/>
      <family val="2"/>
      <charset val="162"/>
    </font>
    <font>
      <sz val="9"/>
      <color indexed="81"/>
      <name val="Tahoma"/>
      <family val="2"/>
      <charset val="162"/>
    </font>
    <font>
      <b/>
      <sz val="9"/>
      <color indexed="81"/>
      <name val="Tahoma"/>
      <family val="2"/>
      <charset val="162"/>
    </font>
    <font>
      <b/>
      <sz val="20"/>
      <color rgb="FFFFFF00"/>
      <name val="Verdana"/>
      <family val="2"/>
      <charset val="162"/>
    </font>
    <font>
      <b/>
      <sz val="8"/>
      <color indexed="8"/>
      <name val="Verdana"/>
      <family val="2"/>
      <charset val="162"/>
    </font>
    <font>
      <b/>
      <u/>
      <sz val="10"/>
      <name val="Verdana"/>
      <family val="2"/>
      <charset val="162"/>
    </font>
    <font>
      <sz val="8"/>
      <name val="Arial"/>
      <family val="2"/>
      <charset val="162"/>
    </font>
    <font>
      <sz val="10"/>
      <color indexed="8"/>
      <name val="Arial"/>
      <family val="2"/>
      <charset val="162"/>
    </font>
  </fonts>
  <fills count="12">
    <fill>
      <patternFill patternType="none"/>
    </fill>
    <fill>
      <patternFill patternType="gray125"/>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rgb="FFFFCC99"/>
        <bgColor indexed="64"/>
      </patternFill>
    </fill>
    <fill>
      <patternFill patternType="solid">
        <fgColor rgb="FFCBCBCB"/>
        <bgColor indexed="64"/>
      </patternFill>
    </fill>
    <fill>
      <patternFill patternType="solid">
        <fgColor rgb="FFFFC000"/>
        <bgColor indexed="64"/>
      </patternFill>
    </fill>
    <fill>
      <patternFill patternType="solid">
        <fgColor rgb="FF00B0F0"/>
        <bgColor indexed="64"/>
      </patternFill>
    </fill>
    <fill>
      <patternFill patternType="solid">
        <fgColor rgb="FF92D050"/>
        <bgColor rgb="FF000000"/>
      </patternFill>
    </fill>
    <fill>
      <patternFill patternType="solid">
        <fgColor rgb="FF00B050"/>
        <bgColor indexed="64"/>
      </patternFill>
    </fill>
  </fills>
  <borders count="46">
    <border>
      <left/>
      <right/>
      <top/>
      <bottom/>
      <diagonal/>
    </border>
    <border>
      <left/>
      <right style="double">
        <color indexed="64"/>
      </right>
      <top style="double">
        <color indexed="64"/>
      </top>
      <bottom/>
      <diagonal/>
    </border>
    <border>
      <left/>
      <right style="double">
        <color indexed="64"/>
      </right>
      <top/>
      <bottom style="double">
        <color indexed="64"/>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right/>
      <top style="double">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rgb="FF00B050"/>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rgb="FF000000"/>
      </right>
      <top style="thin">
        <color indexed="64"/>
      </top>
      <bottom style="thin">
        <color indexed="64"/>
      </bottom>
      <diagonal/>
    </border>
    <border>
      <left style="thin">
        <color indexed="64"/>
      </left>
      <right style="thin">
        <color indexed="64"/>
      </right>
      <top/>
      <bottom/>
      <diagonal/>
    </border>
  </borders>
  <cellStyleXfs count="20">
    <xf numFmtId="0" fontId="0" fillId="0" borderId="0"/>
    <xf numFmtId="0" fontId="5" fillId="0" borderId="0"/>
    <xf numFmtId="0" fontId="6" fillId="0" borderId="0" applyNumberFormat="0" applyFill="0" applyBorder="0" applyAlignment="0" applyProtection="0">
      <alignment vertical="top"/>
      <protection locked="0"/>
    </xf>
    <xf numFmtId="0" fontId="7" fillId="0" borderId="0"/>
    <xf numFmtId="0" fontId="4" fillId="0" borderId="0"/>
    <xf numFmtId="0" fontId="3" fillId="0" borderId="0"/>
    <xf numFmtId="0" fontId="61" fillId="0" borderId="0"/>
    <xf numFmtId="0" fontId="3" fillId="0" borderId="0"/>
    <xf numFmtId="0" fontId="2" fillId="0" borderId="0"/>
    <xf numFmtId="0" fontId="2" fillId="0" borderId="0"/>
    <xf numFmtId="0" fontId="2" fillId="0" borderId="0"/>
    <xf numFmtId="43" fontId="6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84" fillId="0" borderId="0" applyFont="0" applyFill="0" applyBorder="0" applyAlignment="0" applyProtection="0"/>
    <xf numFmtId="44" fontId="92" fillId="0" borderId="0" applyFont="0" applyFill="0" applyBorder="0" applyAlignment="0" applyProtection="0"/>
  </cellStyleXfs>
  <cellXfs count="1320">
    <xf numFmtId="0" fontId="0" fillId="0" borderId="0" xfId="0"/>
    <xf numFmtId="0" fontId="8" fillId="0" borderId="3" xfId="0" applyFont="1" applyFill="1" applyBorder="1" applyAlignment="1" applyProtection="1">
      <alignment horizontal="left" vertical="top"/>
      <protection locked="0"/>
    </xf>
    <xf numFmtId="0" fontId="15" fillId="0" borderId="3" xfId="0" applyFont="1" applyFill="1" applyBorder="1" applyAlignment="1" applyProtection="1">
      <alignment horizontal="left" vertical="top"/>
      <protection locked="0"/>
    </xf>
    <xf numFmtId="0" fontId="8" fillId="0" borderId="0" xfId="0" applyFont="1" applyFill="1"/>
    <xf numFmtId="0" fontId="8" fillId="0" borderId="3" xfId="0" applyFont="1" applyFill="1" applyBorder="1" applyAlignment="1" applyProtection="1">
      <alignment horizontal="left" vertical="center" wrapText="1"/>
      <protection locked="0"/>
    </xf>
    <xf numFmtId="0" fontId="13" fillId="0" borderId="3" xfId="0" applyFont="1" applyFill="1" applyBorder="1" applyAlignment="1" applyProtection="1">
      <alignment horizontal="left" vertical="top"/>
      <protection locked="0"/>
    </xf>
    <xf numFmtId="0" fontId="9" fillId="0" borderId="3" xfId="0" applyFont="1" applyFill="1" applyBorder="1" applyAlignment="1">
      <alignment horizontal="center"/>
    </xf>
    <xf numFmtId="1" fontId="14" fillId="0" borderId="3" xfId="0" applyNumberFormat="1" applyFont="1" applyFill="1" applyBorder="1" applyAlignment="1">
      <alignment horizontal="right" vertical="center"/>
    </xf>
    <xf numFmtId="166" fontId="8" fillId="0" borderId="3" xfId="0" applyNumberFormat="1" applyFont="1" applyFill="1" applyBorder="1" applyAlignment="1" applyProtection="1">
      <alignment horizontal="center" vertical="top" wrapText="1"/>
      <protection locked="0"/>
    </xf>
    <xf numFmtId="166" fontId="15" fillId="0" borderId="3" xfId="0" applyNumberFormat="1" applyFont="1" applyFill="1" applyBorder="1" applyAlignment="1" applyProtection="1">
      <alignment horizontal="center" vertical="top" wrapText="1"/>
      <protection locked="0"/>
    </xf>
    <xf numFmtId="166" fontId="13" fillId="0" borderId="3" xfId="0" applyNumberFormat="1" applyFont="1" applyFill="1" applyBorder="1" applyAlignment="1" applyProtection="1">
      <alignment horizontal="center" vertical="top" wrapText="1"/>
      <protection locked="0"/>
    </xf>
    <xf numFmtId="0" fontId="10" fillId="0" borderId="3" xfId="0" applyFont="1" applyFill="1" applyBorder="1" applyAlignment="1" applyProtection="1">
      <alignment horizontal="left" vertical="top"/>
      <protection locked="0"/>
    </xf>
    <xf numFmtId="14" fontId="8" fillId="0" borderId="3" xfId="0" applyNumberFormat="1" applyFont="1" applyFill="1" applyBorder="1" applyAlignment="1" applyProtection="1">
      <alignment horizontal="left" vertical="center" wrapText="1"/>
      <protection locked="0"/>
    </xf>
    <xf numFmtId="166" fontId="8" fillId="0" borderId="3" xfId="0" applyNumberFormat="1" applyFont="1" applyFill="1" applyBorder="1" applyAlignment="1" applyProtection="1">
      <alignment horizontal="center" vertical="center" wrapText="1"/>
      <protection locked="0"/>
    </xf>
    <xf numFmtId="167" fontId="13" fillId="0" borderId="3" xfId="0" applyNumberFormat="1" applyFont="1" applyFill="1" applyBorder="1" applyAlignment="1">
      <alignment horizontal="center"/>
    </xf>
    <xf numFmtId="167" fontId="8" fillId="0" borderId="3" xfId="0" applyNumberFormat="1" applyFont="1" applyFill="1" applyBorder="1" applyAlignment="1">
      <alignment horizontal="center"/>
    </xf>
    <xf numFmtId="167" fontId="8" fillId="0" borderId="3" xfId="0" applyNumberFormat="1" applyFont="1" applyFill="1" applyBorder="1" applyAlignment="1" applyProtection="1">
      <alignment horizontal="center" vertical="top"/>
      <protection locked="0"/>
    </xf>
    <xf numFmtId="167" fontId="8" fillId="0" borderId="3" xfId="0" applyNumberFormat="1" applyFont="1" applyFill="1" applyBorder="1" applyAlignment="1">
      <alignment horizontal="center" vertical="center" wrapText="1"/>
    </xf>
    <xf numFmtId="167" fontId="8" fillId="0" borderId="3" xfId="0" applyNumberFormat="1" applyFont="1" applyFill="1" applyBorder="1" applyAlignment="1" applyProtection="1">
      <alignment horizontal="center" vertical="center" wrapText="1"/>
      <protection locked="0"/>
    </xf>
    <xf numFmtId="167" fontId="15" fillId="0" borderId="3" xfId="0" applyNumberFormat="1" applyFont="1" applyFill="1" applyBorder="1" applyAlignment="1" applyProtection="1">
      <alignment horizontal="center" vertical="top"/>
      <protection locked="0"/>
    </xf>
    <xf numFmtId="167" fontId="13" fillId="0" borderId="3" xfId="0" applyNumberFormat="1" applyFont="1" applyFill="1" applyBorder="1" applyAlignment="1" applyProtection="1">
      <alignment horizontal="center" vertical="top"/>
      <protection locked="0"/>
    </xf>
    <xf numFmtId="0" fontId="9" fillId="0" borderId="3" xfId="0" applyFont="1" applyFill="1" applyBorder="1"/>
    <xf numFmtId="165" fontId="14" fillId="0" borderId="3" xfId="0" applyNumberFormat="1" applyFont="1" applyFill="1" applyBorder="1" applyAlignment="1" applyProtection="1">
      <alignment horizontal="center" vertical="center" wrapText="1"/>
      <protection locked="0"/>
    </xf>
    <xf numFmtId="14" fontId="9" fillId="0" borderId="3" xfId="0" applyNumberFormat="1" applyFont="1" applyFill="1" applyBorder="1" applyAlignment="1">
      <alignment horizontal="center"/>
    </xf>
    <xf numFmtId="0" fontId="12" fillId="0" borderId="3" xfId="0" applyFont="1" applyFill="1" applyBorder="1" applyAlignment="1" applyProtection="1">
      <alignment horizontal="left" vertical="top"/>
      <protection locked="0"/>
    </xf>
    <xf numFmtId="1" fontId="14" fillId="0" borderId="3" xfId="0" applyNumberFormat="1" applyFont="1" applyFill="1" applyBorder="1" applyAlignment="1">
      <alignment horizontal="center" vertical="center"/>
    </xf>
    <xf numFmtId="0" fontId="9" fillId="0" borderId="3" xfId="0" applyFont="1" applyFill="1" applyBorder="1" applyAlignment="1">
      <alignment horizontal="center" vertical="center"/>
    </xf>
    <xf numFmtId="0" fontId="14" fillId="0" borderId="3" xfId="0" applyNumberFormat="1" applyFont="1" applyFill="1" applyBorder="1" applyAlignment="1">
      <alignment horizontal="center" vertical="center"/>
    </xf>
    <xf numFmtId="0" fontId="19" fillId="0" borderId="0" xfId="0" applyFont="1" applyFill="1" applyBorder="1" applyAlignment="1">
      <alignment horizontal="right"/>
    </xf>
    <xf numFmtId="0" fontId="19" fillId="0" borderId="3" xfId="0" applyFont="1" applyFill="1" applyBorder="1" applyAlignment="1">
      <alignment horizontal="left"/>
    </xf>
    <xf numFmtId="0" fontId="20" fillId="0" borderId="0" xfId="0" applyFont="1" applyFill="1"/>
    <xf numFmtId="14" fontId="19" fillId="0" borderId="3" xfId="0" applyNumberFormat="1" applyFont="1" applyFill="1" applyBorder="1" applyAlignment="1">
      <alignment horizontal="left"/>
    </xf>
    <xf numFmtId="0" fontId="21" fillId="0" borderId="0" xfId="0" applyFont="1" applyFill="1" applyBorder="1" applyAlignment="1" applyProtection="1">
      <alignment horizontal="center" wrapText="1"/>
      <protection locked="0"/>
    </xf>
    <xf numFmtId="0" fontId="20" fillId="0" borderId="0" xfId="0" applyFont="1" applyFill="1" applyAlignment="1">
      <alignment horizontal="center" vertical="center" wrapText="1"/>
    </xf>
    <xf numFmtId="164" fontId="21" fillId="0" borderId="0" xfId="0" applyNumberFormat="1" applyFont="1" applyFill="1" applyBorder="1" applyAlignment="1" applyProtection="1">
      <alignment horizontal="center" vertical="center" wrapText="1"/>
      <protection locked="0"/>
    </xf>
    <xf numFmtId="14" fontId="20" fillId="0" borderId="3" xfId="0" applyNumberFormat="1" applyFont="1" applyFill="1" applyBorder="1" applyAlignment="1" applyProtection="1">
      <alignment horizontal="left" vertical="center" wrapText="1"/>
      <protection locked="0"/>
    </xf>
    <xf numFmtId="167" fontId="20" fillId="0" borderId="3" xfId="0" applyNumberFormat="1" applyFont="1" applyFill="1" applyBorder="1" applyAlignment="1">
      <alignment horizontal="center" vertical="center" wrapText="1"/>
    </xf>
    <xf numFmtId="167" fontId="20" fillId="0" borderId="3" xfId="0" applyNumberFormat="1" applyFont="1" applyFill="1" applyBorder="1" applyAlignment="1" applyProtection="1">
      <alignment horizontal="center" vertical="center" wrapText="1"/>
      <protection locked="0"/>
    </xf>
    <xf numFmtId="166" fontId="20" fillId="0" borderId="3" xfId="0" applyNumberFormat="1" applyFont="1" applyFill="1" applyBorder="1" applyAlignment="1" applyProtection="1">
      <alignment horizontal="center" vertical="center" wrapText="1"/>
      <protection locked="0"/>
    </xf>
    <xf numFmtId="165" fontId="22" fillId="0" borderId="3" xfId="0" applyNumberFormat="1" applyFont="1" applyFill="1" applyBorder="1" applyAlignment="1" applyProtection="1">
      <alignment horizontal="center" vertical="center" wrapText="1"/>
      <protection locked="0"/>
    </xf>
    <xf numFmtId="165" fontId="22" fillId="0" borderId="0" xfId="0" applyNumberFormat="1" applyFont="1" applyFill="1" applyBorder="1" applyAlignment="1" applyProtection="1">
      <alignment horizontal="center" vertical="center" wrapText="1"/>
      <protection locked="0"/>
    </xf>
    <xf numFmtId="0" fontId="23" fillId="0" borderId="0" xfId="2" applyFont="1" applyFill="1" applyBorder="1" applyAlignment="1" applyProtection="1">
      <alignment horizontal="center" vertical="center"/>
    </xf>
    <xf numFmtId="0" fontId="20" fillId="0" borderId="3" xfId="0" applyFont="1" applyFill="1" applyBorder="1" applyAlignment="1" applyProtection="1">
      <alignment horizontal="left" vertical="center" wrapText="1"/>
      <protection locked="0"/>
    </xf>
    <xf numFmtId="0" fontId="24" fillId="0" borderId="3" xfId="0" applyFont="1" applyFill="1" applyBorder="1" applyAlignment="1" applyProtection="1">
      <alignment horizontal="left" vertical="top"/>
      <protection locked="0"/>
    </xf>
    <xf numFmtId="167" fontId="24" fillId="0" borderId="3" xfId="0" applyNumberFormat="1" applyFont="1" applyFill="1" applyBorder="1" applyAlignment="1" applyProtection="1">
      <alignment horizontal="center" vertical="top"/>
      <protection locked="0"/>
    </xf>
    <xf numFmtId="0" fontId="21" fillId="0" borderId="3" xfId="0" applyFont="1" applyFill="1" applyBorder="1" applyAlignment="1">
      <alignment horizontal="center"/>
    </xf>
    <xf numFmtId="0" fontId="21" fillId="0" borderId="0" xfId="0" applyFont="1" applyFill="1" applyBorder="1" applyAlignment="1">
      <alignment horizontal="center"/>
    </xf>
    <xf numFmtId="0" fontId="25" fillId="0" borderId="3" xfId="0" applyFont="1" applyFill="1" applyBorder="1" applyAlignment="1" applyProtection="1">
      <alignment horizontal="left" vertical="top"/>
      <protection locked="0"/>
    </xf>
    <xf numFmtId="1" fontId="22" fillId="0" borderId="3" xfId="0" applyNumberFormat="1" applyFont="1" applyFill="1" applyBorder="1" applyAlignment="1">
      <alignment horizontal="right" vertical="center"/>
    </xf>
    <xf numFmtId="1" fontId="22" fillId="0" borderId="0" xfId="0" applyNumberFormat="1" applyFont="1" applyFill="1" applyBorder="1" applyAlignment="1">
      <alignment horizontal="right" vertical="center"/>
    </xf>
    <xf numFmtId="164" fontId="20" fillId="0" borderId="0" xfId="0" applyNumberFormat="1" applyFont="1" applyFill="1"/>
    <xf numFmtId="0" fontId="26" fillId="0" borderId="3" xfId="0" applyFont="1" applyFill="1" applyBorder="1" applyAlignment="1" applyProtection="1">
      <alignment horizontal="left" vertical="top"/>
      <protection locked="0"/>
    </xf>
    <xf numFmtId="167" fontId="26" fillId="0" borderId="3" xfId="0" applyNumberFormat="1" applyFont="1" applyFill="1" applyBorder="1" applyAlignment="1">
      <alignment horizontal="center"/>
    </xf>
    <xf numFmtId="167" fontId="26" fillId="0" borderId="3" xfId="0" applyNumberFormat="1" applyFont="1" applyFill="1" applyBorder="1" applyAlignment="1" applyProtection="1">
      <alignment horizontal="center" vertical="top"/>
      <protection locked="0"/>
    </xf>
    <xf numFmtId="166" fontId="26" fillId="0" borderId="3" xfId="0" applyNumberFormat="1" applyFont="1" applyFill="1" applyBorder="1" applyAlignment="1" applyProtection="1">
      <alignment horizontal="center" vertical="top" wrapText="1"/>
      <protection locked="0"/>
    </xf>
    <xf numFmtId="0" fontId="20" fillId="0" borderId="3" xfId="0" applyFont="1" applyFill="1" applyBorder="1" applyAlignment="1" applyProtection="1">
      <alignment horizontal="left" vertical="top"/>
      <protection locked="0"/>
    </xf>
    <xf numFmtId="167" fontId="20" fillId="0" borderId="3" xfId="0" applyNumberFormat="1" applyFont="1" applyFill="1" applyBorder="1" applyAlignment="1" applyProtection="1">
      <alignment horizontal="center" vertical="top"/>
      <protection locked="0"/>
    </xf>
    <xf numFmtId="166" fontId="20" fillId="0" borderId="3" xfId="0" applyNumberFormat="1" applyFont="1" applyFill="1" applyBorder="1" applyAlignment="1" applyProtection="1">
      <alignment horizontal="center" vertical="top" wrapText="1"/>
      <protection locked="0"/>
    </xf>
    <xf numFmtId="167" fontId="20" fillId="0" borderId="3" xfId="0" applyNumberFormat="1" applyFont="1" applyFill="1" applyBorder="1" applyAlignment="1">
      <alignment horizontal="center"/>
    </xf>
    <xf numFmtId="1" fontId="21" fillId="0" borderId="3" xfId="0" applyNumberFormat="1" applyFont="1" applyFill="1" applyBorder="1" applyAlignment="1">
      <alignment horizontal="right" vertical="center"/>
    </xf>
    <xf numFmtId="1" fontId="21" fillId="0" borderId="0" xfId="0" applyNumberFormat="1" applyFont="1" applyFill="1" applyBorder="1" applyAlignment="1">
      <alignment horizontal="right" vertical="center"/>
    </xf>
    <xf numFmtId="1" fontId="21" fillId="0" borderId="0" xfId="0" applyNumberFormat="1" applyFont="1" applyFill="1" applyBorder="1" applyAlignment="1" applyProtection="1">
      <alignment horizontal="right" vertical="top" wrapText="1"/>
      <protection locked="0"/>
    </xf>
    <xf numFmtId="0" fontId="20" fillId="0" borderId="0" xfId="0" applyFont="1" applyFill="1" applyAlignment="1">
      <alignment horizontal="center"/>
    </xf>
    <xf numFmtId="164" fontId="21" fillId="0" borderId="0" xfId="0" applyNumberFormat="1" applyFont="1" applyFill="1"/>
    <xf numFmtId="164" fontId="20" fillId="0" borderId="0" xfId="0" applyNumberFormat="1" applyFont="1" applyFill="1" applyAlignment="1">
      <alignment horizontal="center" wrapText="1"/>
    </xf>
    <xf numFmtId="164" fontId="21" fillId="0" borderId="0" xfId="0" applyNumberFormat="1" applyFont="1" applyFill="1" applyAlignment="1">
      <alignment horizontal="right" wrapText="1"/>
    </xf>
    <xf numFmtId="1" fontId="22" fillId="0" borderId="3" xfId="0" applyNumberFormat="1" applyFont="1" applyFill="1" applyBorder="1" applyAlignment="1">
      <alignment horizontal="center" vertical="center"/>
    </xf>
    <xf numFmtId="1" fontId="21" fillId="0" borderId="3" xfId="0" applyNumberFormat="1" applyFont="1" applyFill="1" applyBorder="1" applyAlignment="1">
      <alignment horizontal="center" vertical="center"/>
    </xf>
    <xf numFmtId="0" fontId="22" fillId="0" borderId="3" xfId="0" applyNumberFormat="1" applyFont="1" applyFill="1" applyBorder="1" applyAlignment="1">
      <alignment horizontal="center" vertical="center"/>
    </xf>
    <xf numFmtId="0" fontId="28" fillId="0" borderId="7" xfId="0" applyFont="1" applyFill="1" applyBorder="1" applyAlignment="1" applyProtection="1">
      <alignment horizontal="center" vertical="center" wrapText="1"/>
      <protection locked="0"/>
    </xf>
    <xf numFmtId="49" fontId="28" fillId="0" borderId="7" xfId="0" applyNumberFormat="1" applyFont="1" applyFill="1" applyBorder="1" applyAlignment="1">
      <alignment horizontal="center" vertical="center" wrapText="1"/>
    </xf>
    <xf numFmtId="164" fontId="28" fillId="0" borderId="7" xfId="0" applyNumberFormat="1" applyFont="1" applyFill="1" applyBorder="1" applyAlignment="1" applyProtection="1">
      <alignment horizontal="center" vertical="center" wrapText="1"/>
      <protection locked="0"/>
    </xf>
    <xf numFmtId="0" fontId="20" fillId="0" borderId="11" xfId="0" applyFont="1" applyFill="1" applyBorder="1" applyAlignment="1" applyProtection="1">
      <alignment horizontal="center" vertical="top"/>
      <protection locked="0"/>
    </xf>
    <xf numFmtId="167" fontId="20" fillId="0" borderId="11" xfId="0" applyNumberFormat="1" applyFont="1" applyFill="1" applyBorder="1" applyAlignment="1" applyProtection="1">
      <alignment horizontal="center" vertical="top"/>
      <protection locked="0"/>
    </xf>
    <xf numFmtId="167" fontId="20" fillId="0" borderId="11" xfId="0" applyNumberFormat="1" applyFont="1" applyFill="1" applyBorder="1" applyAlignment="1">
      <alignment horizontal="center"/>
    </xf>
    <xf numFmtId="166" fontId="20" fillId="0" borderId="11" xfId="0" applyNumberFormat="1" applyFont="1" applyFill="1" applyBorder="1" applyAlignment="1">
      <alignment horizontal="center" wrapText="1"/>
    </xf>
    <xf numFmtId="1" fontId="18" fillId="0" borderId="3" xfId="0" applyNumberFormat="1" applyFont="1" applyFill="1" applyBorder="1" applyAlignment="1" applyProtection="1">
      <alignment horizontal="center" vertical="top" wrapText="1"/>
      <protection locked="0"/>
    </xf>
    <xf numFmtId="165" fontId="18" fillId="0" borderId="3" xfId="0" applyNumberFormat="1" applyFont="1" applyFill="1" applyBorder="1" applyAlignment="1" applyProtection="1">
      <alignment horizontal="center" vertical="top" wrapText="1"/>
      <protection locked="0"/>
    </xf>
    <xf numFmtId="165" fontId="26" fillId="0" borderId="3" xfId="0" applyNumberFormat="1" applyFont="1" applyFill="1" applyBorder="1" applyAlignment="1" applyProtection="1">
      <alignment horizontal="center" vertical="center" wrapText="1"/>
      <protection locked="0"/>
    </xf>
    <xf numFmtId="0" fontId="20" fillId="0" borderId="3" xfId="0" applyFont="1" applyFill="1" applyBorder="1" applyAlignment="1">
      <alignment horizontal="center"/>
    </xf>
    <xf numFmtId="165" fontId="22" fillId="0" borderId="3" xfId="0" applyNumberFormat="1" applyFont="1" applyFill="1" applyBorder="1" applyAlignment="1">
      <alignment horizontal="center" vertical="center"/>
    </xf>
    <xf numFmtId="1" fontId="26" fillId="0" borderId="3" xfId="0" applyNumberFormat="1" applyFont="1" applyFill="1" applyBorder="1" applyAlignment="1">
      <alignment horizontal="center" vertical="center"/>
    </xf>
    <xf numFmtId="0" fontId="31" fillId="0" borderId="0" xfId="0" applyFont="1"/>
    <xf numFmtId="14" fontId="18" fillId="5" borderId="3" xfId="2" applyNumberFormat="1" applyFont="1" applyFill="1" applyBorder="1" applyAlignment="1" applyProtection="1">
      <alignment horizontal="left" vertical="center"/>
    </xf>
    <xf numFmtId="165" fontId="29" fillId="0" borderId="3" xfId="0" applyNumberFormat="1" applyFont="1" applyFill="1" applyBorder="1" applyAlignment="1">
      <alignment horizontal="center"/>
    </xf>
    <xf numFmtId="0" fontId="21" fillId="0" borderId="3" xfId="0" applyFont="1" applyFill="1" applyBorder="1"/>
    <xf numFmtId="166" fontId="24" fillId="0" borderId="3" xfId="0" applyNumberFormat="1" applyFont="1" applyFill="1" applyBorder="1" applyAlignment="1" applyProtection="1">
      <alignment horizontal="center" vertical="top" wrapText="1"/>
      <protection locked="0"/>
    </xf>
    <xf numFmtId="0" fontId="22" fillId="0" borderId="3" xfId="0" applyNumberFormat="1" applyFont="1" applyFill="1" applyBorder="1" applyAlignment="1">
      <alignment horizontal="right" vertical="center"/>
    </xf>
    <xf numFmtId="0" fontId="18" fillId="5" borderId="3" xfId="2" applyFont="1" applyFill="1" applyBorder="1" applyAlignment="1" applyProtection="1">
      <alignment horizontal="left" vertical="center"/>
    </xf>
    <xf numFmtId="14" fontId="21" fillId="5" borderId="3" xfId="2" applyNumberFormat="1" applyFont="1" applyFill="1" applyBorder="1" applyAlignment="1" applyProtection="1">
      <alignment horizontal="left" vertical="center"/>
    </xf>
    <xf numFmtId="0" fontId="19" fillId="5" borderId="3" xfId="0" applyFont="1" applyFill="1" applyBorder="1" applyAlignment="1">
      <alignment horizontal="left"/>
    </xf>
    <xf numFmtId="1" fontId="33" fillId="0" borderId="3" xfId="0" applyNumberFormat="1" applyFont="1" applyFill="1" applyBorder="1" applyAlignment="1">
      <alignment horizontal="center" vertical="center"/>
    </xf>
    <xf numFmtId="166" fontId="8" fillId="0" borderId="3" xfId="0" applyNumberFormat="1" applyFont="1" applyFill="1" applyBorder="1" applyAlignment="1" applyProtection="1">
      <alignment horizontal="left" vertical="top" wrapText="1"/>
      <protection locked="0"/>
    </xf>
    <xf numFmtId="167" fontId="8" fillId="0" borderId="3" xfId="0" applyNumberFormat="1" applyFont="1" applyFill="1" applyBorder="1" applyAlignment="1">
      <alignment horizontal="left"/>
    </xf>
    <xf numFmtId="167" fontId="8" fillId="0" borderId="3" xfId="0" applyNumberFormat="1" applyFont="1" applyFill="1" applyBorder="1" applyAlignment="1" applyProtection="1">
      <alignment horizontal="left" vertical="top"/>
      <protection locked="0"/>
    </xf>
    <xf numFmtId="2" fontId="16" fillId="0" borderId="0" xfId="1" applyNumberFormat="1" applyFont="1" applyFill="1" applyBorder="1" applyAlignment="1">
      <alignment horizontal="center" vertical="center" wrapText="1"/>
    </xf>
    <xf numFmtId="2" fontId="18" fillId="0" borderId="0" xfId="1" applyNumberFormat="1" applyFont="1" applyFill="1" applyBorder="1" applyAlignment="1">
      <alignment horizontal="center" vertical="center" wrapText="1"/>
    </xf>
    <xf numFmtId="2" fontId="35" fillId="0" borderId="0" xfId="1" applyNumberFormat="1" applyFont="1" applyFill="1" applyBorder="1" applyAlignment="1">
      <alignment horizontal="center" vertical="center" wrapText="1"/>
    </xf>
    <xf numFmtId="0" fontId="37" fillId="0" borderId="0" xfId="0" applyFont="1"/>
    <xf numFmtId="0" fontId="21" fillId="0" borderId="7" xfId="0" applyFont="1" applyFill="1" applyBorder="1" applyAlignment="1" applyProtection="1">
      <alignment horizontal="center" vertical="center" wrapText="1"/>
      <protection locked="0"/>
    </xf>
    <xf numFmtId="49" fontId="21" fillId="0" borderId="7" xfId="0" applyNumberFormat="1" applyFont="1" applyFill="1" applyBorder="1" applyAlignment="1">
      <alignment horizontal="center" vertical="center" wrapText="1"/>
    </xf>
    <xf numFmtId="164" fontId="21" fillId="0" borderId="7" xfId="0" applyNumberFormat="1" applyFont="1" applyFill="1" applyBorder="1" applyAlignment="1" applyProtection="1">
      <alignment horizontal="center" vertical="center" wrapText="1"/>
      <protection locked="0"/>
    </xf>
    <xf numFmtId="1" fontId="21" fillId="0" borderId="3" xfId="0" applyNumberFormat="1" applyFont="1" applyFill="1" applyBorder="1" applyAlignment="1" applyProtection="1">
      <alignment horizontal="center" vertical="top" wrapText="1"/>
      <protection locked="0"/>
    </xf>
    <xf numFmtId="165" fontId="21" fillId="0" borderId="3" xfId="0" applyNumberFormat="1" applyFont="1" applyFill="1" applyBorder="1" applyAlignment="1" applyProtection="1">
      <alignment horizontal="center" vertical="top" wrapText="1"/>
      <protection locked="0"/>
    </xf>
    <xf numFmtId="0" fontId="21" fillId="0" borderId="3" xfId="0" applyFont="1" applyFill="1" applyBorder="1" applyAlignment="1">
      <alignment horizontal="center"/>
    </xf>
    <xf numFmtId="165" fontId="21" fillId="0" borderId="3" xfId="0" applyNumberFormat="1" applyFont="1" applyFill="1" applyBorder="1" applyAlignment="1">
      <alignment horizontal="center"/>
    </xf>
    <xf numFmtId="1" fontId="21" fillId="0" borderId="3" xfId="0" applyNumberFormat="1" applyFont="1" applyFill="1" applyBorder="1" applyAlignment="1">
      <alignment horizontal="center"/>
    </xf>
    <xf numFmtId="3" fontId="21" fillId="0" borderId="3" xfId="0" applyNumberFormat="1" applyFont="1" applyFill="1" applyBorder="1" applyAlignment="1">
      <alignment horizontal="center"/>
    </xf>
    <xf numFmtId="3" fontId="18" fillId="0" borderId="3" xfId="0" applyNumberFormat="1" applyFont="1" applyFill="1" applyBorder="1" applyAlignment="1" applyProtection="1">
      <alignment horizontal="center" vertical="top" wrapText="1"/>
      <protection locked="0"/>
    </xf>
    <xf numFmtId="3" fontId="29" fillId="0" borderId="3" xfId="0" applyNumberFormat="1" applyFont="1" applyFill="1" applyBorder="1" applyAlignment="1">
      <alignment horizontal="center"/>
    </xf>
    <xf numFmtId="0" fontId="21" fillId="5" borderId="3" xfId="2" applyFont="1" applyFill="1" applyBorder="1" applyAlignment="1" applyProtection="1">
      <alignment horizontal="left" vertical="center"/>
    </xf>
    <xf numFmtId="167" fontId="24" fillId="0" borderId="3" xfId="0" applyNumberFormat="1" applyFont="1" applyFill="1" applyBorder="1" applyAlignment="1">
      <alignment horizontal="center"/>
    </xf>
    <xf numFmtId="14" fontId="21" fillId="0" borderId="3" xfId="0" applyNumberFormat="1" applyFont="1" applyFill="1" applyBorder="1" applyAlignment="1">
      <alignment horizontal="center"/>
    </xf>
    <xf numFmtId="0" fontId="30" fillId="0" borderId="0" xfId="0" applyFont="1"/>
    <xf numFmtId="3" fontId="21" fillId="0" borderId="3" xfId="0" applyNumberFormat="1" applyFont="1" applyFill="1" applyBorder="1" applyAlignment="1" applyProtection="1">
      <alignment horizontal="center" vertical="top" wrapText="1"/>
      <protection locked="0"/>
    </xf>
    <xf numFmtId="1" fontId="22" fillId="0" borderId="3" xfId="0" applyNumberFormat="1" applyFont="1" applyFill="1" applyBorder="1" applyAlignment="1" applyProtection="1">
      <alignment horizontal="center" vertical="center" wrapText="1"/>
      <protection locked="0"/>
    </xf>
    <xf numFmtId="49" fontId="22" fillId="0" borderId="3" xfId="0" applyNumberFormat="1" applyFont="1" applyFill="1" applyBorder="1" applyAlignment="1">
      <alignment horizontal="center" vertical="center"/>
    </xf>
    <xf numFmtId="14" fontId="20" fillId="0" borderId="3" xfId="0" applyNumberFormat="1" applyFont="1" applyFill="1" applyBorder="1" applyAlignment="1">
      <alignment horizontal="center"/>
    </xf>
    <xf numFmtId="1" fontId="9" fillId="0" borderId="3" xfId="0" applyNumberFormat="1" applyFont="1" applyFill="1" applyBorder="1" applyAlignment="1">
      <alignment horizontal="center"/>
    </xf>
    <xf numFmtId="0" fontId="19" fillId="0" borderId="0" xfId="0" applyFont="1" applyFill="1" applyBorder="1" applyAlignment="1">
      <alignment horizontal="center" vertical="center" wrapText="1"/>
    </xf>
    <xf numFmtId="0" fontId="30" fillId="0" borderId="0" xfId="0" applyFont="1" applyAlignment="1">
      <alignment horizontal="center" vertical="center" wrapText="1"/>
    </xf>
    <xf numFmtId="14" fontId="20" fillId="0" borderId="3" xfId="0" applyNumberFormat="1" applyFont="1" applyFill="1" applyBorder="1" applyAlignment="1" applyProtection="1">
      <alignment horizontal="center" vertical="center" wrapText="1"/>
      <protection locked="0"/>
    </xf>
    <xf numFmtId="14" fontId="21" fillId="0" borderId="3" xfId="0" applyNumberFormat="1" applyFont="1" applyFill="1" applyBorder="1" applyAlignment="1">
      <alignment horizontal="center" vertical="center" wrapText="1"/>
    </xf>
    <xf numFmtId="1" fontId="21" fillId="0" borderId="3" xfId="0" applyNumberFormat="1" applyFont="1" applyFill="1" applyBorder="1" applyAlignment="1">
      <alignment horizontal="center" vertical="center" wrapText="1"/>
    </xf>
    <xf numFmtId="0" fontId="23" fillId="0" borderId="0" xfId="2" applyFont="1" applyFill="1" applyBorder="1" applyAlignment="1" applyProtection="1">
      <alignment horizontal="center" vertical="center" wrapText="1"/>
    </xf>
    <xf numFmtId="0" fontId="20" fillId="0" borderId="3" xfId="0" applyFont="1" applyFill="1" applyBorder="1" applyAlignment="1" applyProtection="1">
      <alignment horizontal="center" vertical="center" wrapText="1"/>
      <protection locked="0"/>
    </xf>
    <xf numFmtId="0" fontId="21" fillId="0" borderId="3" xfId="0" applyFont="1" applyFill="1" applyBorder="1" applyAlignment="1">
      <alignment horizontal="center" vertical="center" wrapText="1"/>
    </xf>
    <xf numFmtId="1" fontId="22" fillId="0" borderId="3" xfId="0" applyNumberFormat="1" applyFont="1" applyFill="1" applyBorder="1" applyAlignment="1">
      <alignment horizontal="center" vertical="center" wrapText="1"/>
    </xf>
    <xf numFmtId="0" fontId="24" fillId="0" borderId="3" xfId="0" applyFont="1" applyFill="1" applyBorder="1" applyAlignment="1" applyProtection="1">
      <alignment horizontal="center" vertical="center" wrapText="1"/>
      <protection locked="0"/>
    </xf>
    <xf numFmtId="167" fontId="24" fillId="0" borderId="3" xfId="0" applyNumberFormat="1" applyFont="1" applyFill="1" applyBorder="1" applyAlignment="1" applyProtection="1">
      <alignment horizontal="center" vertical="center" wrapText="1"/>
      <protection locked="0"/>
    </xf>
    <xf numFmtId="166" fontId="24" fillId="0" borderId="3" xfId="0" applyNumberFormat="1" applyFont="1" applyFill="1" applyBorder="1" applyAlignment="1" applyProtection="1">
      <alignment horizontal="center" vertical="center" wrapText="1"/>
      <protection locked="0"/>
    </xf>
    <xf numFmtId="0" fontId="25" fillId="0" borderId="3" xfId="0" applyFont="1" applyFill="1" applyBorder="1" applyAlignment="1" applyProtection="1">
      <alignment horizontal="center" vertical="center" wrapText="1"/>
      <protection locked="0"/>
    </xf>
    <xf numFmtId="1" fontId="21" fillId="0" borderId="3" xfId="0" applyNumberFormat="1" applyFont="1" applyFill="1" applyBorder="1" applyAlignment="1" applyProtection="1">
      <alignment horizontal="center" vertical="center" wrapText="1"/>
      <protection locked="0"/>
    </xf>
    <xf numFmtId="164" fontId="21" fillId="0" borderId="0" xfId="0" applyNumberFormat="1" applyFont="1" applyFill="1" applyAlignment="1">
      <alignment horizontal="center" vertical="center" wrapText="1"/>
    </xf>
    <xf numFmtId="165" fontId="21" fillId="0" borderId="3" xfId="0" applyNumberFormat="1" applyFont="1" applyFill="1" applyBorder="1" applyAlignment="1">
      <alignment horizontal="center" vertical="center" wrapText="1"/>
    </xf>
    <xf numFmtId="0" fontId="19" fillId="0" borderId="3" xfId="0" applyFont="1" applyFill="1" applyBorder="1" applyAlignment="1">
      <alignment horizontal="left" vertical="center" wrapText="1"/>
    </xf>
    <xf numFmtId="14" fontId="21" fillId="5" borderId="3" xfId="2" applyNumberFormat="1" applyFont="1" applyFill="1" applyBorder="1" applyAlignment="1" applyProtection="1">
      <alignment horizontal="left" vertical="center" wrapText="1"/>
    </xf>
    <xf numFmtId="1" fontId="29" fillId="0" borderId="3" xfId="0" applyNumberFormat="1" applyFont="1" applyFill="1" applyBorder="1" applyAlignment="1">
      <alignment horizontal="center"/>
    </xf>
    <xf numFmtId="0" fontId="22" fillId="0" borderId="3" xfId="0" applyNumberFormat="1" applyFont="1" applyFill="1" applyBorder="1" applyAlignment="1">
      <alignment horizontal="center" vertical="center" wrapText="1"/>
    </xf>
    <xf numFmtId="14" fontId="16" fillId="0" borderId="3" xfId="0" applyNumberFormat="1" applyFont="1" applyFill="1" applyBorder="1" applyAlignment="1" applyProtection="1">
      <alignment horizontal="left" vertical="center" wrapText="1"/>
      <protection locked="0"/>
    </xf>
    <xf numFmtId="1" fontId="41" fillId="0" borderId="3" xfId="0" applyNumberFormat="1" applyFont="1" applyFill="1" applyBorder="1" applyAlignment="1">
      <alignment horizontal="right" vertical="center"/>
    </xf>
    <xf numFmtId="0" fontId="17" fillId="0" borderId="3" xfId="0" applyFont="1" applyFill="1" applyBorder="1" applyAlignment="1" applyProtection="1">
      <alignment horizontal="left" vertical="top"/>
      <protection locked="0"/>
    </xf>
    <xf numFmtId="167" fontId="16" fillId="0" borderId="3" xfId="0" applyNumberFormat="1" applyFont="1" applyFill="1" applyBorder="1" applyAlignment="1">
      <alignment horizontal="center"/>
    </xf>
    <xf numFmtId="167" fontId="16" fillId="0" borderId="3" xfId="0" applyNumberFormat="1" applyFont="1" applyFill="1" applyBorder="1" applyAlignment="1" applyProtection="1">
      <alignment horizontal="center" vertical="top"/>
      <protection locked="0"/>
    </xf>
    <xf numFmtId="166" fontId="16" fillId="0" borderId="3" xfId="0" applyNumberFormat="1" applyFont="1" applyFill="1" applyBorder="1" applyAlignment="1" applyProtection="1">
      <alignment horizontal="center" vertical="top" wrapText="1"/>
      <protection locked="0"/>
    </xf>
    <xf numFmtId="1" fontId="41" fillId="0" borderId="3" xfId="0" applyNumberFormat="1" applyFont="1" applyFill="1" applyBorder="1" applyAlignment="1">
      <alignment horizontal="center" vertical="center"/>
    </xf>
    <xf numFmtId="0" fontId="16" fillId="0" borderId="3" xfId="0" applyFont="1" applyFill="1" applyBorder="1" applyAlignment="1" applyProtection="1">
      <alignment horizontal="left" vertical="center" wrapText="1"/>
      <protection locked="0"/>
    </xf>
    <xf numFmtId="0" fontId="16" fillId="0" borderId="3" xfId="0" applyFont="1" applyFill="1" applyBorder="1" applyAlignment="1" applyProtection="1">
      <alignment horizontal="left" vertical="top"/>
      <protection locked="0"/>
    </xf>
    <xf numFmtId="0" fontId="16" fillId="0" borderId="0" xfId="0" applyFont="1" applyFill="1"/>
    <xf numFmtId="2" fontId="19" fillId="0" borderId="3" xfId="0" applyNumberFormat="1" applyFont="1" applyFill="1" applyBorder="1" applyAlignment="1">
      <alignment horizontal="left"/>
    </xf>
    <xf numFmtId="1" fontId="19" fillId="0" borderId="3" xfId="0" applyNumberFormat="1" applyFont="1" applyFill="1" applyBorder="1" applyAlignment="1">
      <alignment horizontal="left"/>
    </xf>
    <xf numFmtId="2" fontId="19" fillId="5" borderId="3" xfId="0" applyNumberFormat="1" applyFont="1" applyFill="1" applyBorder="1" applyAlignment="1">
      <alignment horizontal="left"/>
    </xf>
    <xf numFmtId="2" fontId="19" fillId="5" borderId="0" xfId="0" applyNumberFormat="1" applyFont="1" applyFill="1" applyBorder="1" applyAlignment="1">
      <alignment horizontal="left"/>
    </xf>
    <xf numFmtId="2" fontId="18" fillId="5" borderId="3" xfId="2" applyNumberFormat="1" applyFont="1" applyFill="1" applyBorder="1" applyAlignment="1" applyProtection="1">
      <alignment horizontal="left" vertical="center"/>
    </xf>
    <xf numFmtId="1" fontId="18" fillId="5" borderId="3" xfId="2" applyNumberFormat="1" applyFont="1" applyFill="1" applyBorder="1" applyAlignment="1" applyProtection="1">
      <alignment horizontal="left" vertical="center"/>
    </xf>
    <xf numFmtId="167" fontId="16" fillId="0" borderId="3" xfId="0" applyNumberFormat="1" applyFont="1" applyFill="1" applyBorder="1" applyAlignment="1">
      <alignment horizontal="center" vertical="center" wrapText="1"/>
    </xf>
    <xf numFmtId="167" fontId="16" fillId="0" borderId="3" xfId="0" applyNumberFormat="1" applyFont="1" applyFill="1" applyBorder="1" applyAlignment="1" applyProtection="1">
      <alignment horizontal="center" vertical="center" wrapText="1"/>
      <protection locked="0"/>
    </xf>
    <xf numFmtId="1" fontId="18" fillId="0" borderId="3" xfId="0" applyNumberFormat="1" applyFont="1" applyFill="1" applyBorder="1" applyAlignment="1">
      <alignment horizontal="center"/>
    </xf>
    <xf numFmtId="167" fontId="17" fillId="0" borderId="3" xfId="0" applyNumberFormat="1" applyFont="1" applyFill="1" applyBorder="1" applyAlignment="1" applyProtection="1">
      <alignment horizontal="center" vertical="top"/>
      <protection locked="0"/>
    </xf>
    <xf numFmtId="166" fontId="17" fillId="0" borderId="3" xfId="0" applyNumberFormat="1" applyFont="1" applyFill="1" applyBorder="1" applyAlignment="1" applyProtection="1">
      <alignment horizontal="center" vertical="top" wrapText="1"/>
      <protection locked="0"/>
    </xf>
    <xf numFmtId="0" fontId="42" fillId="0" borderId="3" xfId="0" applyFont="1" applyFill="1" applyBorder="1" applyAlignment="1" applyProtection="1">
      <alignment horizontal="left" vertical="top"/>
      <protection locked="0"/>
    </xf>
    <xf numFmtId="1" fontId="21" fillId="5" borderId="3" xfId="2" applyNumberFormat="1" applyFont="1" applyFill="1" applyBorder="1" applyAlignment="1" applyProtection="1">
      <alignment horizontal="left" vertical="center"/>
    </xf>
    <xf numFmtId="2" fontId="21" fillId="5" borderId="3" xfId="2" applyNumberFormat="1" applyFont="1" applyFill="1" applyBorder="1" applyAlignment="1" applyProtection="1">
      <alignment horizontal="left" vertical="center"/>
    </xf>
    <xf numFmtId="2" fontId="34" fillId="0" borderId="15" xfId="0" applyNumberFormat="1" applyFont="1" applyFill="1" applyBorder="1" applyAlignment="1" applyProtection="1">
      <alignment horizontal="center" vertical="center" wrapText="1"/>
    </xf>
    <xf numFmtId="168" fontId="18" fillId="0" borderId="15" xfId="2" applyNumberFormat="1" applyFont="1" applyFill="1" applyBorder="1" applyAlignment="1" applyProtection="1">
      <alignment horizontal="center" vertical="center" wrapText="1"/>
    </xf>
    <xf numFmtId="168" fontId="18" fillId="0" borderId="0" xfId="2" applyNumberFormat="1" applyFont="1" applyFill="1" applyBorder="1" applyAlignment="1" applyProtection="1">
      <alignment horizontal="center" vertical="center" wrapText="1"/>
    </xf>
    <xf numFmtId="1" fontId="44" fillId="0" borderId="3" xfId="1" applyNumberFormat="1" applyFont="1" applyFill="1" applyBorder="1" applyAlignment="1">
      <alignment horizontal="center" vertical="center" wrapText="1"/>
    </xf>
    <xf numFmtId="1" fontId="44" fillId="0" borderId="20" xfId="1" applyNumberFormat="1" applyFont="1" applyFill="1" applyBorder="1" applyAlignment="1">
      <alignment horizontal="center" vertical="center" wrapText="1"/>
    </xf>
    <xf numFmtId="166" fontId="16" fillId="0" borderId="3" xfId="0" applyNumberFormat="1" applyFont="1" applyFill="1" applyBorder="1" applyAlignment="1" applyProtection="1">
      <alignment horizontal="center" vertical="center" wrapText="1"/>
      <protection locked="0"/>
    </xf>
    <xf numFmtId="14" fontId="21" fillId="5" borderId="3" xfId="2" applyNumberFormat="1" applyFont="1" applyFill="1" applyBorder="1" applyAlignment="1" applyProtection="1">
      <alignment horizontal="center" vertical="center" wrapText="1"/>
    </xf>
    <xf numFmtId="0" fontId="21" fillId="0" borderId="0" xfId="0" applyFont="1" applyFill="1" applyBorder="1" applyAlignment="1" applyProtection="1">
      <alignment horizontal="center" vertical="center" wrapText="1"/>
      <protection locked="0"/>
    </xf>
    <xf numFmtId="1" fontId="22" fillId="0" borderId="0" xfId="0" applyNumberFormat="1" applyFont="1" applyFill="1" applyBorder="1" applyAlignment="1">
      <alignment horizontal="center" vertical="center" wrapText="1"/>
    </xf>
    <xf numFmtId="167" fontId="26" fillId="0" borderId="3" xfId="0" applyNumberFormat="1" applyFont="1" applyFill="1" applyBorder="1" applyAlignment="1">
      <alignment horizontal="center" vertical="center" wrapText="1"/>
    </xf>
    <xf numFmtId="167" fontId="26" fillId="0" borderId="3" xfId="0" applyNumberFormat="1" applyFont="1" applyFill="1" applyBorder="1" applyAlignment="1" applyProtection="1">
      <alignment horizontal="center" vertical="center" wrapText="1"/>
      <protection locked="0"/>
    </xf>
    <xf numFmtId="0" fontId="26" fillId="0" borderId="3" xfId="0" applyFont="1" applyFill="1" applyBorder="1" applyAlignment="1" applyProtection="1">
      <alignment horizontal="center" vertical="center" wrapText="1"/>
      <protection locked="0"/>
    </xf>
    <xf numFmtId="166" fontId="26" fillId="0" borderId="3" xfId="0" applyNumberFormat="1" applyFont="1" applyFill="1" applyBorder="1" applyAlignment="1" applyProtection="1">
      <alignment horizontal="center" vertical="center" wrapText="1"/>
      <protection locked="0"/>
    </xf>
    <xf numFmtId="1" fontId="26" fillId="0" borderId="3" xfId="0" applyNumberFormat="1" applyFont="1" applyFill="1" applyBorder="1" applyAlignment="1">
      <alignment horizontal="center" vertical="center" wrapText="1"/>
    </xf>
    <xf numFmtId="0" fontId="21" fillId="0" borderId="0" xfId="0" applyFont="1" applyFill="1" applyBorder="1" applyAlignment="1">
      <alignment horizontal="center" vertical="center" wrapText="1"/>
    </xf>
    <xf numFmtId="0" fontId="20" fillId="0" borderId="11" xfId="0" applyFont="1" applyFill="1" applyBorder="1" applyAlignment="1" applyProtection="1">
      <alignment horizontal="center" vertical="center" wrapText="1"/>
      <protection locked="0"/>
    </xf>
    <xf numFmtId="167" fontId="20" fillId="0" borderId="11" xfId="0" applyNumberFormat="1" applyFont="1" applyFill="1" applyBorder="1" applyAlignment="1" applyProtection="1">
      <alignment horizontal="center" vertical="center" wrapText="1"/>
      <protection locked="0"/>
    </xf>
    <xf numFmtId="167" fontId="20" fillId="0" borderId="11" xfId="0" applyNumberFormat="1" applyFont="1" applyFill="1" applyBorder="1" applyAlignment="1">
      <alignment horizontal="center" vertical="center" wrapText="1"/>
    </xf>
    <xf numFmtId="166" fontId="20" fillId="0" borderId="11" xfId="0" applyNumberFormat="1" applyFont="1" applyFill="1" applyBorder="1" applyAlignment="1">
      <alignment horizontal="center" vertical="center" wrapText="1"/>
    </xf>
    <xf numFmtId="165" fontId="21" fillId="0" borderId="3" xfId="0" applyNumberFormat="1" applyFont="1" applyFill="1" applyBorder="1" applyAlignment="1" applyProtection="1">
      <alignment horizontal="center" vertical="center" wrapText="1"/>
      <protection locked="0"/>
    </xf>
    <xf numFmtId="1" fontId="21" fillId="0" borderId="0" xfId="0" applyNumberFormat="1" applyFont="1" applyFill="1" applyBorder="1" applyAlignment="1" applyProtection="1">
      <alignment horizontal="center" vertical="center" wrapText="1"/>
      <protection locked="0"/>
    </xf>
    <xf numFmtId="3" fontId="21" fillId="0" borderId="3" xfId="0" applyNumberFormat="1" applyFont="1" applyFill="1" applyBorder="1" applyAlignment="1">
      <alignment horizontal="center" vertical="center" wrapText="1"/>
    </xf>
    <xf numFmtId="2" fontId="19" fillId="0" borderId="3" xfId="0" applyNumberFormat="1" applyFont="1" applyFill="1" applyBorder="1" applyAlignment="1">
      <alignment horizontal="left" vertical="center" wrapText="1"/>
    </xf>
    <xf numFmtId="1" fontId="21" fillId="5" borderId="3" xfId="2" applyNumberFormat="1" applyFont="1" applyFill="1" applyBorder="1" applyAlignment="1" applyProtection="1">
      <alignment horizontal="left" vertical="center" wrapText="1"/>
    </xf>
    <xf numFmtId="2" fontId="21" fillId="5" borderId="3" xfId="2" applyNumberFormat="1" applyFont="1" applyFill="1" applyBorder="1" applyAlignment="1" applyProtection="1">
      <alignment horizontal="left" vertical="center" wrapText="1"/>
    </xf>
    <xf numFmtId="2" fontId="36" fillId="5" borderId="3" xfId="0" applyNumberFormat="1" applyFont="1" applyFill="1" applyBorder="1" applyAlignment="1">
      <alignment horizontal="left"/>
    </xf>
    <xf numFmtId="14" fontId="18" fillId="0" borderId="3" xfId="0" applyNumberFormat="1" applyFont="1" applyFill="1" applyBorder="1" applyAlignment="1">
      <alignment horizontal="center"/>
    </xf>
    <xf numFmtId="0" fontId="49" fillId="0" borderId="0" xfId="2" applyFont="1" applyFill="1" applyBorder="1" applyAlignment="1" applyProtection="1">
      <alignment horizontal="center" vertical="center"/>
    </xf>
    <xf numFmtId="0" fontId="18" fillId="0" borderId="3" xfId="0" applyFont="1" applyFill="1" applyBorder="1" applyAlignment="1">
      <alignment horizontal="center"/>
    </xf>
    <xf numFmtId="1" fontId="41" fillId="0" borderId="3" xfId="0" applyNumberFormat="1" applyFont="1" applyFill="1" applyBorder="1" applyAlignment="1" applyProtection="1">
      <alignment horizontal="center" vertical="center" wrapText="1"/>
      <protection locked="0"/>
    </xf>
    <xf numFmtId="2" fontId="19" fillId="5" borderId="3" xfId="0" applyNumberFormat="1" applyFont="1" applyFill="1" applyBorder="1" applyAlignment="1">
      <alignment horizontal="left" vertical="center" wrapText="1"/>
    </xf>
    <xf numFmtId="167" fontId="20" fillId="0" borderId="0" xfId="0" applyNumberFormat="1" applyFont="1" applyFill="1" applyBorder="1" applyAlignment="1">
      <alignment horizontal="center" vertical="center" wrapText="1"/>
    </xf>
    <xf numFmtId="167" fontId="20" fillId="0" borderId="0" xfId="0" applyNumberFormat="1" applyFont="1" applyFill="1" applyBorder="1" applyAlignment="1" applyProtection="1">
      <alignment horizontal="center" vertical="center" wrapText="1"/>
      <protection locked="0"/>
    </xf>
    <xf numFmtId="166" fontId="20" fillId="0" borderId="0" xfId="0" applyNumberFormat="1" applyFont="1" applyFill="1" applyBorder="1" applyAlignment="1" applyProtection="1">
      <alignment horizontal="center" vertical="center" wrapText="1"/>
      <protection locked="0"/>
    </xf>
    <xf numFmtId="166" fontId="20" fillId="0" borderId="28" xfId="0" applyNumberFormat="1" applyFont="1" applyFill="1" applyBorder="1" applyAlignment="1" applyProtection="1">
      <alignment horizontal="center" vertical="center" wrapText="1"/>
      <protection locked="0"/>
    </xf>
    <xf numFmtId="0" fontId="30" fillId="0" borderId="3" xfId="0" applyFont="1" applyBorder="1" applyAlignment="1">
      <alignment horizontal="center" vertical="center" wrapText="1"/>
    </xf>
    <xf numFmtId="0" fontId="21" fillId="0" borderId="3" xfId="0" applyNumberFormat="1" applyFont="1" applyFill="1" applyBorder="1" applyAlignment="1">
      <alignment horizontal="center" vertical="center" wrapText="1"/>
    </xf>
    <xf numFmtId="0" fontId="22" fillId="0" borderId="3" xfId="0" applyNumberFormat="1" applyFont="1" applyFill="1" applyBorder="1" applyAlignment="1" applyProtection="1">
      <alignment horizontal="center" vertical="center" wrapText="1"/>
      <protection locked="0"/>
    </xf>
    <xf numFmtId="49" fontId="22" fillId="0" borderId="3" xfId="0" applyNumberFormat="1" applyFont="1" applyFill="1" applyBorder="1" applyAlignment="1">
      <alignment horizontal="center" vertical="center" wrapText="1"/>
    </xf>
    <xf numFmtId="14" fontId="21" fillId="5" borderId="3" xfId="2" applyNumberFormat="1" applyFont="1" applyFill="1" applyBorder="1" applyAlignment="1" applyProtection="1">
      <alignment horizontal="center" vertical="center"/>
    </xf>
    <xf numFmtId="0" fontId="50" fillId="0" borderId="0" xfId="0" applyFont="1"/>
    <xf numFmtId="14" fontId="20" fillId="5" borderId="3" xfId="2" applyNumberFormat="1" applyFont="1" applyFill="1" applyBorder="1" applyAlignment="1" applyProtection="1">
      <alignment horizontal="center" vertical="center" wrapText="1"/>
    </xf>
    <xf numFmtId="14" fontId="20" fillId="0" borderId="3" xfId="2" applyNumberFormat="1" applyFont="1" applyFill="1" applyBorder="1" applyAlignment="1" applyProtection="1">
      <alignment horizontal="center" vertical="center" wrapText="1"/>
    </xf>
    <xf numFmtId="168" fontId="22" fillId="0" borderId="3" xfId="0" applyNumberFormat="1" applyFont="1" applyFill="1" applyBorder="1" applyAlignment="1">
      <alignment horizontal="center" vertical="center" wrapText="1"/>
    </xf>
    <xf numFmtId="1" fontId="22" fillId="5" borderId="3" xfId="0" applyNumberFormat="1" applyFont="1" applyFill="1" applyBorder="1" applyAlignment="1" applyProtection="1">
      <alignment horizontal="center" vertical="center" wrapText="1"/>
      <protection locked="0"/>
    </xf>
    <xf numFmtId="1" fontId="22" fillId="5" borderId="3" xfId="0" applyNumberFormat="1" applyFont="1" applyFill="1" applyBorder="1" applyAlignment="1">
      <alignment horizontal="center" vertical="center" wrapText="1"/>
    </xf>
    <xf numFmtId="167" fontId="20" fillId="5" borderId="3" xfId="0" applyNumberFormat="1" applyFont="1" applyFill="1" applyBorder="1" applyAlignment="1">
      <alignment horizontal="center" vertical="center" wrapText="1"/>
    </xf>
    <xf numFmtId="167" fontId="26" fillId="5" borderId="3" xfId="0" applyNumberFormat="1" applyFont="1" applyFill="1" applyBorder="1" applyAlignment="1">
      <alignment horizontal="center" vertical="center" wrapText="1"/>
    </xf>
    <xf numFmtId="14" fontId="20" fillId="0" borderId="3" xfId="0" applyNumberFormat="1" applyFont="1" applyFill="1" applyBorder="1" applyAlignment="1">
      <alignment horizontal="center" vertical="center" wrapText="1"/>
    </xf>
    <xf numFmtId="0" fontId="20" fillId="0" borderId="3" xfId="0" applyFont="1" applyFill="1" applyBorder="1" applyAlignment="1">
      <alignment horizontal="center" vertical="center" wrapText="1"/>
    </xf>
    <xf numFmtId="1" fontId="21" fillId="0" borderId="7" xfId="0" applyNumberFormat="1" applyFont="1" applyFill="1" applyBorder="1" applyAlignment="1" applyProtection="1">
      <alignment horizontal="center" vertical="center" wrapText="1"/>
      <protection locked="0"/>
    </xf>
    <xf numFmtId="168" fontId="22" fillId="5" borderId="3" xfId="0" applyNumberFormat="1" applyFont="1" applyFill="1" applyBorder="1" applyAlignment="1" applyProtection="1">
      <alignment horizontal="center" vertical="center" wrapText="1"/>
      <protection locked="0"/>
    </xf>
    <xf numFmtId="168" fontId="21" fillId="5" borderId="3" xfId="0" applyNumberFormat="1" applyFont="1" applyFill="1" applyBorder="1" applyAlignment="1">
      <alignment horizontal="center" vertical="center" wrapText="1"/>
    </xf>
    <xf numFmtId="2" fontId="18" fillId="5" borderId="3" xfId="2" applyNumberFormat="1" applyFont="1" applyFill="1" applyBorder="1" applyAlignment="1" applyProtection="1">
      <alignment horizontal="left" vertical="center" wrapText="1"/>
    </xf>
    <xf numFmtId="1" fontId="18" fillId="5" borderId="3" xfId="2" applyNumberFormat="1" applyFont="1" applyFill="1" applyBorder="1" applyAlignment="1" applyProtection="1">
      <alignment horizontal="left" vertical="center" wrapText="1"/>
    </xf>
    <xf numFmtId="14" fontId="18" fillId="5" borderId="3" xfId="2" applyNumberFormat="1" applyFont="1" applyFill="1" applyBorder="1" applyAlignment="1" applyProtection="1">
      <alignment horizontal="left" vertical="center" wrapText="1"/>
    </xf>
    <xf numFmtId="168" fontId="21" fillId="0" borderId="7" xfId="0" applyNumberFormat="1" applyFont="1" applyFill="1" applyBorder="1" applyAlignment="1" applyProtection="1">
      <alignment horizontal="center" vertical="center" wrapText="1"/>
      <protection locked="0"/>
    </xf>
    <xf numFmtId="1" fontId="18" fillId="3" borderId="3" xfId="2" applyNumberFormat="1" applyFont="1" applyFill="1" applyBorder="1" applyAlignment="1" applyProtection="1">
      <alignment horizontal="center" vertical="center" wrapText="1"/>
    </xf>
    <xf numFmtId="0" fontId="11" fillId="0" borderId="0" xfId="2" applyFont="1" applyFill="1" applyBorder="1" applyAlignment="1" applyProtection="1">
      <alignment horizontal="center" vertical="center"/>
    </xf>
    <xf numFmtId="1" fontId="13" fillId="0" borderId="3" xfId="0" applyNumberFormat="1" applyFont="1" applyFill="1" applyBorder="1" applyAlignment="1">
      <alignment horizontal="right" vertical="center"/>
    </xf>
    <xf numFmtId="168" fontId="22" fillId="0" borderId="3" xfId="0" applyNumberFormat="1" applyFont="1" applyFill="1" applyBorder="1" applyAlignment="1" applyProtection="1">
      <alignment horizontal="center" vertical="center" wrapText="1"/>
      <protection locked="0"/>
    </xf>
    <xf numFmtId="0" fontId="11" fillId="0" borderId="0" xfId="2" applyFont="1" applyFill="1" applyBorder="1" applyAlignment="1" applyProtection="1">
      <alignment horizontal="center" vertical="center"/>
    </xf>
    <xf numFmtId="0" fontId="21" fillId="0" borderId="3" xfId="0" applyFont="1" applyFill="1" applyBorder="1" applyAlignment="1">
      <alignment horizontal="center"/>
    </xf>
    <xf numFmtId="0" fontId="46" fillId="0" borderId="0" xfId="4" applyFont="1" applyBorder="1" applyAlignment="1">
      <alignment horizontal="center" vertical="center" wrapText="1"/>
    </xf>
    <xf numFmtId="1" fontId="18" fillId="0" borderId="3" xfId="0" applyNumberFormat="1" applyFont="1" applyFill="1" applyBorder="1" applyAlignment="1" applyProtection="1">
      <alignment horizontal="center" vertical="top" wrapText="1"/>
      <protection locked="0"/>
    </xf>
    <xf numFmtId="0" fontId="21" fillId="0" borderId="3" xfId="0" applyFont="1" applyFill="1" applyBorder="1" applyAlignment="1">
      <alignment horizontal="center"/>
    </xf>
    <xf numFmtId="1" fontId="18" fillId="0" borderId="3" xfId="0" applyNumberFormat="1" applyFont="1" applyFill="1" applyBorder="1" applyAlignment="1" applyProtection="1">
      <alignment horizontal="center" vertical="top" wrapText="1"/>
      <protection locked="0"/>
    </xf>
    <xf numFmtId="1" fontId="14" fillId="5" borderId="3" xfId="0" applyNumberFormat="1" applyFont="1" applyFill="1" applyBorder="1" applyAlignment="1">
      <alignment horizontal="center" vertical="center"/>
    </xf>
    <xf numFmtId="14" fontId="18" fillId="5" borderId="3" xfId="2" applyNumberFormat="1" applyFont="1" applyFill="1" applyBorder="1" applyAlignment="1" applyProtection="1">
      <alignment horizontal="center" vertical="center"/>
    </xf>
    <xf numFmtId="2" fontId="32" fillId="5" borderId="3" xfId="0" applyNumberFormat="1" applyFont="1" applyFill="1" applyBorder="1" applyAlignment="1">
      <alignment horizontal="left"/>
    </xf>
    <xf numFmtId="165" fontId="22" fillId="0" borderId="3" xfId="0" applyNumberFormat="1" applyFont="1" applyFill="1" applyBorder="1" applyAlignment="1">
      <alignment horizontal="center" vertical="center" wrapText="1"/>
    </xf>
    <xf numFmtId="164" fontId="21" fillId="0" borderId="0" xfId="0" applyNumberFormat="1" applyFont="1" applyFill="1" applyAlignment="1">
      <alignment horizontal="center"/>
    </xf>
    <xf numFmtId="0" fontId="0" fillId="0" borderId="0" xfId="0" applyAlignment="1">
      <alignment horizontal="center"/>
    </xf>
    <xf numFmtId="0" fontId="51" fillId="0" borderId="3" xfId="0" applyFont="1" applyFill="1" applyBorder="1" applyAlignment="1" applyProtection="1">
      <alignment horizontal="left" vertical="top"/>
      <protection locked="0"/>
    </xf>
    <xf numFmtId="165" fontId="41" fillId="0" borderId="3" xfId="0" applyNumberFormat="1" applyFont="1" applyFill="1" applyBorder="1" applyAlignment="1">
      <alignment horizontal="center" vertical="center"/>
    </xf>
    <xf numFmtId="3" fontId="41" fillId="0" borderId="3" xfId="0" applyNumberFormat="1" applyFont="1" applyFill="1" applyBorder="1" applyAlignment="1" applyProtection="1">
      <alignment horizontal="center" vertical="center" wrapText="1"/>
      <protection locked="0"/>
    </xf>
    <xf numFmtId="165" fontId="41" fillId="0" borderId="3" xfId="0" applyNumberFormat="1" applyFont="1" applyFill="1" applyBorder="1" applyAlignment="1" applyProtection="1">
      <alignment horizontal="center" vertical="center" wrapText="1"/>
      <protection locked="0"/>
    </xf>
    <xf numFmtId="3" fontId="18" fillId="0" borderId="3" xfId="0" applyNumberFormat="1" applyFont="1" applyFill="1" applyBorder="1" applyAlignment="1">
      <alignment horizontal="center"/>
    </xf>
    <xf numFmtId="3" fontId="41" fillId="0" borderId="3" xfId="0" applyNumberFormat="1" applyFont="1" applyFill="1" applyBorder="1" applyAlignment="1">
      <alignment horizontal="center" vertical="center"/>
    </xf>
    <xf numFmtId="0" fontId="41" fillId="0" borderId="3" xfId="0" applyNumberFormat="1" applyFont="1" applyFill="1" applyBorder="1" applyAlignment="1">
      <alignment horizontal="center" vertical="center"/>
    </xf>
    <xf numFmtId="0" fontId="31" fillId="0" borderId="0" xfId="0" applyFont="1" applyFill="1"/>
    <xf numFmtId="14" fontId="16" fillId="5" borderId="3" xfId="2" applyNumberFormat="1" applyFont="1" applyFill="1" applyBorder="1" applyAlignment="1" applyProtection="1">
      <alignment horizontal="center" vertical="center"/>
    </xf>
    <xf numFmtId="167" fontId="51" fillId="0" borderId="3" xfId="0" applyNumberFormat="1" applyFont="1" applyFill="1" applyBorder="1" applyAlignment="1">
      <alignment horizontal="center"/>
    </xf>
    <xf numFmtId="167" fontId="51" fillId="0" borderId="3" xfId="0" applyNumberFormat="1" applyFont="1" applyFill="1" applyBorder="1" applyAlignment="1" applyProtection="1">
      <alignment horizontal="center" vertical="top"/>
      <protection locked="0"/>
    </xf>
    <xf numFmtId="166" fontId="51" fillId="0" borderId="3" xfId="0" applyNumberFormat="1" applyFont="1" applyFill="1" applyBorder="1" applyAlignment="1" applyProtection="1">
      <alignment horizontal="center" vertical="top" wrapText="1"/>
      <protection locked="0"/>
    </xf>
    <xf numFmtId="167" fontId="16" fillId="0" borderId="3" xfId="0" applyNumberFormat="1" applyFont="1" applyFill="1" applyBorder="1" applyAlignment="1">
      <alignment horizontal="left" vertical="center" wrapText="1"/>
    </xf>
    <xf numFmtId="167" fontId="17" fillId="0" borderId="3" xfId="0" applyNumberFormat="1" applyFont="1" applyFill="1" applyBorder="1" applyAlignment="1" applyProtection="1">
      <alignment horizontal="left" vertical="top"/>
      <protection locked="0"/>
    </xf>
    <xf numFmtId="167" fontId="51" fillId="0" borderId="3" xfId="0" applyNumberFormat="1" applyFont="1" applyFill="1" applyBorder="1" applyAlignment="1">
      <alignment horizontal="left"/>
    </xf>
    <xf numFmtId="167" fontId="51" fillId="0" borderId="3" xfId="0" applyNumberFormat="1" applyFont="1" applyFill="1" applyBorder="1" applyAlignment="1" applyProtection="1">
      <alignment horizontal="left" vertical="top"/>
      <protection locked="0"/>
    </xf>
    <xf numFmtId="0" fontId="41" fillId="0" borderId="3" xfId="0" applyNumberFormat="1" applyFont="1" applyFill="1" applyBorder="1" applyAlignment="1" applyProtection="1">
      <alignment horizontal="center" vertical="center" wrapText="1"/>
      <protection locked="0"/>
    </xf>
    <xf numFmtId="1" fontId="51" fillId="0" borderId="3" xfId="0" applyNumberFormat="1" applyFont="1" applyFill="1" applyBorder="1" applyAlignment="1">
      <alignment horizontal="center" vertical="center"/>
    </xf>
    <xf numFmtId="14" fontId="16" fillId="0" borderId="3" xfId="2" applyNumberFormat="1" applyFont="1" applyFill="1" applyBorder="1" applyAlignment="1" applyProtection="1">
      <alignment horizontal="center" vertical="center"/>
    </xf>
    <xf numFmtId="1" fontId="18" fillId="0" borderId="3" xfId="0" applyNumberFormat="1" applyFont="1" applyFill="1" applyBorder="1" applyAlignment="1" applyProtection="1">
      <alignment horizontal="center" vertical="top" wrapText="1"/>
      <protection locked="0"/>
    </xf>
    <xf numFmtId="0" fontId="11" fillId="0" borderId="0" xfId="2" applyFont="1" applyFill="1" applyBorder="1" applyAlignment="1" applyProtection="1">
      <alignment horizontal="center" vertical="center"/>
    </xf>
    <xf numFmtId="166" fontId="16" fillId="0" borderId="3" xfId="0" applyNumberFormat="1" applyFont="1" applyFill="1" applyBorder="1" applyAlignment="1" applyProtection="1">
      <alignment horizontal="left" vertical="top" wrapText="1"/>
      <protection locked="0"/>
    </xf>
    <xf numFmtId="1" fontId="18" fillId="0" borderId="3" xfId="0" applyNumberFormat="1" applyFont="1" applyFill="1" applyBorder="1" applyAlignment="1">
      <alignment horizontal="center" vertical="center"/>
    </xf>
    <xf numFmtId="49" fontId="41" fillId="0" borderId="3" xfId="0" applyNumberFormat="1" applyFont="1" applyFill="1" applyBorder="1" applyAlignment="1">
      <alignment horizontal="center" vertical="center"/>
    </xf>
    <xf numFmtId="165" fontId="51" fillId="0" borderId="3" xfId="0" applyNumberFormat="1" applyFont="1" applyFill="1" applyBorder="1" applyAlignment="1" applyProtection="1">
      <alignment horizontal="center" vertical="center" wrapText="1"/>
      <protection locked="0"/>
    </xf>
    <xf numFmtId="0" fontId="16" fillId="0" borderId="3" xfId="0" applyFont="1" applyFill="1" applyBorder="1" applyAlignment="1">
      <alignment horizontal="center"/>
    </xf>
    <xf numFmtId="14" fontId="16" fillId="0" borderId="3" xfId="0" applyNumberFormat="1" applyFont="1" applyFill="1" applyBorder="1" applyAlignment="1">
      <alignment horizontal="center"/>
    </xf>
    <xf numFmtId="1" fontId="51" fillId="0" borderId="3" xfId="0" applyNumberFormat="1" applyFont="1" applyFill="1" applyBorder="1" applyAlignment="1">
      <alignment horizontal="right" vertical="center"/>
    </xf>
    <xf numFmtId="0" fontId="18" fillId="0" borderId="3" xfId="0" applyNumberFormat="1" applyFont="1" applyFill="1" applyBorder="1" applyAlignment="1">
      <alignment horizontal="center"/>
    </xf>
    <xf numFmtId="167" fontId="52" fillId="0" borderId="3" xfId="0" applyNumberFormat="1" applyFont="1" applyFill="1" applyBorder="1" applyAlignment="1">
      <alignment horizontal="center"/>
    </xf>
    <xf numFmtId="167" fontId="52" fillId="0" borderId="3" xfId="0" applyNumberFormat="1" applyFont="1" applyFill="1" applyBorder="1" applyAlignment="1" applyProtection="1">
      <alignment horizontal="center" vertical="top"/>
      <protection locked="0"/>
    </xf>
    <xf numFmtId="166" fontId="52" fillId="0" borderId="3" xfId="0" applyNumberFormat="1" applyFont="1" applyFill="1" applyBorder="1" applyAlignment="1" applyProtection="1">
      <alignment horizontal="center" vertical="top" wrapText="1"/>
      <protection locked="0"/>
    </xf>
    <xf numFmtId="1" fontId="52" fillId="0" borderId="3" xfId="0" applyNumberFormat="1" applyFont="1" applyFill="1" applyBorder="1" applyAlignment="1">
      <alignment horizontal="center" vertical="center"/>
    </xf>
    <xf numFmtId="0" fontId="16" fillId="0" borderId="0" xfId="0" applyFont="1" applyFill="1" applyBorder="1" applyAlignment="1" applyProtection="1">
      <alignment horizontal="left" vertical="top"/>
      <protection locked="0"/>
    </xf>
    <xf numFmtId="167" fontId="16" fillId="0" borderId="0" xfId="0" applyNumberFormat="1" applyFont="1" applyFill="1" applyBorder="1" applyAlignment="1">
      <alignment horizontal="center"/>
    </xf>
    <xf numFmtId="167" fontId="16" fillId="0" borderId="0" xfId="0" applyNumberFormat="1" applyFont="1" applyFill="1" applyBorder="1" applyAlignment="1" applyProtection="1">
      <alignment horizontal="center" vertical="top"/>
      <protection locked="0"/>
    </xf>
    <xf numFmtId="166" fontId="16" fillId="0" borderId="0" xfId="0" applyNumberFormat="1" applyFont="1" applyFill="1" applyBorder="1" applyAlignment="1" applyProtection="1">
      <alignment horizontal="center" vertical="top" wrapText="1"/>
      <protection locked="0"/>
    </xf>
    <xf numFmtId="0" fontId="31" fillId="0" borderId="0" xfId="0" applyFont="1" applyAlignment="1">
      <alignment horizontal="center"/>
    </xf>
    <xf numFmtId="168" fontId="41" fillId="0" borderId="3" xfId="0" applyNumberFormat="1" applyFont="1" applyFill="1" applyBorder="1" applyAlignment="1">
      <alignment horizontal="center" vertical="center"/>
    </xf>
    <xf numFmtId="1" fontId="18" fillId="0" borderId="3" xfId="0" applyNumberFormat="1" applyFont="1" applyFill="1" applyBorder="1" applyAlignment="1" applyProtection="1">
      <alignment horizontal="center" vertical="top" wrapText="1"/>
      <protection locked="0"/>
    </xf>
    <xf numFmtId="0" fontId="21" fillId="0" borderId="3" xfId="0" applyFont="1" applyFill="1" applyBorder="1" applyAlignment="1">
      <alignment horizontal="center"/>
    </xf>
    <xf numFmtId="1" fontId="18" fillId="0" borderId="3" xfId="0" applyNumberFormat="1" applyFont="1" applyFill="1" applyBorder="1" applyAlignment="1" applyProtection="1">
      <alignment horizontal="center" vertical="top" wrapText="1"/>
      <protection locked="0"/>
    </xf>
    <xf numFmtId="1" fontId="18" fillId="0" borderId="7" xfId="0" applyNumberFormat="1" applyFont="1" applyFill="1" applyBorder="1" applyAlignment="1" applyProtection="1">
      <alignment horizontal="center" vertical="top" wrapText="1"/>
      <protection locked="0"/>
    </xf>
    <xf numFmtId="165" fontId="18" fillId="0" borderId="7" xfId="0" applyNumberFormat="1" applyFont="1" applyFill="1" applyBorder="1" applyAlignment="1" applyProtection="1">
      <alignment horizontal="center" vertical="top" wrapText="1"/>
      <protection locked="0"/>
    </xf>
    <xf numFmtId="0" fontId="31" fillId="0" borderId="3" xfId="0" applyFont="1" applyBorder="1"/>
    <xf numFmtId="0" fontId="0" fillId="0" borderId="3" xfId="0" applyBorder="1"/>
    <xf numFmtId="1" fontId="26" fillId="0" borderId="3" xfId="0" applyNumberFormat="1" applyFont="1" applyFill="1" applyBorder="1" applyAlignment="1">
      <alignment horizontal="right" vertical="center"/>
    </xf>
    <xf numFmtId="1" fontId="42" fillId="0" borderId="3" xfId="0" applyNumberFormat="1" applyFont="1" applyFill="1" applyBorder="1" applyAlignment="1">
      <alignment horizontal="center" vertical="center"/>
    </xf>
    <xf numFmtId="0" fontId="36" fillId="5" borderId="3" xfId="0" applyFont="1" applyFill="1" applyBorder="1" applyAlignment="1">
      <alignment horizontal="left"/>
    </xf>
    <xf numFmtId="2" fontId="18" fillId="0" borderId="3" xfId="0" applyNumberFormat="1" applyFont="1" applyFill="1" applyBorder="1" applyAlignment="1" applyProtection="1">
      <alignment horizontal="center" vertical="center" wrapText="1"/>
      <protection locked="0"/>
    </xf>
    <xf numFmtId="14" fontId="16" fillId="5" borderId="3" xfId="2" applyNumberFormat="1" applyFont="1" applyFill="1" applyBorder="1" applyAlignment="1" applyProtection="1">
      <alignment horizontal="left" vertical="center"/>
    </xf>
    <xf numFmtId="1" fontId="41" fillId="5" borderId="3" xfId="0" applyNumberFormat="1" applyFont="1" applyFill="1" applyBorder="1" applyAlignment="1">
      <alignment horizontal="center" vertical="center"/>
    </xf>
    <xf numFmtId="167" fontId="16" fillId="0" borderId="11" xfId="0" applyNumberFormat="1" applyFont="1" applyFill="1" applyBorder="1" applyAlignment="1" applyProtection="1">
      <alignment horizontal="center" vertical="top"/>
      <protection locked="0"/>
    </xf>
    <xf numFmtId="2" fontId="36" fillId="5" borderId="3" xfId="0" applyNumberFormat="1" applyFont="1" applyFill="1" applyBorder="1"/>
    <xf numFmtId="167" fontId="16" fillId="0" borderId="3" xfId="0" applyNumberFormat="1" applyFont="1" applyFill="1" applyBorder="1" applyAlignment="1">
      <alignment horizontal="left"/>
    </xf>
    <xf numFmtId="167" fontId="16" fillId="0" borderId="3" xfId="0" applyNumberFormat="1" applyFont="1" applyFill="1" applyBorder="1" applyAlignment="1" applyProtection="1">
      <alignment horizontal="left" vertical="top"/>
      <protection locked="0"/>
    </xf>
    <xf numFmtId="1" fontId="41" fillId="5" borderId="3" xfId="0" applyNumberFormat="1" applyFont="1" applyFill="1" applyBorder="1" applyAlignment="1" applyProtection="1">
      <alignment horizontal="center" vertical="center" wrapText="1"/>
      <protection locked="0"/>
    </xf>
    <xf numFmtId="0" fontId="21" fillId="0" borderId="3" xfId="0" applyFont="1" applyFill="1" applyBorder="1" applyAlignment="1">
      <alignment horizontal="center"/>
    </xf>
    <xf numFmtId="1" fontId="18" fillId="0" borderId="3" xfId="0" applyNumberFormat="1" applyFont="1" applyFill="1" applyBorder="1" applyAlignment="1" applyProtection="1">
      <alignment horizontal="center" vertical="top" wrapText="1"/>
      <protection locked="0"/>
    </xf>
    <xf numFmtId="168" fontId="21" fillId="0" borderId="3" xfId="0" applyNumberFormat="1" applyFont="1" applyFill="1" applyBorder="1" applyAlignment="1">
      <alignment horizontal="center"/>
    </xf>
    <xf numFmtId="168" fontId="22" fillId="0" borderId="3" xfId="0" applyNumberFormat="1" applyFont="1" applyFill="1" applyBorder="1" applyAlignment="1">
      <alignment horizontal="center" vertical="center"/>
    </xf>
    <xf numFmtId="168" fontId="14" fillId="0" borderId="3" xfId="0" applyNumberFormat="1" applyFont="1" applyFill="1" applyBorder="1" applyAlignment="1">
      <alignment horizontal="center" vertical="center"/>
    </xf>
    <xf numFmtId="168" fontId="14" fillId="0" borderId="3" xfId="0" applyNumberFormat="1" applyFont="1" applyFill="1" applyBorder="1" applyAlignment="1" applyProtection="1">
      <alignment horizontal="center" vertical="center" wrapText="1"/>
      <protection locked="0"/>
    </xf>
    <xf numFmtId="168" fontId="9" fillId="0" borderId="3" xfId="0" applyNumberFormat="1" applyFont="1" applyFill="1" applyBorder="1" applyAlignment="1">
      <alignment horizontal="center"/>
    </xf>
    <xf numFmtId="168" fontId="18" fillId="0" borderId="3" xfId="0" applyNumberFormat="1" applyFont="1" applyFill="1" applyBorder="1" applyAlignment="1" applyProtection="1">
      <alignment horizontal="center" vertical="top" wrapText="1"/>
      <protection locked="0"/>
    </xf>
    <xf numFmtId="166" fontId="16" fillId="0" borderId="3" xfId="0" applyNumberFormat="1" applyFont="1" applyFill="1" applyBorder="1" applyAlignment="1">
      <alignment horizontal="center" wrapText="1"/>
    </xf>
    <xf numFmtId="167" fontId="51" fillId="0" borderId="3" xfId="0" applyNumberFormat="1" applyFont="1" applyFill="1" applyBorder="1" applyAlignment="1">
      <alignment horizontal="center" wrapText="1"/>
    </xf>
    <xf numFmtId="167" fontId="51" fillId="0" borderId="3" xfId="0" applyNumberFormat="1" applyFont="1" applyFill="1" applyBorder="1" applyAlignment="1" applyProtection="1">
      <alignment horizontal="center" wrapText="1"/>
      <protection locked="0"/>
    </xf>
    <xf numFmtId="166" fontId="51" fillId="0" borderId="3" xfId="0" applyNumberFormat="1" applyFont="1" applyFill="1" applyBorder="1" applyAlignment="1" applyProtection="1">
      <alignment horizontal="center" wrapText="1"/>
      <protection locked="0"/>
    </xf>
    <xf numFmtId="0" fontId="18" fillId="0" borderId="3" xfId="0" applyFont="1" applyFill="1" applyBorder="1"/>
    <xf numFmtId="1" fontId="41" fillId="0" borderId="3" xfId="0" applyNumberFormat="1" applyFont="1" applyFill="1" applyBorder="1" applyAlignment="1">
      <alignment horizontal="center" wrapText="1"/>
    </xf>
    <xf numFmtId="167" fontId="16" fillId="0" borderId="3" xfId="0" applyNumberFormat="1" applyFont="1" applyFill="1" applyBorder="1" applyAlignment="1">
      <alignment horizontal="center" wrapText="1"/>
    </xf>
    <xf numFmtId="167" fontId="16" fillId="0" borderId="3" xfId="0" applyNumberFormat="1" applyFont="1" applyFill="1" applyBorder="1" applyAlignment="1" applyProtection="1">
      <alignment horizontal="center" wrapText="1"/>
      <protection locked="0"/>
    </xf>
    <xf numFmtId="167" fontId="17" fillId="0" borderId="3" xfId="0" applyNumberFormat="1" applyFont="1" applyFill="1" applyBorder="1" applyAlignment="1" applyProtection="1">
      <alignment horizontal="center" wrapText="1"/>
      <protection locked="0"/>
    </xf>
    <xf numFmtId="166" fontId="16" fillId="0" borderId="3" xfId="0" applyNumberFormat="1" applyFont="1" applyFill="1" applyBorder="1" applyAlignment="1" applyProtection="1">
      <alignment horizontal="center" wrapText="1"/>
      <protection locked="0"/>
    </xf>
    <xf numFmtId="14" fontId="16" fillId="0" borderId="3" xfId="0" applyNumberFormat="1" applyFont="1" applyFill="1" applyBorder="1" applyAlignment="1">
      <alignment horizontal="center" wrapText="1"/>
    </xf>
    <xf numFmtId="164" fontId="16" fillId="0" borderId="3" xfId="0" applyNumberFormat="1" applyFont="1" applyFill="1" applyBorder="1" applyAlignment="1">
      <alignment horizontal="center" wrapText="1"/>
    </xf>
    <xf numFmtId="0" fontId="21" fillId="0" borderId="3" xfId="0" applyFont="1" applyFill="1" applyBorder="1" applyAlignment="1">
      <alignment horizontal="center"/>
    </xf>
    <xf numFmtId="1" fontId="18" fillId="0" borderId="3" xfId="0" applyNumberFormat="1" applyFont="1" applyFill="1" applyBorder="1" applyAlignment="1" applyProtection="1">
      <alignment horizontal="center" vertical="top" wrapText="1"/>
      <protection locked="0"/>
    </xf>
    <xf numFmtId="1" fontId="18" fillId="0" borderId="3" xfId="0" applyNumberFormat="1" applyFont="1" applyFill="1" applyBorder="1" applyAlignment="1" applyProtection="1">
      <alignment horizontal="center" vertical="top" wrapText="1"/>
      <protection locked="0"/>
    </xf>
    <xf numFmtId="167" fontId="54" fillId="0" borderId="3" xfId="0" applyNumberFormat="1" applyFont="1" applyFill="1" applyBorder="1" applyAlignment="1">
      <alignment horizontal="center"/>
    </xf>
    <xf numFmtId="167" fontId="54" fillId="0" borderId="3" xfId="0" applyNumberFormat="1" applyFont="1" applyFill="1" applyBorder="1" applyAlignment="1" applyProtection="1">
      <alignment horizontal="center" vertical="top"/>
      <protection locked="0"/>
    </xf>
    <xf numFmtId="166" fontId="54" fillId="0" borderId="3" xfId="0" applyNumberFormat="1" applyFont="1" applyFill="1" applyBorder="1" applyAlignment="1" applyProtection="1">
      <alignment horizontal="center" vertical="top" wrapText="1"/>
      <protection locked="0"/>
    </xf>
    <xf numFmtId="167" fontId="53" fillId="0" borderId="3" xfId="0" applyNumberFormat="1" applyFont="1" applyFill="1" applyBorder="1" applyAlignment="1">
      <alignment horizontal="center"/>
    </xf>
    <xf numFmtId="167" fontId="53" fillId="0" borderId="3" xfId="0" applyNumberFormat="1" applyFont="1" applyFill="1" applyBorder="1" applyAlignment="1" applyProtection="1">
      <alignment horizontal="center" vertical="top"/>
      <protection locked="0"/>
    </xf>
    <xf numFmtId="166" fontId="53" fillId="0" borderId="3" xfId="0" applyNumberFormat="1" applyFont="1" applyFill="1" applyBorder="1" applyAlignment="1" applyProtection="1">
      <alignment horizontal="center" vertical="top" wrapText="1"/>
      <protection locked="0"/>
    </xf>
    <xf numFmtId="0" fontId="36" fillId="0" borderId="3" xfId="0" applyFont="1" applyFill="1" applyBorder="1" applyAlignment="1">
      <alignment horizontal="left"/>
    </xf>
    <xf numFmtId="0" fontId="18" fillId="0" borderId="7" xfId="0" applyFont="1" applyFill="1" applyBorder="1" applyAlignment="1" applyProtection="1">
      <alignment horizontal="center" vertical="center" wrapText="1"/>
      <protection locked="0"/>
    </xf>
    <xf numFmtId="49" fontId="18" fillId="0" borderId="7" xfId="0" applyNumberFormat="1" applyFont="1" applyFill="1" applyBorder="1" applyAlignment="1">
      <alignment horizontal="center" vertical="center" wrapText="1"/>
    </xf>
    <xf numFmtId="164" fontId="18" fillId="0" borderId="7" xfId="0" applyNumberFormat="1" applyFont="1" applyFill="1" applyBorder="1" applyAlignment="1" applyProtection="1">
      <alignment horizontal="center" vertical="center" wrapText="1"/>
      <protection locked="0"/>
    </xf>
    <xf numFmtId="2" fontId="36" fillId="5" borderId="3" xfId="0" applyNumberFormat="1" applyFont="1" applyFill="1" applyBorder="1" applyAlignment="1">
      <alignment horizontal="left" vertical="center" wrapText="1"/>
    </xf>
    <xf numFmtId="167" fontId="17" fillId="0" borderId="3" xfId="0" applyNumberFormat="1" applyFont="1" applyFill="1" applyBorder="1" applyAlignment="1" applyProtection="1">
      <alignment horizontal="center" vertical="center" wrapText="1"/>
      <protection locked="0"/>
    </xf>
    <xf numFmtId="0" fontId="18" fillId="0" borderId="3" xfId="0" applyFont="1" applyFill="1" applyBorder="1" applyAlignment="1">
      <alignment horizontal="center" vertical="center" wrapText="1"/>
    </xf>
    <xf numFmtId="1" fontId="18" fillId="0" borderId="3" xfId="0" applyNumberFormat="1" applyFont="1" applyFill="1" applyBorder="1" applyAlignment="1" applyProtection="1">
      <alignment horizontal="center" vertical="top" wrapText="1"/>
      <protection locked="0"/>
    </xf>
    <xf numFmtId="1" fontId="18" fillId="0" borderId="3" xfId="0" applyNumberFormat="1" applyFont="1" applyFill="1" applyBorder="1" applyAlignment="1" applyProtection="1">
      <alignment horizontal="center" vertical="top" wrapText="1"/>
      <protection locked="0"/>
    </xf>
    <xf numFmtId="168" fontId="41" fillId="0" borderId="3" xfId="0" applyNumberFormat="1" applyFont="1" applyFill="1" applyBorder="1" applyAlignment="1" applyProtection="1">
      <alignment horizontal="center" vertical="center" wrapText="1"/>
      <protection locked="0"/>
    </xf>
    <xf numFmtId="165" fontId="42" fillId="0" borderId="3" xfId="0" applyNumberFormat="1" applyFont="1" applyFill="1" applyBorder="1" applyAlignment="1" applyProtection="1">
      <alignment horizontal="center" vertical="center" wrapText="1"/>
      <protection locked="0"/>
    </xf>
    <xf numFmtId="1" fontId="18" fillId="0" borderId="3" xfId="0" applyNumberFormat="1" applyFont="1" applyFill="1" applyBorder="1" applyAlignment="1" applyProtection="1">
      <alignment horizontal="center" vertical="top" wrapText="1"/>
      <protection locked="0"/>
    </xf>
    <xf numFmtId="1" fontId="18" fillId="0" borderId="3" xfId="0" applyNumberFormat="1" applyFont="1" applyFill="1" applyBorder="1" applyAlignment="1" applyProtection="1">
      <alignment horizontal="center" vertical="top" wrapText="1"/>
      <protection locked="0"/>
    </xf>
    <xf numFmtId="0" fontId="21" fillId="0" borderId="3" xfId="0" applyFont="1" applyFill="1" applyBorder="1" applyAlignment="1">
      <alignment horizontal="center"/>
    </xf>
    <xf numFmtId="1" fontId="18" fillId="0" borderId="3" xfId="0" applyNumberFormat="1" applyFont="1" applyFill="1" applyBorder="1" applyAlignment="1" applyProtection="1">
      <alignment horizontal="center" vertical="top" wrapText="1"/>
      <protection locked="0"/>
    </xf>
    <xf numFmtId="1" fontId="18" fillId="0" borderId="3" xfId="0" applyNumberFormat="1" applyFont="1" applyFill="1" applyBorder="1" applyAlignment="1" applyProtection="1">
      <alignment horizontal="center" vertical="top" wrapText="1"/>
      <protection locked="0"/>
    </xf>
    <xf numFmtId="168" fontId="21" fillId="0" borderId="3" xfId="0" applyNumberFormat="1" applyFont="1" applyFill="1" applyBorder="1" applyAlignment="1" applyProtection="1">
      <alignment horizontal="center" vertical="center" wrapText="1"/>
      <protection locked="0"/>
    </xf>
    <xf numFmtId="0" fontId="42" fillId="7" borderId="0" xfId="0" applyFont="1" applyFill="1"/>
    <xf numFmtId="165" fontId="22" fillId="4" borderId="3" xfId="0" applyNumberFormat="1" applyFont="1" applyFill="1" applyBorder="1" applyAlignment="1" applyProtection="1">
      <alignment horizontal="center" vertical="center" wrapText="1"/>
      <protection locked="0"/>
    </xf>
    <xf numFmtId="168" fontId="21" fillId="0" borderId="3" xfId="0" applyNumberFormat="1" applyFont="1" applyFill="1" applyBorder="1" applyAlignment="1">
      <alignment horizontal="center" vertical="center" wrapText="1"/>
    </xf>
    <xf numFmtId="1" fontId="55" fillId="0" borderId="0" xfId="0" applyNumberFormat="1" applyFont="1" applyFill="1" applyBorder="1" applyAlignment="1">
      <alignment horizontal="center" vertical="center" wrapText="1"/>
    </xf>
    <xf numFmtId="168" fontId="41" fillId="5" borderId="3" xfId="0" applyNumberFormat="1" applyFont="1" applyFill="1" applyBorder="1" applyAlignment="1" applyProtection="1">
      <alignment horizontal="center" vertical="center" wrapText="1"/>
      <protection locked="0"/>
    </xf>
    <xf numFmtId="167" fontId="25" fillId="0" borderId="3" xfId="0" applyNumberFormat="1" applyFont="1" applyFill="1" applyBorder="1" applyAlignment="1">
      <alignment horizontal="center"/>
    </xf>
    <xf numFmtId="167" fontId="25" fillId="0" borderId="3" xfId="0" applyNumberFormat="1" applyFont="1" applyFill="1" applyBorder="1" applyAlignment="1" applyProtection="1">
      <alignment horizontal="center" vertical="top"/>
      <protection locked="0"/>
    </xf>
    <xf numFmtId="166" fontId="25" fillId="0" borderId="3" xfId="0" applyNumberFormat="1" applyFont="1" applyFill="1" applyBorder="1" applyAlignment="1" applyProtection="1">
      <alignment horizontal="center" vertical="top" wrapText="1"/>
      <protection locked="0"/>
    </xf>
    <xf numFmtId="165" fontId="25" fillId="0" borderId="3" xfId="0" applyNumberFormat="1" applyFont="1" applyFill="1" applyBorder="1" applyAlignment="1" applyProtection="1">
      <alignment horizontal="center" vertical="center" wrapText="1"/>
      <protection locked="0"/>
    </xf>
    <xf numFmtId="1" fontId="55" fillId="0" borderId="3" xfId="0" applyNumberFormat="1" applyFont="1" applyFill="1" applyBorder="1" applyAlignment="1">
      <alignment horizontal="center" vertical="center"/>
    </xf>
    <xf numFmtId="0" fontId="55" fillId="0" borderId="3" xfId="0" applyFont="1" applyFill="1" applyBorder="1" applyAlignment="1">
      <alignment horizontal="center"/>
    </xf>
    <xf numFmtId="1" fontId="55" fillId="0" borderId="3" xfId="0" applyNumberFormat="1" applyFont="1" applyFill="1" applyBorder="1" applyAlignment="1">
      <alignment horizontal="right" vertical="center"/>
    </xf>
    <xf numFmtId="0" fontId="55" fillId="0" borderId="3" xfId="0" applyNumberFormat="1" applyFont="1" applyFill="1" applyBorder="1" applyAlignment="1">
      <alignment horizontal="center" vertical="center"/>
    </xf>
    <xf numFmtId="165" fontId="55" fillId="0" borderId="0" xfId="0" applyNumberFormat="1" applyFont="1" applyFill="1" applyBorder="1" applyAlignment="1" applyProtection="1">
      <alignment horizontal="center" vertical="center" wrapText="1"/>
      <protection locked="0"/>
    </xf>
    <xf numFmtId="1" fontId="18" fillId="0" borderId="3" xfId="0" applyNumberFormat="1" applyFont="1" applyFill="1" applyBorder="1" applyAlignment="1" applyProtection="1">
      <alignment horizontal="center" vertical="center" wrapText="1"/>
      <protection locked="0"/>
    </xf>
    <xf numFmtId="2" fontId="34" fillId="0" borderId="3" xfId="0" applyNumberFormat="1" applyFont="1" applyFill="1" applyBorder="1" applyAlignment="1" applyProtection="1">
      <alignment horizontal="center" vertical="center" wrapText="1"/>
    </xf>
    <xf numFmtId="166" fontId="42" fillId="0" borderId="3" xfId="0" applyNumberFormat="1" applyFont="1" applyFill="1" applyBorder="1" applyAlignment="1" applyProtection="1">
      <alignment horizontal="center" vertical="top" wrapText="1"/>
      <protection locked="0"/>
    </xf>
    <xf numFmtId="0" fontId="42" fillId="0" borderId="0" xfId="0" applyFont="1"/>
    <xf numFmtId="0" fontId="42" fillId="0" borderId="0" xfId="0" applyFont="1" applyFill="1"/>
    <xf numFmtId="0" fontId="56" fillId="0" borderId="0" xfId="0" applyFont="1"/>
    <xf numFmtId="0" fontId="21" fillId="0" borderId="3" xfId="0" applyFont="1" applyFill="1" applyBorder="1" applyAlignment="1">
      <alignment horizontal="center"/>
    </xf>
    <xf numFmtId="0" fontId="16" fillId="5" borderId="3" xfId="0" applyFont="1" applyFill="1" applyBorder="1" applyAlignment="1" applyProtection="1">
      <alignment horizontal="left" vertical="top"/>
      <protection locked="0"/>
    </xf>
    <xf numFmtId="167" fontId="16" fillId="5" borderId="3" xfId="0" applyNumberFormat="1" applyFont="1" applyFill="1" applyBorder="1" applyAlignment="1">
      <alignment horizontal="center"/>
    </xf>
    <xf numFmtId="167" fontId="16" fillId="5" borderId="3" xfId="0" applyNumberFormat="1" applyFont="1" applyFill="1" applyBorder="1" applyAlignment="1" applyProtection="1">
      <alignment horizontal="center" vertical="top"/>
      <protection locked="0"/>
    </xf>
    <xf numFmtId="166" fontId="16" fillId="5" borderId="3" xfId="0" applyNumberFormat="1" applyFont="1" applyFill="1" applyBorder="1" applyAlignment="1" applyProtection="1">
      <alignment horizontal="center" vertical="top" wrapText="1"/>
      <protection locked="0"/>
    </xf>
    <xf numFmtId="1" fontId="51" fillId="5" borderId="3" xfId="0" applyNumberFormat="1" applyFont="1" applyFill="1" applyBorder="1" applyAlignment="1">
      <alignment horizontal="center" vertical="center"/>
    </xf>
    <xf numFmtId="0" fontId="41" fillId="5" borderId="3" xfId="0" applyNumberFormat="1" applyFont="1" applyFill="1" applyBorder="1" applyAlignment="1" applyProtection="1">
      <alignment horizontal="center" vertical="center" wrapText="1"/>
      <protection locked="0"/>
    </xf>
    <xf numFmtId="0" fontId="31" fillId="5" borderId="0" xfId="0" applyFont="1" applyFill="1"/>
    <xf numFmtId="0" fontId="16" fillId="5" borderId="0" xfId="0" applyFont="1" applyFill="1"/>
    <xf numFmtId="168" fontId="21" fillId="0" borderId="0" xfId="0" applyNumberFormat="1" applyFont="1" applyFill="1"/>
    <xf numFmtId="168" fontId="29" fillId="0" borderId="3" xfId="0" applyNumberFormat="1" applyFont="1" applyFill="1" applyBorder="1" applyAlignment="1">
      <alignment horizontal="center"/>
    </xf>
    <xf numFmtId="0" fontId="40" fillId="5" borderId="0" xfId="2" applyFont="1" applyFill="1" applyBorder="1" applyAlignment="1" applyProtection="1">
      <alignment horizontal="center" vertical="center" wrapText="1"/>
    </xf>
    <xf numFmtId="165" fontId="21" fillId="0" borderId="7" xfId="0" applyNumberFormat="1" applyFont="1" applyFill="1" applyBorder="1" applyAlignment="1" applyProtection="1">
      <alignment horizontal="center" vertical="center" wrapText="1"/>
      <protection locked="0"/>
    </xf>
    <xf numFmtId="167" fontId="20" fillId="0" borderId="7" xfId="0" applyNumberFormat="1" applyFont="1" applyFill="1" applyBorder="1" applyAlignment="1">
      <alignment horizontal="center" vertical="center" wrapText="1"/>
    </xf>
    <xf numFmtId="167" fontId="20" fillId="0" borderId="7" xfId="0" applyNumberFormat="1" applyFont="1" applyFill="1" applyBorder="1" applyAlignment="1" applyProtection="1">
      <alignment horizontal="center" vertical="center" wrapText="1"/>
      <protection locked="0"/>
    </xf>
    <xf numFmtId="164" fontId="20" fillId="0" borderId="0" xfId="0" applyNumberFormat="1" applyFont="1" applyFill="1" applyBorder="1" applyAlignment="1" applyProtection="1">
      <alignment horizontal="center" vertical="center" wrapText="1"/>
      <protection locked="0"/>
    </xf>
    <xf numFmtId="0" fontId="20" fillId="0" borderId="7" xfId="0" applyFont="1" applyFill="1" applyBorder="1" applyAlignment="1" applyProtection="1">
      <alignment horizontal="center" vertical="center" wrapText="1"/>
      <protection locked="0"/>
    </xf>
    <xf numFmtId="0" fontId="57" fillId="5" borderId="0" xfId="2" applyFont="1" applyFill="1" applyBorder="1" applyAlignment="1" applyProtection="1">
      <alignment horizontal="center" vertical="center" wrapText="1"/>
    </xf>
    <xf numFmtId="1" fontId="52" fillId="0" borderId="3" xfId="0" applyNumberFormat="1" applyFont="1" applyFill="1" applyBorder="1" applyAlignment="1">
      <alignment horizontal="center" wrapText="1"/>
    </xf>
    <xf numFmtId="49" fontId="20" fillId="0" borderId="7" xfId="0" applyNumberFormat="1" applyFont="1" applyFill="1" applyBorder="1" applyAlignment="1">
      <alignment horizontal="center" vertical="center" wrapText="1"/>
    </xf>
    <xf numFmtId="14" fontId="8" fillId="5" borderId="3" xfId="0" applyNumberFormat="1" applyFont="1" applyFill="1" applyBorder="1" applyAlignment="1" applyProtection="1">
      <alignment horizontal="left" vertical="center" wrapText="1"/>
      <protection locked="0"/>
    </xf>
    <xf numFmtId="167" fontId="8" fillId="5" borderId="3" xfId="0" applyNumberFormat="1" applyFont="1" applyFill="1" applyBorder="1" applyAlignment="1">
      <alignment horizontal="center" vertical="center" wrapText="1"/>
    </xf>
    <xf numFmtId="167" fontId="8" fillId="5" borderId="3" xfId="0" applyNumberFormat="1" applyFont="1" applyFill="1" applyBorder="1" applyAlignment="1" applyProtection="1">
      <alignment horizontal="center" vertical="center" wrapText="1"/>
      <protection locked="0"/>
    </xf>
    <xf numFmtId="166" fontId="8" fillId="5" borderId="3" xfId="0" applyNumberFormat="1" applyFont="1" applyFill="1" applyBorder="1" applyAlignment="1" applyProtection="1">
      <alignment horizontal="center" vertical="center" wrapText="1"/>
      <protection locked="0"/>
    </xf>
    <xf numFmtId="14" fontId="9" fillId="5" borderId="3" xfId="0" applyNumberFormat="1" applyFont="1" applyFill="1" applyBorder="1" applyAlignment="1">
      <alignment horizontal="center"/>
    </xf>
    <xf numFmtId="165" fontId="14" fillId="5" borderId="3" xfId="0" applyNumberFormat="1" applyFont="1" applyFill="1" applyBorder="1" applyAlignment="1" applyProtection="1">
      <alignment horizontal="center" vertical="center" wrapText="1"/>
      <protection locked="0"/>
    </xf>
    <xf numFmtId="1" fontId="22" fillId="5" borderId="0" xfId="0" applyNumberFormat="1" applyFont="1" applyFill="1" applyBorder="1" applyAlignment="1">
      <alignment horizontal="right" vertical="center"/>
    </xf>
    <xf numFmtId="0" fontId="20" fillId="5" borderId="0" xfId="0" applyFont="1" applyFill="1"/>
    <xf numFmtId="0" fontId="0" fillId="5" borderId="0" xfId="0" applyFill="1"/>
    <xf numFmtId="0" fontId="15" fillId="5" borderId="3" xfId="0" applyFont="1" applyFill="1" applyBorder="1" applyAlignment="1" applyProtection="1">
      <alignment horizontal="left" vertical="top"/>
      <protection locked="0"/>
    </xf>
    <xf numFmtId="167" fontId="15" fillId="5" borderId="3" xfId="0" applyNumberFormat="1" applyFont="1" applyFill="1" applyBorder="1" applyAlignment="1" applyProtection="1">
      <alignment horizontal="center" vertical="top"/>
      <protection locked="0"/>
    </xf>
    <xf numFmtId="167" fontId="13" fillId="5" borderId="3" xfId="0" applyNumberFormat="1" applyFont="1" applyFill="1" applyBorder="1" applyAlignment="1">
      <alignment horizontal="center"/>
    </xf>
    <xf numFmtId="167" fontId="13" fillId="5" borderId="3" xfId="0" applyNumberFormat="1" applyFont="1" applyFill="1" applyBorder="1" applyAlignment="1" applyProtection="1">
      <alignment horizontal="center" vertical="top"/>
      <protection locked="0"/>
    </xf>
    <xf numFmtId="166" fontId="8" fillId="5" borderId="3" xfId="0" applyNumberFormat="1" applyFont="1" applyFill="1" applyBorder="1" applyAlignment="1" applyProtection="1">
      <alignment horizontal="center" vertical="top" wrapText="1"/>
      <protection locked="0"/>
    </xf>
    <xf numFmtId="0" fontId="9" fillId="5" borderId="3" xfId="0" applyFont="1" applyFill="1" applyBorder="1" applyAlignment="1">
      <alignment horizontal="center"/>
    </xf>
    <xf numFmtId="167" fontId="8" fillId="5" borderId="3" xfId="0" applyNumberFormat="1" applyFont="1" applyFill="1" applyBorder="1" applyAlignment="1">
      <alignment horizontal="center"/>
    </xf>
    <xf numFmtId="167" fontId="8" fillId="5" borderId="3" xfId="0" applyNumberFormat="1" applyFont="1" applyFill="1" applyBorder="1" applyAlignment="1" applyProtection="1">
      <alignment horizontal="center" vertical="top"/>
      <protection locked="0"/>
    </xf>
    <xf numFmtId="167" fontId="16" fillId="0" borderId="14" xfId="0" applyNumberFormat="1" applyFont="1" applyFill="1" applyBorder="1" applyAlignment="1">
      <alignment horizontal="center"/>
    </xf>
    <xf numFmtId="167" fontId="31" fillId="0" borderId="3" xfId="0" applyNumberFormat="1" applyFont="1" applyFill="1" applyBorder="1" applyAlignment="1">
      <alignment horizontal="center"/>
    </xf>
    <xf numFmtId="0" fontId="16" fillId="0" borderId="7" xfId="0" applyFont="1" applyFill="1" applyBorder="1" applyAlignment="1" applyProtection="1">
      <alignment horizontal="left" vertical="top"/>
      <protection locked="0"/>
    </xf>
    <xf numFmtId="167" fontId="16" fillId="0" borderId="7" xfId="0" applyNumberFormat="1" applyFont="1" applyFill="1" applyBorder="1" applyAlignment="1">
      <alignment horizontal="center"/>
    </xf>
    <xf numFmtId="167" fontId="16" fillId="0" borderId="7" xfId="0" applyNumberFormat="1" applyFont="1" applyFill="1" applyBorder="1" applyAlignment="1" applyProtection="1">
      <alignment horizontal="center" vertical="top"/>
      <protection locked="0"/>
    </xf>
    <xf numFmtId="166" fontId="16" fillId="0" borderId="7" xfId="0" applyNumberFormat="1" applyFont="1" applyFill="1" applyBorder="1" applyAlignment="1" applyProtection="1">
      <alignment horizontal="center" vertical="top" wrapText="1"/>
      <protection locked="0"/>
    </xf>
    <xf numFmtId="1" fontId="51" fillId="0" borderId="7" xfId="0" applyNumberFormat="1" applyFont="1" applyFill="1" applyBorder="1" applyAlignment="1">
      <alignment horizontal="right" vertical="center"/>
    </xf>
    <xf numFmtId="1" fontId="41" fillId="0" borderId="7" xfId="0" applyNumberFormat="1" applyFont="1" applyFill="1" applyBorder="1" applyAlignment="1">
      <alignment horizontal="center" vertical="center"/>
    </xf>
    <xf numFmtId="167" fontId="31" fillId="0" borderId="3" xfId="0" applyNumberFormat="1" applyFont="1" applyBorder="1" applyAlignment="1">
      <alignment horizontal="center"/>
    </xf>
    <xf numFmtId="167" fontId="51" fillId="0" borderId="3" xfId="0" applyNumberFormat="1" applyFont="1" applyFill="1" applyBorder="1" applyAlignment="1">
      <alignment horizontal="center" vertical="center"/>
    </xf>
    <xf numFmtId="0" fontId="42" fillId="5" borderId="0" xfId="0" applyFont="1" applyFill="1"/>
    <xf numFmtId="0" fontId="25" fillId="0" borderId="0" xfId="0" applyFont="1" applyFill="1"/>
    <xf numFmtId="0" fontId="21" fillId="0" borderId="3" xfId="0" applyNumberFormat="1" applyFont="1" applyFill="1" applyBorder="1" applyAlignment="1">
      <alignment horizontal="center" vertical="center"/>
    </xf>
    <xf numFmtId="165" fontId="21" fillId="0" borderId="0" xfId="0" applyNumberFormat="1" applyFont="1" applyFill="1" applyBorder="1" applyAlignment="1" applyProtection="1">
      <alignment horizontal="center" vertical="center" wrapText="1"/>
      <protection locked="0"/>
    </xf>
    <xf numFmtId="0" fontId="20" fillId="0" borderId="0" xfId="0" applyFont="1"/>
    <xf numFmtId="0" fontId="21" fillId="0" borderId="3" xfId="0" applyNumberFormat="1" applyFont="1" applyFill="1" applyBorder="1" applyAlignment="1">
      <alignment horizontal="right" vertical="center"/>
    </xf>
    <xf numFmtId="167" fontId="24" fillId="5" borderId="3" xfId="0" applyNumberFormat="1" applyFont="1" applyFill="1" applyBorder="1" applyAlignment="1" applyProtection="1">
      <alignment horizontal="center" vertical="top"/>
      <protection locked="0"/>
    </xf>
    <xf numFmtId="166" fontId="20" fillId="5" borderId="3" xfId="0" applyNumberFormat="1" applyFont="1" applyFill="1" applyBorder="1" applyAlignment="1" applyProtection="1">
      <alignment horizontal="center" vertical="center" wrapText="1"/>
      <protection locked="0"/>
    </xf>
    <xf numFmtId="0" fontId="21" fillId="5" borderId="3" xfId="0" applyFont="1" applyFill="1" applyBorder="1" applyAlignment="1">
      <alignment horizontal="center"/>
    </xf>
    <xf numFmtId="1" fontId="22" fillId="5" borderId="3" xfId="0" applyNumberFormat="1" applyFont="1" applyFill="1" applyBorder="1" applyAlignment="1">
      <alignment horizontal="center" vertical="center"/>
    </xf>
    <xf numFmtId="167" fontId="26" fillId="5" borderId="3" xfId="0" applyNumberFormat="1" applyFont="1" applyFill="1" applyBorder="1" applyAlignment="1">
      <alignment horizontal="center"/>
    </xf>
    <xf numFmtId="167" fontId="26" fillId="5" borderId="3" xfId="0" applyNumberFormat="1" applyFont="1" applyFill="1" applyBorder="1" applyAlignment="1" applyProtection="1">
      <alignment horizontal="center" vertical="top"/>
      <protection locked="0"/>
    </xf>
    <xf numFmtId="167" fontId="20" fillId="5" borderId="3" xfId="0" applyNumberFormat="1" applyFont="1" applyFill="1" applyBorder="1" applyAlignment="1">
      <alignment horizontal="center"/>
    </xf>
    <xf numFmtId="167" fontId="20" fillId="5" borderId="3" xfId="0" applyNumberFormat="1" applyFont="1" applyFill="1" applyBorder="1" applyAlignment="1" applyProtection="1">
      <alignment horizontal="center" vertical="top"/>
      <protection locked="0"/>
    </xf>
    <xf numFmtId="166" fontId="20" fillId="5" borderId="3" xfId="0" applyNumberFormat="1" applyFont="1" applyFill="1" applyBorder="1" applyAlignment="1" applyProtection="1">
      <alignment horizontal="center" vertical="top" wrapText="1"/>
      <protection locked="0"/>
    </xf>
    <xf numFmtId="1" fontId="22" fillId="5" borderId="3" xfId="0" applyNumberFormat="1" applyFont="1" applyFill="1" applyBorder="1" applyAlignment="1">
      <alignment horizontal="right" vertical="center"/>
    </xf>
    <xf numFmtId="0" fontId="22" fillId="5" borderId="3" xfId="0" applyNumberFormat="1" applyFont="1" applyFill="1" applyBorder="1" applyAlignment="1">
      <alignment horizontal="center" vertical="center"/>
    </xf>
    <xf numFmtId="49" fontId="22" fillId="5" borderId="3" xfId="0" applyNumberFormat="1" applyFont="1" applyFill="1" applyBorder="1" applyAlignment="1">
      <alignment horizontal="center" vertical="center"/>
    </xf>
    <xf numFmtId="168" fontId="22" fillId="5" borderId="3" xfId="0" applyNumberFormat="1" applyFont="1" applyFill="1" applyBorder="1" applyAlignment="1">
      <alignment horizontal="center" vertical="center"/>
    </xf>
    <xf numFmtId="1" fontId="18" fillId="0" borderId="3" xfId="0" applyNumberFormat="1" applyFont="1" applyFill="1" applyBorder="1" applyAlignment="1" applyProtection="1">
      <alignment horizontal="center" vertical="top" wrapText="1"/>
      <protection locked="0"/>
    </xf>
    <xf numFmtId="167" fontId="58" fillId="0" borderId="3" xfId="0" applyNumberFormat="1" applyFont="1" applyFill="1" applyBorder="1" applyAlignment="1">
      <alignment horizontal="center" vertical="center" wrapText="1"/>
    </xf>
    <xf numFmtId="167" fontId="58" fillId="0" borderId="3" xfId="0" applyNumberFormat="1" applyFont="1" applyFill="1" applyBorder="1" applyAlignment="1" applyProtection="1">
      <alignment horizontal="center" vertical="center" wrapText="1"/>
      <protection locked="0"/>
    </xf>
    <xf numFmtId="166" fontId="58" fillId="0" borderId="3" xfId="0" applyNumberFormat="1" applyFont="1" applyFill="1" applyBorder="1" applyAlignment="1" applyProtection="1">
      <alignment horizontal="center" vertical="center" wrapText="1"/>
      <protection locked="0"/>
    </xf>
    <xf numFmtId="167" fontId="59" fillId="0" borderId="3" xfId="0" applyNumberFormat="1" applyFont="1" applyFill="1" applyBorder="1" applyAlignment="1" applyProtection="1">
      <alignment horizontal="center" vertical="top"/>
      <protection locked="0"/>
    </xf>
    <xf numFmtId="166" fontId="59" fillId="0" borderId="3" xfId="0" applyNumberFormat="1" applyFont="1" applyFill="1" applyBorder="1" applyAlignment="1" applyProtection="1">
      <alignment horizontal="center" vertical="top" wrapText="1"/>
      <protection locked="0"/>
    </xf>
    <xf numFmtId="167" fontId="60" fillId="0" borderId="3" xfId="0" applyNumberFormat="1" applyFont="1" applyFill="1" applyBorder="1" applyAlignment="1">
      <alignment horizontal="center"/>
    </xf>
    <xf numFmtId="167" fontId="60" fillId="0" borderId="3" xfId="0" applyNumberFormat="1" applyFont="1" applyFill="1" applyBorder="1" applyAlignment="1" applyProtection="1">
      <alignment horizontal="center" vertical="top"/>
      <protection locked="0"/>
    </xf>
    <xf numFmtId="166" fontId="60" fillId="0" borderId="3" xfId="0" applyNumberFormat="1" applyFont="1" applyFill="1" applyBorder="1" applyAlignment="1" applyProtection="1">
      <alignment horizontal="center" vertical="top" wrapText="1"/>
      <protection locked="0"/>
    </xf>
    <xf numFmtId="0" fontId="16" fillId="0" borderId="0" xfId="0" applyFont="1" applyFill="1" applyAlignment="1">
      <alignment horizontal="center"/>
    </xf>
    <xf numFmtId="164" fontId="18" fillId="0" borderId="0" xfId="0" applyNumberFormat="1" applyFont="1" applyFill="1"/>
    <xf numFmtId="165" fontId="18" fillId="0" borderId="3" xfId="0" applyNumberFormat="1" applyFont="1" applyFill="1" applyBorder="1" applyAlignment="1">
      <alignment horizontal="center"/>
    </xf>
    <xf numFmtId="1" fontId="19" fillId="5" borderId="3" xfId="0" applyNumberFormat="1" applyFont="1" applyFill="1" applyBorder="1" applyAlignment="1">
      <alignment horizontal="left"/>
    </xf>
    <xf numFmtId="0" fontId="21" fillId="0" borderId="3" xfId="0" applyFont="1" applyFill="1" applyBorder="1" applyAlignment="1">
      <alignment horizontal="center"/>
    </xf>
    <xf numFmtId="0" fontId="21" fillId="0" borderId="3" xfId="0" applyFont="1" applyFill="1" applyBorder="1" applyAlignment="1">
      <alignment horizontal="center" vertical="center"/>
    </xf>
    <xf numFmtId="0" fontId="25" fillId="0" borderId="0" xfId="0" applyFont="1" applyFill="1" applyAlignment="1">
      <alignment horizontal="center" vertical="center" wrapText="1"/>
    </xf>
    <xf numFmtId="0" fontId="18" fillId="0" borderId="3" xfId="0" applyFont="1" applyFill="1" applyBorder="1" applyAlignment="1">
      <alignment horizontal="center" vertical="center"/>
    </xf>
    <xf numFmtId="167" fontId="18" fillId="0" borderId="3" xfId="0" applyNumberFormat="1" applyFont="1" applyFill="1" applyBorder="1" applyAlignment="1">
      <alignment horizontal="center"/>
    </xf>
    <xf numFmtId="1" fontId="22" fillId="0" borderId="3" xfId="6" applyNumberFormat="1" applyFont="1" applyFill="1" applyBorder="1" applyAlignment="1">
      <alignment horizontal="right" vertical="center"/>
    </xf>
    <xf numFmtId="1" fontId="22" fillId="0" borderId="3" xfId="6" applyNumberFormat="1" applyFont="1" applyFill="1" applyBorder="1" applyAlignment="1">
      <alignment horizontal="center" vertical="center"/>
    </xf>
    <xf numFmtId="167" fontId="16" fillId="0" borderId="3" xfId="6" applyNumberFormat="1" applyFont="1" applyFill="1" applyBorder="1" applyAlignment="1">
      <alignment horizontal="center"/>
    </xf>
    <xf numFmtId="167" fontId="16" fillId="0" borderId="3" xfId="6" applyNumberFormat="1" applyFont="1" applyFill="1" applyBorder="1" applyAlignment="1" applyProtection="1">
      <alignment horizontal="center" vertical="top"/>
      <protection locked="0"/>
    </xf>
    <xf numFmtId="166" fontId="16" fillId="0" borderId="3" xfId="6" applyNumberFormat="1" applyFont="1" applyFill="1" applyBorder="1" applyAlignment="1" applyProtection="1">
      <alignment horizontal="center" vertical="top" wrapText="1"/>
      <protection locked="0"/>
    </xf>
    <xf numFmtId="1" fontId="41" fillId="0" borderId="3" xfId="6" applyNumberFormat="1" applyFont="1" applyFill="1" applyBorder="1" applyAlignment="1">
      <alignment horizontal="center" vertical="center"/>
    </xf>
    <xf numFmtId="1" fontId="41" fillId="0" borderId="3" xfId="6" applyNumberFormat="1" applyFont="1" applyFill="1" applyBorder="1" applyAlignment="1" applyProtection="1">
      <alignment horizontal="center" vertical="center" wrapText="1"/>
      <protection locked="0"/>
    </xf>
    <xf numFmtId="167" fontId="51" fillId="0" borderId="3" xfId="6" applyNumberFormat="1" applyFont="1" applyFill="1" applyBorder="1" applyAlignment="1">
      <alignment horizontal="center"/>
    </xf>
    <xf numFmtId="167" fontId="51" fillId="0" borderId="3" xfId="6" applyNumberFormat="1" applyFont="1" applyFill="1" applyBorder="1" applyAlignment="1" applyProtection="1">
      <alignment horizontal="center" vertical="top"/>
      <protection locked="0"/>
    </xf>
    <xf numFmtId="166" fontId="51" fillId="0" borderId="3" xfId="6" applyNumberFormat="1" applyFont="1" applyFill="1" applyBorder="1" applyAlignment="1" applyProtection="1">
      <alignment horizontal="center" vertical="top" wrapText="1"/>
      <protection locked="0"/>
    </xf>
    <xf numFmtId="167" fontId="51" fillId="0" borderId="3" xfId="6" applyNumberFormat="1" applyFont="1" applyFill="1" applyBorder="1" applyAlignment="1"/>
    <xf numFmtId="1" fontId="51" fillId="0" borderId="3" xfId="6" applyNumberFormat="1" applyFont="1" applyFill="1" applyBorder="1" applyAlignment="1">
      <alignment horizontal="center" vertical="center"/>
    </xf>
    <xf numFmtId="14" fontId="16" fillId="0" borderId="3" xfId="2" applyNumberFormat="1" applyFont="1" applyFill="1" applyBorder="1" applyAlignment="1" applyProtection="1">
      <alignment horizontal="center" vertical="center"/>
    </xf>
    <xf numFmtId="168" fontId="41" fillId="0" borderId="3" xfId="6" applyNumberFormat="1" applyFont="1" applyFill="1" applyBorder="1" applyAlignment="1">
      <alignment horizontal="center" vertical="center"/>
    </xf>
    <xf numFmtId="3" fontId="22" fillId="0" borderId="3" xfId="0" applyNumberFormat="1" applyFont="1" applyFill="1" applyBorder="1" applyAlignment="1" applyProtection="1">
      <alignment horizontal="center" vertical="center" wrapText="1"/>
      <protection locked="0"/>
    </xf>
    <xf numFmtId="0" fontId="55" fillId="0" borderId="0" xfId="0" applyFont="1" applyFill="1" applyBorder="1" applyAlignment="1">
      <alignment horizontal="left"/>
    </xf>
    <xf numFmtId="167" fontId="20" fillId="0" borderId="3" xfId="0" applyNumberFormat="1" applyFont="1" applyFill="1" applyBorder="1" applyAlignment="1">
      <alignment horizontal="center" vertical="center" wrapText="1"/>
    </xf>
    <xf numFmtId="1" fontId="18" fillId="0" borderId="3" xfId="0" applyNumberFormat="1" applyFont="1" applyFill="1" applyBorder="1" applyAlignment="1" applyProtection="1">
      <alignment horizontal="center" vertical="top" wrapText="1"/>
      <protection locked="0"/>
    </xf>
    <xf numFmtId="167" fontId="20" fillId="0" borderId="3" xfId="0" applyNumberFormat="1" applyFont="1" applyFill="1" applyBorder="1" applyAlignment="1">
      <alignment horizontal="center" vertical="center" wrapText="1"/>
    </xf>
    <xf numFmtId="167" fontId="20" fillId="0" borderId="3" xfId="0" applyNumberFormat="1" applyFont="1" applyFill="1" applyBorder="1" applyAlignment="1">
      <alignment horizontal="center" vertical="center" wrapText="1"/>
    </xf>
    <xf numFmtId="1" fontId="18" fillId="0" borderId="3" xfId="0" applyNumberFormat="1" applyFont="1" applyFill="1" applyBorder="1" applyAlignment="1" applyProtection="1">
      <alignment horizontal="center" vertical="top" wrapText="1"/>
      <protection locked="0"/>
    </xf>
    <xf numFmtId="167" fontId="20" fillId="0" borderId="3" xfId="0" applyNumberFormat="1" applyFont="1" applyFill="1" applyBorder="1" applyAlignment="1">
      <alignment horizontal="center" vertical="center" wrapText="1"/>
    </xf>
    <xf numFmtId="167" fontId="20" fillId="0" borderId="3" xfId="0" applyNumberFormat="1" applyFont="1" applyFill="1" applyBorder="1" applyAlignment="1">
      <alignment horizontal="center" vertical="center" wrapText="1"/>
    </xf>
    <xf numFmtId="0" fontId="16" fillId="0" borderId="14" xfId="0" applyFont="1" applyFill="1" applyBorder="1" applyAlignment="1" applyProtection="1">
      <alignment horizontal="left" vertical="top"/>
      <protection locked="0"/>
    </xf>
    <xf numFmtId="167" fontId="16" fillId="0" borderId="14" xfId="0" applyNumberFormat="1" applyFont="1" applyFill="1" applyBorder="1" applyAlignment="1" applyProtection="1">
      <alignment horizontal="center" vertical="top"/>
      <protection locked="0"/>
    </xf>
    <xf numFmtId="166" fontId="16" fillId="0" borderId="14" xfId="0" applyNumberFormat="1" applyFont="1" applyFill="1" applyBorder="1" applyAlignment="1" applyProtection="1">
      <alignment horizontal="center" vertical="top" wrapText="1"/>
      <protection locked="0"/>
    </xf>
    <xf numFmtId="1" fontId="26" fillId="0" borderId="14" xfId="0" applyNumberFormat="1" applyFont="1" applyFill="1" applyBorder="1" applyAlignment="1">
      <alignment horizontal="right" vertical="center"/>
    </xf>
    <xf numFmtId="1" fontId="22" fillId="0" borderId="14" xfId="0" applyNumberFormat="1" applyFont="1" applyFill="1" applyBorder="1" applyAlignment="1">
      <alignment horizontal="center" vertical="center"/>
    </xf>
    <xf numFmtId="1" fontId="41" fillId="0" borderId="14" xfId="0" applyNumberFormat="1" applyFont="1" applyFill="1" applyBorder="1" applyAlignment="1">
      <alignment horizontal="center" vertical="center"/>
    </xf>
    <xf numFmtId="0" fontId="31" fillId="0" borderId="3" xfId="0" applyFont="1" applyFill="1" applyBorder="1"/>
    <xf numFmtId="0" fontId="36" fillId="0" borderId="3" xfId="0" applyFont="1" applyFill="1" applyBorder="1" applyAlignment="1">
      <alignment horizontal="center"/>
    </xf>
    <xf numFmtId="167" fontId="20" fillId="0" borderId="3" xfId="0" applyNumberFormat="1" applyFont="1" applyFill="1" applyBorder="1" applyAlignment="1">
      <alignment horizontal="center" vertical="center" wrapText="1"/>
    </xf>
    <xf numFmtId="167" fontId="20" fillId="0" borderId="3" xfId="0" applyNumberFormat="1" applyFont="1" applyFill="1" applyBorder="1" applyAlignment="1">
      <alignment horizontal="center" vertical="center" wrapText="1"/>
    </xf>
    <xf numFmtId="167" fontId="20" fillId="0" borderId="3" xfId="0" applyNumberFormat="1" applyFont="1" applyFill="1" applyBorder="1" applyAlignment="1">
      <alignment horizontal="center" vertical="center" wrapText="1"/>
    </xf>
    <xf numFmtId="167" fontId="20" fillId="0" borderId="3" xfId="0" applyNumberFormat="1" applyFont="1" applyFill="1" applyBorder="1" applyAlignment="1">
      <alignment horizontal="center" vertical="center" wrapText="1"/>
    </xf>
    <xf numFmtId="14" fontId="16" fillId="0" borderId="3" xfId="0" applyNumberFormat="1" applyFont="1" applyFill="1" applyBorder="1" applyAlignment="1" applyProtection="1">
      <alignment horizontal="center" vertical="center" wrapText="1"/>
      <protection locked="0"/>
    </xf>
    <xf numFmtId="0" fontId="16" fillId="0" borderId="3" xfId="0" applyFont="1" applyFill="1" applyBorder="1" applyAlignment="1" applyProtection="1">
      <alignment horizontal="center" vertical="center" wrapText="1"/>
      <protection locked="0"/>
    </xf>
    <xf numFmtId="1" fontId="41" fillId="0" borderId="3" xfId="0" applyNumberFormat="1" applyFont="1" applyFill="1" applyBorder="1" applyAlignment="1">
      <alignment horizontal="center" vertical="center" wrapText="1"/>
    </xf>
    <xf numFmtId="0" fontId="17" fillId="0" borderId="3" xfId="0" applyFont="1" applyFill="1" applyBorder="1" applyAlignment="1" applyProtection="1">
      <alignment horizontal="center" vertical="center" wrapText="1"/>
      <protection locked="0"/>
    </xf>
    <xf numFmtId="0" fontId="42" fillId="0" borderId="3" xfId="0" applyFont="1" applyFill="1" applyBorder="1" applyAlignment="1" applyProtection="1">
      <alignment horizontal="center" vertical="center" wrapText="1"/>
      <protection locked="0"/>
    </xf>
    <xf numFmtId="1" fontId="18" fillId="0" borderId="3" xfId="0" applyNumberFormat="1" applyFont="1" applyFill="1" applyBorder="1" applyAlignment="1">
      <alignment horizontal="center" vertical="center" wrapText="1"/>
    </xf>
    <xf numFmtId="0" fontId="31" fillId="0" borderId="0" xfId="0" applyFont="1" applyAlignment="1">
      <alignment horizontal="center" vertical="center" wrapText="1"/>
    </xf>
    <xf numFmtId="165" fontId="29" fillId="0" borderId="3" xfId="0" applyNumberFormat="1" applyFont="1" applyFill="1" applyBorder="1" applyAlignment="1">
      <alignment horizontal="center" vertical="center" wrapText="1"/>
    </xf>
    <xf numFmtId="0" fontId="0" fillId="0" borderId="0" xfId="0" applyAlignment="1">
      <alignment horizontal="center" vertical="center" wrapText="1"/>
    </xf>
    <xf numFmtId="3" fontId="21" fillId="0" borderId="3" xfId="0" applyNumberFormat="1" applyFont="1" applyFill="1" applyBorder="1" applyAlignment="1" applyProtection="1">
      <alignment horizontal="center" vertical="center" wrapText="1"/>
      <protection locked="0"/>
    </xf>
    <xf numFmtId="0" fontId="18" fillId="0" borderId="3" xfId="0" applyFont="1" applyFill="1" applyBorder="1" applyAlignment="1" applyProtection="1">
      <alignment horizontal="center" vertical="center" wrapText="1"/>
      <protection locked="0"/>
    </xf>
    <xf numFmtId="0" fontId="21" fillId="0" borderId="3" xfId="0" applyFont="1" applyFill="1" applyBorder="1" applyAlignment="1" applyProtection="1">
      <alignment horizontal="left" vertical="top"/>
      <protection locked="0"/>
    </xf>
    <xf numFmtId="0" fontId="18" fillId="0" borderId="3" xfId="0" applyFont="1" applyFill="1" applyBorder="1" applyAlignment="1" applyProtection="1">
      <alignment horizontal="left" vertical="top"/>
      <protection locked="0"/>
    </xf>
    <xf numFmtId="0" fontId="34" fillId="0" borderId="3" xfId="0" applyFont="1" applyFill="1" applyBorder="1" applyAlignment="1" applyProtection="1">
      <alignment horizontal="left" vertical="top"/>
      <protection locked="0"/>
    </xf>
    <xf numFmtId="167" fontId="20" fillId="0" borderId="3" xfId="0" applyNumberFormat="1" applyFont="1" applyFill="1" applyBorder="1" applyAlignment="1">
      <alignment horizontal="center" vertical="center" wrapText="1"/>
    </xf>
    <xf numFmtId="4" fontId="28" fillId="0" borderId="7" xfId="0" applyNumberFormat="1" applyFont="1" applyFill="1" applyBorder="1" applyAlignment="1" applyProtection="1">
      <alignment horizontal="center" vertical="center" wrapText="1"/>
      <protection locked="0"/>
    </xf>
    <xf numFmtId="4" fontId="21" fillId="0" borderId="7" xfId="0" applyNumberFormat="1" applyFont="1" applyFill="1" applyBorder="1" applyAlignment="1" applyProtection="1">
      <alignment horizontal="center" vertical="center" wrapText="1"/>
      <protection locked="0"/>
    </xf>
    <xf numFmtId="4" fontId="18" fillId="0" borderId="3" xfId="0" applyNumberFormat="1" applyFont="1" applyFill="1" applyBorder="1" applyAlignment="1">
      <alignment horizontal="center" vertical="center" wrapText="1"/>
    </xf>
    <xf numFmtId="4" fontId="22" fillId="0" borderId="3" xfId="0" applyNumberFormat="1" applyFont="1" applyFill="1" applyBorder="1" applyAlignment="1" applyProtection="1">
      <alignment horizontal="center" vertical="center" wrapText="1"/>
      <protection locked="0"/>
    </xf>
    <xf numFmtId="4" fontId="21" fillId="0" borderId="3" xfId="0" applyNumberFormat="1" applyFont="1" applyFill="1" applyBorder="1" applyAlignment="1">
      <alignment horizontal="center" vertical="center" wrapText="1"/>
    </xf>
    <xf numFmtId="4" fontId="22" fillId="0" borderId="3" xfId="0" applyNumberFormat="1" applyFont="1" applyFill="1" applyBorder="1" applyAlignment="1">
      <alignment horizontal="center" vertical="center" wrapText="1"/>
    </xf>
    <xf numFmtId="4" fontId="21" fillId="0" borderId="3" xfId="0" applyNumberFormat="1" applyFont="1" applyFill="1" applyBorder="1" applyAlignment="1" applyProtection="1">
      <alignment horizontal="center" vertical="center" wrapText="1"/>
      <protection locked="0"/>
    </xf>
    <xf numFmtId="4" fontId="21" fillId="0" borderId="0" xfId="0" applyNumberFormat="1" applyFont="1" applyFill="1" applyAlignment="1">
      <alignment horizontal="center" vertical="center" wrapText="1"/>
    </xf>
    <xf numFmtId="4" fontId="30" fillId="0" borderId="0" xfId="0" applyNumberFormat="1" applyFont="1" applyAlignment="1">
      <alignment horizontal="center" vertical="center" wrapText="1"/>
    </xf>
    <xf numFmtId="0" fontId="21" fillId="0" borderId="3" xfId="0" applyFont="1" applyFill="1" applyBorder="1" applyAlignment="1">
      <alignment horizontal="center"/>
    </xf>
    <xf numFmtId="14" fontId="20" fillId="0" borderId="0" xfId="0" applyNumberFormat="1" applyFont="1" applyFill="1"/>
    <xf numFmtId="14" fontId="31" fillId="0" borderId="0" xfId="0" applyNumberFormat="1" applyFont="1" applyFill="1"/>
    <xf numFmtId="165" fontId="31" fillId="0" borderId="0" xfId="0" applyNumberFormat="1" applyFont="1"/>
    <xf numFmtId="167" fontId="20" fillId="0" borderId="3" xfId="0" applyNumberFormat="1" applyFont="1" applyFill="1" applyBorder="1" applyAlignment="1">
      <alignment horizontal="center" vertical="center" wrapText="1"/>
    </xf>
    <xf numFmtId="0" fontId="25" fillId="0" borderId="0" xfId="0" applyFont="1" applyFill="1" applyAlignment="1">
      <alignment horizontal="center" vertical="center" wrapText="1"/>
    </xf>
    <xf numFmtId="167" fontId="20" fillId="0" borderId="3" xfId="0" applyNumberFormat="1" applyFont="1" applyFill="1" applyBorder="1" applyAlignment="1">
      <alignment horizontal="center" vertical="center" wrapText="1"/>
    </xf>
    <xf numFmtId="0" fontId="20" fillId="4" borderId="3" xfId="0" applyFont="1" applyFill="1" applyBorder="1" applyAlignment="1" applyProtection="1">
      <alignment horizontal="left" vertical="top"/>
      <protection locked="0"/>
    </xf>
    <xf numFmtId="167" fontId="20" fillId="0" borderId="3" xfId="0" applyNumberFormat="1" applyFont="1" applyFill="1" applyBorder="1" applyAlignment="1">
      <alignment horizontal="center" vertical="center" wrapText="1"/>
    </xf>
    <xf numFmtId="167" fontId="26" fillId="4" borderId="3" xfId="0" applyNumberFormat="1" applyFont="1" applyFill="1" applyBorder="1" applyAlignment="1">
      <alignment horizontal="center" vertical="center" wrapText="1"/>
    </xf>
    <xf numFmtId="14" fontId="0" fillId="0" borderId="0" xfId="0" applyNumberFormat="1"/>
    <xf numFmtId="14" fontId="32" fillId="0" borderId="0" xfId="0" applyNumberFormat="1" applyFont="1"/>
    <xf numFmtId="0" fontId="61" fillId="0" borderId="0" xfId="0" applyFont="1"/>
    <xf numFmtId="0" fontId="21" fillId="0" borderId="3" xfId="0" applyFont="1" applyFill="1" applyBorder="1" applyAlignment="1">
      <alignment horizontal="center"/>
    </xf>
    <xf numFmtId="167" fontId="20" fillId="0" borderId="3" xfId="0" applyNumberFormat="1" applyFont="1" applyFill="1" applyBorder="1" applyAlignment="1">
      <alignment horizontal="center" vertical="center" wrapText="1"/>
    </xf>
    <xf numFmtId="1" fontId="22" fillId="4" borderId="3" xfId="0" applyNumberFormat="1" applyFont="1" applyFill="1" applyBorder="1" applyAlignment="1">
      <alignment horizontal="center" vertical="center"/>
    </xf>
    <xf numFmtId="167" fontId="20" fillId="4" borderId="3" xfId="0" applyNumberFormat="1" applyFont="1" applyFill="1" applyBorder="1" applyAlignment="1">
      <alignment horizontal="center" vertical="center" wrapText="1"/>
    </xf>
    <xf numFmtId="16" fontId="30" fillId="0" borderId="0" xfId="0" applyNumberFormat="1" applyFont="1"/>
    <xf numFmtId="167" fontId="20" fillId="0" borderId="3" xfId="0" applyNumberFormat="1" applyFont="1" applyFill="1" applyBorder="1" applyAlignment="1">
      <alignment horizontal="center" vertical="center" wrapText="1"/>
    </xf>
    <xf numFmtId="1" fontId="22" fillId="4" borderId="3" xfId="0" applyNumberFormat="1" applyFont="1" applyFill="1" applyBorder="1" applyAlignment="1">
      <alignment horizontal="center" vertical="center" wrapText="1"/>
    </xf>
    <xf numFmtId="16" fontId="31" fillId="0" borderId="0" xfId="0" applyNumberFormat="1" applyFont="1"/>
    <xf numFmtId="16" fontId="0" fillId="0" borderId="0" xfId="0" applyNumberFormat="1"/>
    <xf numFmtId="167" fontId="20" fillId="0" borderId="3" xfId="0" applyNumberFormat="1" applyFont="1" applyFill="1" applyBorder="1" applyAlignment="1">
      <alignment horizontal="center" vertical="center" wrapText="1"/>
    </xf>
    <xf numFmtId="167" fontId="20" fillId="4" borderId="3" xfId="0" applyNumberFormat="1" applyFont="1" applyFill="1" applyBorder="1" applyAlignment="1">
      <alignment horizontal="center"/>
    </xf>
    <xf numFmtId="0" fontId="17" fillId="5" borderId="3" xfId="0" applyFont="1" applyFill="1" applyBorder="1" applyAlignment="1" applyProtection="1">
      <alignment horizontal="left" vertical="top"/>
      <protection locked="0"/>
    </xf>
    <xf numFmtId="167" fontId="51" fillId="5" borderId="3" xfId="0" applyNumberFormat="1" applyFont="1" applyFill="1" applyBorder="1" applyAlignment="1">
      <alignment horizontal="center"/>
    </xf>
    <xf numFmtId="166" fontId="51" fillId="5" borderId="3" xfId="0" applyNumberFormat="1" applyFont="1" applyFill="1" applyBorder="1" applyAlignment="1" applyProtection="1">
      <alignment horizontal="center" vertical="top" wrapText="1"/>
      <protection locked="0"/>
    </xf>
    <xf numFmtId="1" fontId="18" fillId="5" borderId="3" xfId="0" applyNumberFormat="1" applyFont="1" applyFill="1" applyBorder="1" applyAlignment="1">
      <alignment horizontal="center"/>
    </xf>
    <xf numFmtId="16" fontId="20" fillId="0" borderId="0" xfId="0" applyNumberFormat="1" applyFont="1" applyFill="1"/>
    <xf numFmtId="167" fontId="20" fillId="0" borderId="3" xfId="0" applyNumberFormat="1" applyFont="1" applyFill="1" applyBorder="1" applyAlignment="1">
      <alignment horizontal="center" vertical="center" wrapText="1"/>
    </xf>
    <xf numFmtId="0" fontId="30" fillId="4" borderId="0" xfId="0" applyFont="1" applyFill="1" applyAlignment="1">
      <alignment horizontal="center" vertical="center" wrapText="1"/>
    </xf>
    <xf numFmtId="167" fontId="20" fillId="4" borderId="3" xfId="0" applyNumberFormat="1" applyFont="1" applyFill="1" applyBorder="1" applyAlignment="1" applyProtection="1">
      <alignment horizontal="center" vertical="top"/>
      <protection locked="0"/>
    </xf>
    <xf numFmtId="0" fontId="18" fillId="4" borderId="3" xfId="0" applyFont="1" applyFill="1" applyBorder="1" applyAlignment="1">
      <alignment horizontal="center" vertical="center"/>
    </xf>
    <xf numFmtId="167" fontId="51" fillId="5" borderId="3" xfId="0" applyNumberFormat="1" applyFont="1" applyFill="1" applyBorder="1" applyAlignment="1">
      <alignment horizontal="left"/>
    </xf>
    <xf numFmtId="167" fontId="51" fillId="5" borderId="3" xfId="0" applyNumberFormat="1" applyFont="1" applyFill="1" applyBorder="1" applyAlignment="1" applyProtection="1">
      <alignment horizontal="left" vertical="top"/>
      <protection locked="0"/>
    </xf>
    <xf numFmtId="167" fontId="26" fillId="4" borderId="3" xfId="0" applyNumberFormat="1" applyFont="1" applyFill="1" applyBorder="1" applyAlignment="1" applyProtection="1">
      <alignment horizontal="center" vertical="center" wrapText="1"/>
      <protection locked="0"/>
    </xf>
    <xf numFmtId="0" fontId="21" fillId="0" borderId="3" xfId="0" applyFont="1" applyFill="1" applyBorder="1" applyAlignment="1">
      <alignment horizontal="center"/>
    </xf>
    <xf numFmtId="166" fontId="62" fillId="0" borderId="3" xfId="0" applyNumberFormat="1" applyFont="1" applyFill="1" applyBorder="1" applyAlignment="1" applyProtection="1">
      <alignment horizontal="center" vertical="top" wrapText="1"/>
      <protection locked="0"/>
    </xf>
    <xf numFmtId="167" fontId="63" fillId="0" borderId="7" xfId="0" applyNumberFormat="1" applyFont="1" applyFill="1" applyBorder="1" applyAlignment="1">
      <alignment horizontal="center" vertical="center" wrapText="1"/>
    </xf>
    <xf numFmtId="167" fontId="63" fillId="0" borderId="7" xfId="0" applyNumberFormat="1" applyFont="1" applyFill="1" applyBorder="1" applyAlignment="1" applyProtection="1">
      <alignment horizontal="center" vertical="center" wrapText="1"/>
      <protection locked="0"/>
    </xf>
    <xf numFmtId="14" fontId="21" fillId="4" borderId="3" xfId="2" applyNumberFormat="1" applyFont="1" applyFill="1" applyBorder="1" applyAlignment="1" applyProtection="1">
      <alignment horizontal="center" vertical="center" wrapText="1"/>
    </xf>
    <xf numFmtId="14" fontId="30" fillId="4" borderId="0" xfId="0" applyNumberFormat="1" applyFont="1" applyFill="1" applyAlignment="1">
      <alignment horizontal="center" vertical="center" wrapText="1"/>
    </xf>
    <xf numFmtId="14" fontId="21" fillId="3" borderId="3" xfId="2" applyNumberFormat="1" applyFont="1" applyFill="1" applyBorder="1" applyAlignment="1" applyProtection="1">
      <alignment horizontal="center" vertical="center" wrapText="1"/>
    </xf>
    <xf numFmtId="14" fontId="30" fillId="8" borderId="0" xfId="0" applyNumberFormat="1" applyFont="1" applyFill="1" applyAlignment="1">
      <alignment horizontal="center" vertical="center" wrapText="1"/>
    </xf>
    <xf numFmtId="0" fontId="30" fillId="8" borderId="0" xfId="0" applyFont="1" applyFill="1" applyAlignment="1">
      <alignment horizontal="center" vertical="center" wrapText="1"/>
    </xf>
    <xf numFmtId="14" fontId="21" fillId="8" borderId="3" xfId="2" applyNumberFormat="1" applyFont="1" applyFill="1" applyBorder="1" applyAlignment="1" applyProtection="1">
      <alignment horizontal="center" vertical="center" wrapText="1"/>
    </xf>
    <xf numFmtId="14" fontId="30" fillId="3" borderId="0" xfId="0" applyNumberFormat="1" applyFont="1" applyFill="1" applyAlignment="1">
      <alignment horizontal="center" vertical="center" wrapText="1"/>
    </xf>
    <xf numFmtId="0" fontId="30" fillId="3" borderId="0" xfId="0" applyFont="1" applyFill="1" applyAlignment="1">
      <alignment horizontal="center" vertical="center" wrapText="1"/>
    </xf>
    <xf numFmtId="14" fontId="30" fillId="9" borderId="0" xfId="0" applyNumberFormat="1" applyFont="1" applyFill="1" applyAlignment="1">
      <alignment horizontal="center" vertical="center" wrapText="1"/>
    </xf>
    <xf numFmtId="0" fontId="30" fillId="9" borderId="0" xfId="0" applyFont="1" applyFill="1" applyAlignment="1">
      <alignment horizontal="center" vertical="center" wrapText="1"/>
    </xf>
    <xf numFmtId="14" fontId="21" fillId="0" borderId="3" xfId="2" applyNumberFormat="1" applyFont="1" applyFill="1" applyBorder="1" applyAlignment="1" applyProtection="1">
      <alignment horizontal="center" vertical="center" wrapText="1"/>
    </xf>
    <xf numFmtId="167" fontId="63" fillId="0" borderId="3" xfId="0" applyNumberFormat="1" applyFont="1" applyFill="1" applyBorder="1" applyAlignment="1">
      <alignment horizontal="center" vertical="center" wrapText="1"/>
    </xf>
    <xf numFmtId="167" fontId="63" fillId="0" borderId="3" xfId="0" applyNumberFormat="1" applyFont="1" applyFill="1" applyBorder="1" applyAlignment="1" applyProtection="1">
      <alignment horizontal="center" vertical="center" wrapText="1"/>
      <protection locked="0"/>
    </xf>
    <xf numFmtId="0" fontId="28" fillId="0" borderId="7" xfId="0" applyFont="1" applyFill="1" applyBorder="1" applyAlignment="1" applyProtection="1">
      <alignment horizontal="center" vertical="center" wrapText="1"/>
      <protection locked="0"/>
    </xf>
    <xf numFmtId="167" fontId="20" fillId="0" borderId="3" xfId="0" applyNumberFormat="1" applyFont="1" applyFill="1" applyBorder="1" applyAlignment="1">
      <alignment horizontal="center" vertical="center" wrapText="1"/>
    </xf>
    <xf numFmtId="0" fontId="28" fillId="0" borderId="3" xfId="0" applyFont="1" applyFill="1" applyBorder="1" applyAlignment="1" applyProtection="1">
      <alignment horizontal="center" vertical="center" wrapText="1"/>
      <protection locked="0"/>
    </xf>
    <xf numFmtId="0" fontId="21" fillId="0" borderId="3" xfId="0" applyFont="1" applyFill="1" applyBorder="1" applyAlignment="1">
      <alignment horizontal="center"/>
    </xf>
    <xf numFmtId="0" fontId="28" fillId="0" borderId="7" xfId="0" applyFont="1" applyFill="1" applyBorder="1" applyAlignment="1" applyProtection="1">
      <alignment horizontal="center" vertical="center" wrapText="1"/>
      <protection locked="0"/>
    </xf>
    <xf numFmtId="167" fontId="20" fillId="0" borderId="3" xfId="0" applyNumberFormat="1" applyFont="1" applyFill="1" applyBorder="1" applyAlignment="1">
      <alignment horizontal="center" vertical="center" wrapText="1"/>
    </xf>
    <xf numFmtId="0" fontId="28" fillId="0" borderId="3" xfId="0" applyFont="1" applyFill="1" applyBorder="1" applyAlignment="1" applyProtection="1">
      <alignment horizontal="center" vertical="center" wrapText="1"/>
      <protection locked="0"/>
    </xf>
    <xf numFmtId="1" fontId="18" fillId="0" borderId="3" xfId="0" applyNumberFormat="1" applyFont="1" applyFill="1" applyBorder="1" applyAlignment="1" applyProtection="1">
      <alignment horizontal="center" vertical="top" wrapText="1"/>
      <protection locked="0"/>
    </xf>
    <xf numFmtId="2" fontId="34" fillId="0" borderId="0" xfId="0" applyNumberFormat="1" applyFont="1" applyFill="1" applyBorder="1" applyAlignment="1" applyProtection="1">
      <alignment horizontal="center" vertical="center" wrapText="1"/>
    </xf>
    <xf numFmtId="0" fontId="21" fillId="0" borderId="3" xfId="0" applyFont="1" applyFill="1" applyBorder="1" applyAlignment="1">
      <alignment horizontal="center"/>
    </xf>
    <xf numFmtId="0" fontId="28" fillId="0" borderId="7" xfId="0" applyFont="1" applyFill="1" applyBorder="1" applyAlignment="1" applyProtection="1">
      <alignment horizontal="center" vertical="center" wrapText="1"/>
      <protection locked="0"/>
    </xf>
    <xf numFmtId="167" fontId="20" fillId="0" borderId="3" xfId="0" applyNumberFormat="1" applyFont="1" applyFill="1" applyBorder="1" applyAlignment="1">
      <alignment horizontal="center" vertical="center" wrapText="1"/>
    </xf>
    <xf numFmtId="1" fontId="18" fillId="0" borderId="3" xfId="0" applyNumberFormat="1" applyFont="1" applyFill="1" applyBorder="1" applyAlignment="1" applyProtection="1">
      <alignment horizontal="center" vertical="top" wrapText="1"/>
      <protection locked="0"/>
    </xf>
    <xf numFmtId="0" fontId="11" fillId="0" borderId="0" xfId="2" applyFont="1" applyFill="1" applyBorder="1" applyAlignment="1" applyProtection="1">
      <alignment horizontal="center" vertical="center"/>
    </xf>
    <xf numFmtId="2" fontId="16" fillId="3" borderId="3" xfId="1" applyNumberFormat="1" applyFont="1" applyFill="1" applyBorder="1" applyAlignment="1">
      <alignment horizontal="left" vertical="center" wrapText="1"/>
    </xf>
    <xf numFmtId="2" fontId="35" fillId="3" borderId="3" xfId="1" applyNumberFormat="1" applyFont="1" applyFill="1" applyBorder="1" applyAlignment="1">
      <alignment horizontal="center" vertical="center" wrapText="1"/>
    </xf>
    <xf numFmtId="1" fontId="16" fillId="3" borderId="3" xfId="1" applyNumberFormat="1" applyFont="1" applyFill="1" applyBorder="1" applyAlignment="1">
      <alignment horizontal="center" vertical="center" wrapText="1"/>
    </xf>
    <xf numFmtId="14" fontId="18" fillId="3" borderId="3" xfId="1" applyNumberFormat="1" applyFont="1" applyFill="1" applyBorder="1" applyAlignment="1">
      <alignment horizontal="center" vertical="center" wrapText="1"/>
    </xf>
    <xf numFmtId="14" fontId="16" fillId="3" borderId="3" xfId="1" applyNumberFormat="1" applyFont="1" applyFill="1" applyBorder="1" applyAlignment="1">
      <alignment horizontal="center" vertical="center" wrapText="1"/>
    </xf>
    <xf numFmtId="165" fontId="18" fillId="3" borderId="3" xfId="1" applyNumberFormat="1" applyFont="1" applyFill="1" applyBorder="1" applyAlignment="1">
      <alignment horizontal="right" vertical="center" wrapText="1"/>
    </xf>
    <xf numFmtId="2" fontId="31" fillId="3" borderId="3" xfId="0" applyNumberFormat="1" applyFont="1" applyFill="1" applyBorder="1" applyAlignment="1">
      <alignment horizontal="left" vertical="center" wrapText="1"/>
    </xf>
    <xf numFmtId="2" fontId="35" fillId="3" borderId="3" xfId="2" applyNumberFormat="1" applyFont="1" applyFill="1" applyBorder="1" applyAlignment="1" applyProtection="1">
      <alignment horizontal="center" vertical="center" wrapText="1"/>
    </xf>
    <xf numFmtId="1" fontId="16" fillId="3" borderId="3" xfId="2" applyNumberFormat="1" applyFont="1" applyFill="1" applyBorder="1" applyAlignment="1" applyProtection="1">
      <alignment horizontal="center" vertical="center" wrapText="1"/>
    </xf>
    <xf numFmtId="14" fontId="18" fillId="3" borderId="3" xfId="2" applyNumberFormat="1" applyFont="1" applyFill="1" applyBorder="1" applyAlignment="1" applyProtection="1">
      <alignment horizontal="center" vertical="center" wrapText="1"/>
    </xf>
    <xf numFmtId="14" fontId="16" fillId="3" borderId="3" xfId="2" applyNumberFormat="1" applyFont="1" applyFill="1" applyBorder="1" applyAlignment="1" applyProtection="1">
      <alignment horizontal="center" vertical="center" wrapText="1"/>
    </xf>
    <xf numFmtId="165" fontId="18" fillId="3" borderId="3" xfId="2" applyNumberFormat="1" applyFont="1" applyFill="1" applyBorder="1" applyAlignment="1" applyProtection="1">
      <alignment horizontal="right" vertical="center" wrapText="1"/>
    </xf>
    <xf numFmtId="164" fontId="28" fillId="0" borderId="0" xfId="0" applyNumberFormat="1" applyFont="1" applyFill="1" applyBorder="1" applyAlignment="1" applyProtection="1">
      <alignment horizontal="center" vertical="center" wrapText="1"/>
      <protection locked="0"/>
    </xf>
    <xf numFmtId="1" fontId="22" fillId="0" borderId="0" xfId="0" applyNumberFormat="1" applyFont="1" applyFill="1" applyBorder="1" applyAlignment="1" applyProtection="1">
      <alignment horizontal="center" vertical="center" wrapText="1"/>
      <protection locked="0"/>
    </xf>
    <xf numFmtId="1" fontId="41" fillId="0" borderId="0" xfId="0" applyNumberFormat="1" applyFont="1" applyFill="1" applyBorder="1" applyAlignment="1" applyProtection="1">
      <alignment horizontal="center" vertical="center" wrapText="1"/>
      <protection locked="0"/>
    </xf>
    <xf numFmtId="1" fontId="22" fillId="0" borderId="0" xfId="0" applyNumberFormat="1" applyFont="1" applyFill="1" applyBorder="1" applyAlignment="1">
      <alignment horizontal="center" vertical="center"/>
    </xf>
    <xf numFmtId="1" fontId="18" fillId="0" borderId="0" xfId="0" applyNumberFormat="1" applyFont="1" applyFill="1" applyBorder="1" applyAlignment="1" applyProtection="1">
      <alignment horizontal="center" vertical="top" wrapText="1"/>
      <protection locked="0"/>
    </xf>
    <xf numFmtId="165" fontId="29" fillId="0" borderId="0" xfId="0" applyNumberFormat="1" applyFont="1" applyFill="1" applyBorder="1" applyAlignment="1">
      <alignment horizontal="center"/>
    </xf>
    <xf numFmtId="1" fontId="21" fillId="3" borderId="3" xfId="0" applyNumberFormat="1" applyFont="1" applyFill="1" applyBorder="1" applyAlignment="1">
      <alignment horizontal="center" vertical="center"/>
    </xf>
    <xf numFmtId="2" fontId="18" fillId="3" borderId="3" xfId="2" applyNumberFormat="1" applyFont="1" applyFill="1" applyBorder="1" applyAlignment="1" applyProtection="1">
      <alignment horizontal="center" vertical="center" wrapText="1"/>
    </xf>
    <xf numFmtId="1" fontId="31" fillId="3" borderId="3" xfId="0" applyNumberFormat="1" applyFont="1" applyFill="1" applyBorder="1" applyAlignment="1">
      <alignment horizontal="center" vertical="center" wrapText="1"/>
    </xf>
    <xf numFmtId="14" fontId="61" fillId="0" borderId="0" xfId="0" applyNumberFormat="1" applyFont="1"/>
    <xf numFmtId="165" fontId="21" fillId="5" borderId="3" xfId="0" applyNumberFormat="1" applyFont="1" applyFill="1" applyBorder="1" applyAlignment="1">
      <alignment horizontal="center" vertical="center" wrapText="1"/>
    </xf>
    <xf numFmtId="14" fontId="36" fillId="3" borderId="3" xfId="0" applyNumberFormat="1" applyFont="1" applyFill="1" applyBorder="1" applyAlignment="1">
      <alignment horizontal="center" vertical="center" wrapText="1"/>
    </xf>
    <xf numFmtId="14" fontId="31" fillId="3" borderId="3" xfId="0" applyNumberFormat="1" applyFont="1" applyFill="1" applyBorder="1" applyAlignment="1">
      <alignment horizontal="center" vertical="center" wrapText="1"/>
    </xf>
    <xf numFmtId="0" fontId="30" fillId="0" borderId="3" xfId="0" applyFont="1" applyBorder="1" applyAlignment="1">
      <alignment horizontal="center"/>
    </xf>
    <xf numFmtId="0" fontId="19" fillId="0" borderId="3" xfId="0" applyFont="1" applyBorder="1" applyAlignment="1">
      <alignment horizontal="center"/>
    </xf>
    <xf numFmtId="0" fontId="30" fillId="0" borderId="0" xfId="0" applyFont="1" applyBorder="1" applyAlignment="1">
      <alignment horizontal="center" vertical="center" wrapText="1"/>
    </xf>
    <xf numFmtId="0" fontId="20" fillId="0" borderId="9" xfId="0" applyFont="1" applyFill="1" applyBorder="1" applyAlignment="1">
      <alignment horizontal="center" vertical="center" wrapText="1"/>
    </xf>
    <xf numFmtId="164" fontId="21" fillId="0" borderId="9" xfId="0" applyNumberFormat="1" applyFont="1" applyFill="1" applyBorder="1" applyAlignment="1">
      <alignment horizontal="center" vertical="center" wrapText="1"/>
    </xf>
    <xf numFmtId="0" fontId="30" fillId="0" borderId="11" xfId="0" applyFont="1" applyBorder="1" applyAlignment="1">
      <alignment horizontal="center" vertical="center" wrapText="1"/>
    </xf>
    <xf numFmtId="166" fontId="20" fillId="0" borderId="11" xfId="0" applyNumberFormat="1" applyFont="1" applyFill="1" applyBorder="1" applyAlignment="1" applyProtection="1">
      <alignment horizontal="center" vertical="center" wrapText="1"/>
      <protection locked="0"/>
    </xf>
    <xf numFmtId="1" fontId="22" fillId="3" borderId="3" xfId="0" applyNumberFormat="1" applyFont="1" applyFill="1" applyBorder="1" applyAlignment="1">
      <alignment horizontal="center" vertical="center" wrapText="1"/>
    </xf>
    <xf numFmtId="14" fontId="20" fillId="5" borderId="3" xfId="2" applyNumberFormat="1" applyFont="1" applyFill="1" applyBorder="1" applyAlignment="1" applyProtection="1">
      <alignment horizontal="center" vertical="center" wrapText="1"/>
    </xf>
    <xf numFmtId="1" fontId="18" fillId="3" borderId="3" xfId="2" applyNumberFormat="1" applyFont="1" applyFill="1" applyBorder="1" applyAlignment="1" applyProtection="1">
      <alignment horizontal="center" vertical="center" wrapText="1"/>
    </xf>
    <xf numFmtId="14" fontId="21" fillId="0" borderId="3" xfId="2" applyNumberFormat="1" applyFont="1" applyFill="1" applyBorder="1" applyAlignment="1" applyProtection="1">
      <alignment horizontal="center" vertical="center" wrapText="1"/>
    </xf>
    <xf numFmtId="2" fontId="16" fillId="3" borderId="3" xfId="1" applyNumberFormat="1" applyFont="1" applyFill="1" applyBorder="1" applyAlignment="1">
      <alignment horizontal="left" vertical="center" wrapText="1"/>
    </xf>
    <xf numFmtId="2" fontId="35" fillId="3" borderId="3" xfId="1" applyNumberFormat="1" applyFont="1" applyFill="1" applyBorder="1" applyAlignment="1">
      <alignment horizontal="center" vertical="center" wrapText="1"/>
    </xf>
    <xf numFmtId="1" fontId="16" fillId="3" borderId="3" xfId="1" applyNumberFormat="1" applyFont="1" applyFill="1" applyBorder="1" applyAlignment="1">
      <alignment horizontal="center" vertical="center" wrapText="1"/>
    </xf>
    <xf numFmtId="14" fontId="18" fillId="3" borderId="3" xfId="1" applyNumberFormat="1" applyFont="1" applyFill="1" applyBorder="1" applyAlignment="1">
      <alignment horizontal="center" vertical="center" wrapText="1"/>
    </xf>
    <xf numFmtId="14" fontId="16" fillId="3" borderId="3" xfId="1" applyNumberFormat="1" applyFont="1" applyFill="1" applyBorder="1" applyAlignment="1">
      <alignment horizontal="center" vertical="center" wrapText="1"/>
    </xf>
    <xf numFmtId="165" fontId="18" fillId="3" borderId="3" xfId="1" applyNumberFormat="1" applyFont="1" applyFill="1" applyBorder="1" applyAlignment="1">
      <alignment horizontal="right" vertical="center" wrapText="1"/>
    </xf>
    <xf numFmtId="2" fontId="35" fillId="3" borderId="3" xfId="2" applyNumberFormat="1" applyFont="1" applyFill="1" applyBorder="1" applyAlignment="1" applyProtection="1">
      <alignment horizontal="center" vertical="center" wrapText="1"/>
    </xf>
    <xf numFmtId="1" fontId="16" fillId="3" borderId="3" xfId="2" applyNumberFormat="1" applyFont="1" applyFill="1" applyBorder="1" applyAlignment="1" applyProtection="1">
      <alignment horizontal="center" vertical="center" wrapText="1"/>
    </xf>
    <xf numFmtId="14" fontId="18" fillId="3" borderId="3" xfId="2" applyNumberFormat="1" applyFont="1" applyFill="1" applyBorder="1" applyAlignment="1" applyProtection="1">
      <alignment horizontal="center" vertical="center" wrapText="1"/>
    </xf>
    <xf numFmtId="14" fontId="16" fillId="3" borderId="3" xfId="2" applyNumberFormat="1" applyFont="1" applyFill="1" applyBorder="1" applyAlignment="1" applyProtection="1">
      <alignment horizontal="center" vertical="center" wrapText="1"/>
    </xf>
    <xf numFmtId="165" fontId="18" fillId="3" borderId="3" xfId="2" applyNumberFormat="1" applyFont="1" applyFill="1" applyBorder="1" applyAlignment="1" applyProtection="1">
      <alignment horizontal="right" vertical="center" wrapText="1"/>
    </xf>
    <xf numFmtId="2" fontId="18" fillId="3" borderId="3" xfId="2" applyNumberFormat="1" applyFont="1" applyFill="1" applyBorder="1" applyAlignment="1" applyProtection="1">
      <alignment horizontal="center" vertical="center" wrapText="1"/>
    </xf>
    <xf numFmtId="0" fontId="69" fillId="0" borderId="0" xfId="0" applyFont="1" applyFill="1" applyAlignment="1">
      <alignment horizontal="center" vertical="center" wrapText="1"/>
    </xf>
    <xf numFmtId="0" fontId="70" fillId="0" borderId="0" xfId="0" applyFont="1" applyAlignment="1">
      <alignment horizontal="center" vertical="center" wrapText="1"/>
    </xf>
    <xf numFmtId="0" fontId="71" fillId="0" borderId="0" xfId="2" applyFont="1" applyFill="1" applyBorder="1" applyAlignment="1" applyProtection="1">
      <alignment horizontal="center" vertical="center" wrapText="1"/>
    </xf>
    <xf numFmtId="14" fontId="30" fillId="0" borderId="0" xfId="0" applyNumberFormat="1" applyFont="1" applyAlignment="1">
      <alignment horizontal="center" vertical="center" wrapText="1"/>
    </xf>
    <xf numFmtId="0" fontId="21" fillId="3" borderId="3" xfId="0" applyFont="1" applyFill="1" applyBorder="1" applyAlignment="1">
      <alignment horizontal="center" vertical="center" wrapText="1"/>
    </xf>
    <xf numFmtId="167" fontId="20" fillId="0" borderId="8" xfId="0" applyNumberFormat="1" applyFont="1" applyFill="1" applyBorder="1" applyAlignment="1">
      <alignment horizontal="center" vertical="center"/>
    </xf>
    <xf numFmtId="167" fontId="20" fillId="0" borderId="10" xfId="0" applyNumberFormat="1" applyFont="1" applyFill="1" applyBorder="1" applyAlignment="1">
      <alignment horizontal="center" vertical="center"/>
    </xf>
    <xf numFmtId="49" fontId="28" fillId="0" borderId="3" xfId="0" applyNumberFormat="1" applyFont="1" applyFill="1" applyBorder="1" applyAlignment="1">
      <alignment horizontal="center" vertical="center" wrapText="1"/>
    </xf>
    <xf numFmtId="164" fontId="28" fillId="0" borderId="3" xfId="0" applyNumberFormat="1" applyFont="1" applyFill="1" applyBorder="1" applyAlignment="1" applyProtection="1">
      <alignment horizontal="center" vertical="center" wrapText="1"/>
      <protection locked="0"/>
    </xf>
    <xf numFmtId="164" fontId="20" fillId="0" borderId="3" xfId="0" applyNumberFormat="1" applyFont="1" applyFill="1" applyBorder="1" applyAlignment="1" applyProtection="1">
      <alignment horizontal="center" vertical="center" wrapText="1"/>
      <protection locked="0"/>
    </xf>
    <xf numFmtId="1" fontId="21" fillId="3" borderId="3" xfId="0" applyNumberFormat="1" applyFont="1" applyFill="1" applyBorder="1" applyAlignment="1">
      <alignment horizontal="center" vertical="center" wrapText="1"/>
    </xf>
    <xf numFmtId="0" fontId="20" fillId="0" borderId="9" xfId="0" applyFont="1" applyFill="1" applyBorder="1" applyAlignment="1">
      <alignment horizontal="center"/>
    </xf>
    <xf numFmtId="164" fontId="21" fillId="0" borderId="9" xfId="0" applyNumberFormat="1" applyFont="1" applyFill="1" applyBorder="1"/>
    <xf numFmtId="1" fontId="22" fillId="0" borderId="9" xfId="0" applyNumberFormat="1" applyFont="1" applyFill="1" applyBorder="1" applyAlignment="1">
      <alignment horizontal="center" vertical="center"/>
    </xf>
    <xf numFmtId="0" fontId="70" fillId="0" borderId="0" xfId="0" applyFont="1"/>
    <xf numFmtId="0" fontId="18" fillId="3" borderId="3" xfId="0" applyFont="1" applyFill="1" applyBorder="1" applyAlignment="1">
      <alignment horizontal="center"/>
    </xf>
    <xf numFmtId="3" fontId="22" fillId="0" borderId="3" xfId="0" applyNumberFormat="1" applyFont="1" applyFill="1" applyBorder="1" applyAlignment="1">
      <alignment horizontal="center" vertical="center"/>
    </xf>
    <xf numFmtId="3" fontId="41" fillId="3" borderId="3" xfId="0" applyNumberFormat="1" applyFont="1" applyFill="1" applyBorder="1" applyAlignment="1" applyProtection="1">
      <alignment horizontal="center" vertical="center" wrapText="1"/>
      <protection locked="0"/>
    </xf>
    <xf numFmtId="3" fontId="14" fillId="0" borderId="3" xfId="0" applyNumberFormat="1" applyFont="1" applyFill="1" applyBorder="1" applyAlignment="1" applyProtection="1">
      <alignment horizontal="center" vertical="center" wrapText="1"/>
      <protection locked="0"/>
    </xf>
    <xf numFmtId="3" fontId="9" fillId="0" borderId="3" xfId="0" applyNumberFormat="1" applyFont="1" applyFill="1" applyBorder="1" applyAlignment="1">
      <alignment horizontal="center"/>
    </xf>
    <xf numFmtId="3" fontId="14" fillId="0" borderId="3" xfId="0" applyNumberFormat="1" applyFont="1" applyFill="1" applyBorder="1" applyAlignment="1">
      <alignment horizontal="center" vertical="center"/>
    </xf>
    <xf numFmtId="165" fontId="18" fillId="0" borderId="3" xfId="0" applyNumberFormat="1" applyFont="1" applyFill="1" applyBorder="1" applyAlignment="1">
      <alignment horizontal="center" vertical="center" wrapText="1"/>
    </xf>
    <xf numFmtId="1" fontId="41" fillId="3" borderId="3" xfId="0" applyNumberFormat="1" applyFont="1" applyFill="1" applyBorder="1" applyAlignment="1" applyProtection="1">
      <alignment horizontal="center" vertical="center" wrapText="1"/>
      <protection locked="0"/>
    </xf>
    <xf numFmtId="165" fontId="18" fillId="0" borderId="3" xfId="0" applyNumberFormat="1" applyFont="1" applyFill="1" applyBorder="1" applyAlignment="1" applyProtection="1">
      <alignment horizontal="center" vertical="center" wrapText="1"/>
      <protection locked="0"/>
    </xf>
    <xf numFmtId="0" fontId="16" fillId="0" borderId="0" xfId="0" applyFont="1" applyFill="1" applyAlignment="1">
      <alignment horizontal="center" vertical="center" wrapText="1"/>
    </xf>
    <xf numFmtId="164" fontId="18" fillId="0" borderId="0" xfId="0" applyNumberFormat="1" applyFont="1" applyFill="1" applyAlignment="1">
      <alignment horizontal="center" vertical="center" wrapText="1"/>
    </xf>
    <xf numFmtId="3" fontId="18" fillId="0" borderId="3" xfId="0" applyNumberFormat="1" applyFont="1" applyFill="1" applyBorder="1" applyAlignment="1" applyProtection="1">
      <alignment horizontal="center" vertical="center" wrapText="1"/>
      <protection locked="0"/>
    </xf>
    <xf numFmtId="165" fontId="18" fillId="0" borderId="0" xfId="0" applyNumberFormat="1" applyFont="1" applyFill="1" applyAlignment="1">
      <alignment horizontal="center" vertical="center" wrapText="1"/>
    </xf>
    <xf numFmtId="3" fontId="21" fillId="0" borderId="0" xfId="0" applyNumberFormat="1" applyFont="1" applyFill="1" applyAlignment="1">
      <alignment horizontal="center"/>
    </xf>
    <xf numFmtId="3" fontId="21" fillId="0" borderId="0" xfId="0" applyNumberFormat="1" applyFont="1" applyFill="1"/>
    <xf numFmtId="1" fontId="22" fillId="3" borderId="3" xfId="0" applyNumberFormat="1" applyFont="1" applyFill="1" applyBorder="1" applyAlignment="1" applyProtection="1">
      <alignment horizontal="center" vertical="center" wrapText="1"/>
      <protection locked="0"/>
    </xf>
    <xf numFmtId="167" fontId="26" fillId="5" borderId="8" xfId="0" applyNumberFormat="1" applyFont="1" applyFill="1" applyBorder="1" applyAlignment="1">
      <alignment horizontal="center" vertical="center" wrapText="1"/>
    </xf>
    <xf numFmtId="167" fontId="26" fillId="0" borderId="10" xfId="0" applyNumberFormat="1" applyFont="1" applyFill="1" applyBorder="1" applyAlignment="1" applyProtection="1">
      <alignment horizontal="center" vertical="center" wrapText="1"/>
      <protection locked="0"/>
    </xf>
    <xf numFmtId="167" fontId="26" fillId="3" borderId="8" xfId="0" applyNumberFormat="1" applyFont="1" applyFill="1" applyBorder="1" applyAlignment="1">
      <alignment horizontal="center" vertical="center" wrapText="1"/>
    </xf>
    <xf numFmtId="167" fontId="26" fillId="3" borderId="10" xfId="0" applyNumberFormat="1" applyFont="1" applyFill="1" applyBorder="1" applyAlignment="1">
      <alignment horizontal="center" vertical="center" wrapText="1"/>
    </xf>
    <xf numFmtId="3" fontId="22" fillId="3" borderId="3" xfId="0" applyNumberFormat="1" applyFont="1" applyFill="1" applyBorder="1" applyAlignment="1" applyProtection="1">
      <alignment horizontal="center" vertical="center" wrapText="1"/>
      <protection locked="0"/>
    </xf>
    <xf numFmtId="0" fontId="0" fillId="0" borderId="0" xfId="0"/>
    <xf numFmtId="0" fontId="8" fillId="0" borderId="3" xfId="0" applyFont="1" applyFill="1" applyBorder="1" applyAlignment="1" applyProtection="1">
      <alignment horizontal="left" vertical="top"/>
      <protection locked="0"/>
    </xf>
    <xf numFmtId="0" fontId="8" fillId="0" borderId="0" xfId="0" applyFont="1" applyFill="1"/>
    <xf numFmtId="0" fontId="8" fillId="0" borderId="3" xfId="0" applyFont="1" applyFill="1" applyBorder="1" applyAlignment="1" applyProtection="1">
      <alignment horizontal="left" vertical="center" wrapText="1"/>
      <protection locked="0"/>
    </xf>
    <xf numFmtId="0" fontId="9" fillId="0" borderId="3" xfId="0" applyFont="1" applyFill="1" applyBorder="1" applyAlignment="1">
      <alignment horizontal="center"/>
    </xf>
    <xf numFmtId="1" fontId="14" fillId="0" borderId="3" xfId="0" applyNumberFormat="1" applyFont="1" applyFill="1" applyBorder="1" applyAlignment="1">
      <alignment horizontal="right" vertical="center"/>
    </xf>
    <xf numFmtId="166" fontId="8" fillId="0" borderId="3" xfId="0" applyNumberFormat="1" applyFont="1" applyFill="1" applyBorder="1" applyAlignment="1" applyProtection="1">
      <alignment horizontal="center" vertical="top" wrapText="1"/>
      <protection locked="0"/>
    </xf>
    <xf numFmtId="166" fontId="8" fillId="0" borderId="3" xfId="0" applyNumberFormat="1" applyFont="1" applyFill="1" applyBorder="1" applyAlignment="1" applyProtection="1">
      <alignment horizontal="center" vertical="center" wrapText="1"/>
      <protection locked="0"/>
    </xf>
    <xf numFmtId="167" fontId="13" fillId="0" borderId="3" xfId="0" applyNumberFormat="1" applyFont="1" applyFill="1" applyBorder="1" applyAlignment="1">
      <alignment horizontal="center"/>
    </xf>
    <xf numFmtId="167" fontId="8" fillId="0" borderId="3" xfId="0" applyNumberFormat="1" applyFont="1" applyFill="1" applyBorder="1" applyAlignment="1">
      <alignment horizontal="center"/>
    </xf>
    <xf numFmtId="167" fontId="8" fillId="0" borderId="3" xfId="0" applyNumberFormat="1" applyFont="1" applyFill="1" applyBorder="1" applyAlignment="1" applyProtection="1">
      <alignment horizontal="center" vertical="top"/>
      <protection locked="0"/>
    </xf>
    <xf numFmtId="167" fontId="13" fillId="0" borderId="3" xfId="0" applyNumberFormat="1" applyFont="1" applyFill="1" applyBorder="1" applyAlignment="1" applyProtection="1">
      <alignment horizontal="center" vertical="top"/>
      <protection locked="0"/>
    </xf>
    <xf numFmtId="165" fontId="14" fillId="0" borderId="3" xfId="0" applyNumberFormat="1" applyFont="1" applyFill="1" applyBorder="1" applyAlignment="1" applyProtection="1">
      <alignment horizontal="center" vertical="center" wrapText="1"/>
      <protection locked="0"/>
    </xf>
    <xf numFmtId="1" fontId="14" fillId="0" borderId="3" xfId="0" applyNumberFormat="1" applyFont="1" applyFill="1" applyBorder="1" applyAlignment="1">
      <alignment horizontal="center" vertical="center"/>
    </xf>
    <xf numFmtId="0" fontId="14" fillId="0" borderId="3" xfId="0" applyNumberFormat="1" applyFont="1" applyFill="1" applyBorder="1" applyAlignment="1">
      <alignment horizontal="center" vertical="center"/>
    </xf>
    <xf numFmtId="0" fontId="19" fillId="0" borderId="0" xfId="0" applyFont="1" applyFill="1" applyBorder="1" applyAlignment="1">
      <alignment horizontal="right"/>
    </xf>
    <xf numFmtId="0" fontId="19" fillId="0" borderId="3" xfId="0" applyFont="1" applyFill="1" applyBorder="1" applyAlignment="1">
      <alignment horizontal="left"/>
    </xf>
    <xf numFmtId="0" fontId="20" fillId="0" borderId="0" xfId="0" applyFont="1" applyFill="1"/>
    <xf numFmtId="0" fontId="20" fillId="0" borderId="0" xfId="0" applyFont="1" applyFill="1" applyAlignment="1">
      <alignment horizontal="center" vertical="center" wrapText="1"/>
    </xf>
    <xf numFmtId="164" fontId="21" fillId="0" borderId="0" xfId="0" applyNumberFormat="1" applyFont="1" applyFill="1" applyBorder="1" applyAlignment="1" applyProtection="1">
      <alignment horizontal="center" vertical="center" wrapText="1"/>
      <protection locked="0"/>
    </xf>
    <xf numFmtId="14" fontId="20" fillId="0" borderId="3" xfId="0" applyNumberFormat="1" applyFont="1" applyFill="1" applyBorder="1" applyAlignment="1" applyProtection="1">
      <alignment horizontal="left" vertical="center" wrapText="1"/>
      <protection locked="0"/>
    </xf>
    <xf numFmtId="167" fontId="20" fillId="0" borderId="3" xfId="0" applyNumberFormat="1" applyFont="1" applyFill="1" applyBorder="1" applyAlignment="1">
      <alignment horizontal="center" vertical="center" wrapText="1"/>
    </xf>
    <xf numFmtId="167" fontId="20" fillId="0" borderId="3" xfId="0" applyNumberFormat="1" applyFont="1" applyFill="1" applyBorder="1" applyAlignment="1" applyProtection="1">
      <alignment horizontal="center" vertical="center" wrapText="1"/>
      <protection locked="0"/>
    </xf>
    <xf numFmtId="166" fontId="20" fillId="0" borderId="3" xfId="0" applyNumberFormat="1" applyFont="1" applyFill="1" applyBorder="1" applyAlignment="1" applyProtection="1">
      <alignment horizontal="center" vertical="center" wrapText="1"/>
      <protection locked="0"/>
    </xf>
    <xf numFmtId="165" fontId="22" fillId="0" borderId="3" xfId="0" applyNumberFormat="1" applyFont="1" applyFill="1" applyBorder="1" applyAlignment="1" applyProtection="1">
      <alignment horizontal="center" vertical="center" wrapText="1"/>
      <protection locked="0"/>
    </xf>
    <xf numFmtId="0" fontId="20" fillId="0" borderId="3" xfId="0" applyFont="1" applyFill="1" applyBorder="1" applyAlignment="1" applyProtection="1">
      <alignment horizontal="left" vertical="center" wrapText="1"/>
      <protection locked="0"/>
    </xf>
    <xf numFmtId="0" fontId="24" fillId="0" borderId="3" xfId="0" applyFont="1" applyFill="1" applyBorder="1" applyAlignment="1" applyProtection="1">
      <alignment horizontal="left" vertical="top"/>
      <protection locked="0"/>
    </xf>
    <xf numFmtId="167" fontId="24" fillId="0" borderId="3" xfId="0" applyNumberFormat="1" applyFont="1" applyFill="1" applyBorder="1" applyAlignment="1" applyProtection="1">
      <alignment horizontal="center" vertical="top"/>
      <protection locked="0"/>
    </xf>
    <xf numFmtId="0" fontId="21" fillId="0" borderId="3" xfId="0" applyFont="1" applyFill="1" applyBorder="1" applyAlignment="1">
      <alignment horizontal="center"/>
    </xf>
    <xf numFmtId="0" fontId="25" fillId="0" borderId="3" xfId="0" applyFont="1" applyFill="1" applyBorder="1" applyAlignment="1" applyProtection="1">
      <alignment horizontal="left" vertical="top"/>
      <protection locked="0"/>
    </xf>
    <xf numFmtId="1" fontId="22" fillId="0" borderId="3" xfId="0" applyNumberFormat="1" applyFont="1" applyFill="1" applyBorder="1" applyAlignment="1">
      <alignment horizontal="right" vertical="center"/>
    </xf>
    <xf numFmtId="1" fontId="22" fillId="0" borderId="0" xfId="0" applyNumberFormat="1" applyFont="1" applyFill="1" applyBorder="1" applyAlignment="1">
      <alignment horizontal="right" vertical="center"/>
    </xf>
    <xf numFmtId="0" fontId="20" fillId="0" borderId="3" xfId="0" applyFont="1" applyFill="1" applyBorder="1" applyAlignment="1" applyProtection="1">
      <alignment horizontal="left" vertical="top"/>
      <protection locked="0"/>
    </xf>
    <xf numFmtId="167" fontId="20" fillId="0" borderId="3" xfId="0" applyNumberFormat="1" applyFont="1" applyFill="1" applyBorder="1" applyAlignment="1" applyProtection="1">
      <alignment horizontal="center" vertical="top"/>
      <protection locked="0"/>
    </xf>
    <xf numFmtId="166" fontId="20" fillId="0" borderId="3" xfId="0" applyNumberFormat="1" applyFont="1" applyFill="1" applyBorder="1" applyAlignment="1" applyProtection="1">
      <alignment horizontal="center" vertical="top" wrapText="1"/>
      <protection locked="0"/>
    </xf>
    <xf numFmtId="167" fontId="20" fillId="0" borderId="3" xfId="0" applyNumberFormat="1" applyFont="1" applyFill="1" applyBorder="1" applyAlignment="1">
      <alignment horizontal="center"/>
    </xf>
    <xf numFmtId="0" fontId="20" fillId="0" borderId="0" xfId="0" applyFont="1" applyFill="1" applyAlignment="1">
      <alignment horizontal="center"/>
    </xf>
    <xf numFmtId="164" fontId="21" fillId="0" borderId="0" xfId="0" applyNumberFormat="1" applyFont="1" applyFill="1"/>
    <xf numFmtId="1" fontId="22" fillId="0" borderId="3" xfId="0" applyNumberFormat="1" applyFont="1" applyFill="1" applyBorder="1" applyAlignment="1">
      <alignment horizontal="center" vertical="center"/>
    </xf>
    <xf numFmtId="0" fontId="22" fillId="0" borderId="3" xfId="0" applyNumberFormat="1" applyFont="1" applyFill="1" applyBorder="1" applyAlignment="1">
      <alignment horizontal="center" vertical="center"/>
    </xf>
    <xf numFmtId="0" fontId="28" fillId="0" borderId="7" xfId="0" applyFont="1" applyFill="1" applyBorder="1" applyAlignment="1" applyProtection="1">
      <alignment horizontal="center" vertical="center" wrapText="1"/>
      <protection locked="0"/>
    </xf>
    <xf numFmtId="49" fontId="28" fillId="0" borderId="7" xfId="0" applyNumberFormat="1" applyFont="1" applyFill="1" applyBorder="1" applyAlignment="1">
      <alignment horizontal="center" vertical="center" wrapText="1"/>
    </xf>
    <xf numFmtId="164" fontId="28" fillId="0" borderId="7" xfId="0" applyNumberFormat="1" applyFont="1" applyFill="1" applyBorder="1" applyAlignment="1" applyProtection="1">
      <alignment horizontal="center" vertical="center" wrapText="1"/>
      <protection locked="0"/>
    </xf>
    <xf numFmtId="1" fontId="18" fillId="0" borderId="3" xfId="0" applyNumberFormat="1" applyFont="1" applyFill="1" applyBorder="1" applyAlignment="1" applyProtection="1">
      <alignment horizontal="center" vertical="top" wrapText="1"/>
      <protection locked="0"/>
    </xf>
    <xf numFmtId="165" fontId="18" fillId="0" borderId="3" xfId="0" applyNumberFormat="1" applyFont="1" applyFill="1" applyBorder="1" applyAlignment="1" applyProtection="1">
      <alignment horizontal="center" vertical="top" wrapText="1"/>
      <protection locked="0"/>
    </xf>
    <xf numFmtId="1" fontId="26" fillId="0" borderId="3" xfId="0" applyNumberFormat="1" applyFont="1" applyFill="1" applyBorder="1" applyAlignment="1">
      <alignment horizontal="center" vertical="center"/>
    </xf>
    <xf numFmtId="0" fontId="31" fillId="0" borderId="0" xfId="0" applyFont="1"/>
    <xf numFmtId="14" fontId="18" fillId="5" borderId="3" xfId="2" applyNumberFormat="1" applyFont="1" applyFill="1" applyBorder="1" applyAlignment="1" applyProtection="1">
      <alignment horizontal="left" vertical="center"/>
    </xf>
    <xf numFmtId="165" fontId="29" fillId="0" borderId="3" xfId="0" applyNumberFormat="1" applyFont="1" applyFill="1" applyBorder="1" applyAlignment="1">
      <alignment horizontal="center"/>
    </xf>
    <xf numFmtId="166" fontId="24" fillId="0" borderId="3" xfId="0" applyNumberFormat="1" applyFont="1" applyFill="1" applyBorder="1" applyAlignment="1" applyProtection="1">
      <alignment horizontal="center" vertical="top" wrapText="1"/>
      <protection locked="0"/>
    </xf>
    <xf numFmtId="1" fontId="21" fillId="0" borderId="3" xfId="0" applyNumberFormat="1" applyFont="1" applyFill="1" applyBorder="1" applyAlignment="1">
      <alignment horizontal="center"/>
    </xf>
    <xf numFmtId="14" fontId="21" fillId="0" borderId="3" xfId="0" applyNumberFormat="1" applyFont="1" applyFill="1" applyBorder="1" applyAlignment="1">
      <alignment horizontal="center"/>
    </xf>
    <xf numFmtId="1" fontId="22" fillId="0" borderId="3" xfId="0" applyNumberFormat="1" applyFont="1" applyFill="1" applyBorder="1" applyAlignment="1" applyProtection="1">
      <alignment horizontal="center" vertical="center" wrapText="1"/>
      <protection locked="0"/>
    </xf>
    <xf numFmtId="0" fontId="30" fillId="0" borderId="0" xfId="0" applyFont="1" applyAlignment="1">
      <alignment horizontal="center" vertical="center" wrapText="1"/>
    </xf>
    <xf numFmtId="0" fontId="20" fillId="0" borderId="3" xfId="0" applyFont="1" applyFill="1" applyBorder="1" applyAlignment="1" applyProtection="1">
      <alignment horizontal="center" vertical="center" wrapText="1"/>
      <protection locked="0"/>
    </xf>
    <xf numFmtId="0" fontId="21" fillId="0" borderId="3" xfId="0" applyFont="1" applyFill="1" applyBorder="1" applyAlignment="1">
      <alignment horizontal="center" vertical="center" wrapText="1"/>
    </xf>
    <xf numFmtId="1" fontId="22" fillId="0" borderId="3" xfId="0" applyNumberFormat="1" applyFont="1" applyFill="1" applyBorder="1" applyAlignment="1">
      <alignment horizontal="center" vertical="center" wrapText="1"/>
    </xf>
    <xf numFmtId="0" fontId="24" fillId="0" borderId="3" xfId="0" applyFont="1" applyFill="1" applyBorder="1" applyAlignment="1" applyProtection="1">
      <alignment horizontal="center" vertical="center" wrapText="1"/>
      <protection locked="0"/>
    </xf>
    <xf numFmtId="167" fontId="24" fillId="0" borderId="3" xfId="0" applyNumberFormat="1" applyFont="1" applyFill="1" applyBorder="1" applyAlignment="1" applyProtection="1">
      <alignment horizontal="center" vertical="center" wrapText="1"/>
      <protection locked="0"/>
    </xf>
    <xf numFmtId="166" fontId="24" fillId="0" borderId="3" xfId="0" applyNumberFormat="1" applyFont="1" applyFill="1" applyBorder="1" applyAlignment="1" applyProtection="1">
      <alignment horizontal="center" vertical="center" wrapText="1"/>
      <protection locked="0"/>
    </xf>
    <xf numFmtId="1" fontId="21" fillId="0" borderId="3" xfId="0" applyNumberFormat="1" applyFont="1" applyFill="1" applyBorder="1" applyAlignment="1" applyProtection="1">
      <alignment horizontal="center" vertical="center" wrapText="1"/>
      <protection locked="0"/>
    </xf>
    <xf numFmtId="164" fontId="21" fillId="0" borderId="0" xfId="0" applyNumberFormat="1" applyFont="1" applyFill="1" applyAlignment="1">
      <alignment horizontal="center" vertical="center" wrapText="1"/>
    </xf>
    <xf numFmtId="165" fontId="21" fillId="0" borderId="3" xfId="0" applyNumberFormat="1" applyFont="1" applyFill="1" applyBorder="1" applyAlignment="1">
      <alignment horizontal="center" vertical="center" wrapText="1"/>
    </xf>
    <xf numFmtId="14" fontId="21" fillId="5" borderId="3" xfId="2" applyNumberFormat="1" applyFont="1" applyFill="1" applyBorder="1" applyAlignment="1" applyProtection="1">
      <alignment horizontal="left" vertical="center" wrapText="1"/>
    </xf>
    <xf numFmtId="14" fontId="16" fillId="0" borderId="3" xfId="0" applyNumberFormat="1" applyFont="1" applyFill="1" applyBorder="1" applyAlignment="1" applyProtection="1">
      <alignment horizontal="left" vertical="center" wrapText="1"/>
      <protection locked="0"/>
    </xf>
    <xf numFmtId="1" fontId="41" fillId="0" borderId="3" xfId="0" applyNumberFormat="1" applyFont="1" applyFill="1" applyBorder="1" applyAlignment="1">
      <alignment horizontal="right" vertical="center"/>
    </xf>
    <xf numFmtId="0" fontId="17" fillId="0" borderId="3" xfId="0" applyFont="1" applyFill="1" applyBorder="1" applyAlignment="1" applyProtection="1">
      <alignment horizontal="left" vertical="top"/>
      <protection locked="0"/>
    </xf>
    <xf numFmtId="167" fontId="16" fillId="0" borderId="3" xfId="0" applyNumberFormat="1" applyFont="1" applyFill="1" applyBorder="1" applyAlignment="1">
      <alignment horizontal="center"/>
    </xf>
    <xf numFmtId="167" fontId="16" fillId="0" borderId="3" xfId="0" applyNumberFormat="1" applyFont="1" applyFill="1" applyBorder="1" applyAlignment="1" applyProtection="1">
      <alignment horizontal="center" vertical="top"/>
      <protection locked="0"/>
    </xf>
    <xf numFmtId="166" fontId="16" fillId="0" borderId="3" xfId="0" applyNumberFormat="1" applyFont="1" applyFill="1" applyBorder="1" applyAlignment="1" applyProtection="1">
      <alignment horizontal="center" vertical="top" wrapText="1"/>
      <protection locked="0"/>
    </xf>
    <xf numFmtId="1" fontId="41" fillId="0" borderId="3" xfId="0" applyNumberFormat="1" applyFont="1" applyFill="1" applyBorder="1" applyAlignment="1">
      <alignment horizontal="center" vertical="center"/>
    </xf>
    <xf numFmtId="0" fontId="16" fillId="0" borderId="3" xfId="0" applyFont="1" applyFill="1" applyBorder="1" applyAlignment="1" applyProtection="1">
      <alignment horizontal="left" vertical="center" wrapText="1"/>
      <protection locked="0"/>
    </xf>
    <xf numFmtId="0" fontId="16" fillId="0" borderId="3" xfId="0" applyFont="1" applyFill="1" applyBorder="1" applyAlignment="1" applyProtection="1">
      <alignment horizontal="left" vertical="top"/>
      <protection locked="0"/>
    </xf>
    <xf numFmtId="0" fontId="16" fillId="0" borderId="0" xfId="0" applyFont="1" applyFill="1"/>
    <xf numFmtId="2" fontId="18" fillId="5" borderId="3" xfId="2" applyNumberFormat="1" applyFont="1" applyFill="1" applyBorder="1" applyAlignment="1" applyProtection="1">
      <alignment horizontal="left" vertical="center"/>
    </xf>
    <xf numFmtId="1" fontId="18" fillId="5" borderId="3" xfId="2" applyNumberFormat="1" applyFont="1" applyFill="1" applyBorder="1" applyAlignment="1" applyProtection="1">
      <alignment horizontal="left" vertical="center"/>
    </xf>
    <xf numFmtId="167" fontId="16" fillId="0" borderId="3" xfId="0" applyNumberFormat="1" applyFont="1" applyFill="1" applyBorder="1" applyAlignment="1">
      <alignment horizontal="center" vertical="center" wrapText="1"/>
    </xf>
    <xf numFmtId="167" fontId="16" fillId="0" borderId="3" xfId="0" applyNumberFormat="1" applyFont="1" applyFill="1" applyBorder="1" applyAlignment="1" applyProtection="1">
      <alignment horizontal="center" vertical="center" wrapText="1"/>
      <protection locked="0"/>
    </xf>
    <xf numFmtId="1" fontId="18" fillId="0" borderId="3" xfId="0" applyNumberFormat="1" applyFont="1" applyFill="1" applyBorder="1" applyAlignment="1">
      <alignment horizontal="center"/>
    </xf>
    <xf numFmtId="167" fontId="17" fillId="0" borderId="3" xfId="0" applyNumberFormat="1" applyFont="1" applyFill="1" applyBorder="1" applyAlignment="1" applyProtection="1">
      <alignment horizontal="center" vertical="top"/>
      <protection locked="0"/>
    </xf>
    <xf numFmtId="166" fontId="17" fillId="0" borderId="3" xfId="0" applyNumberFormat="1" applyFont="1" applyFill="1" applyBorder="1" applyAlignment="1" applyProtection="1">
      <alignment horizontal="center" vertical="top" wrapText="1"/>
      <protection locked="0"/>
    </xf>
    <xf numFmtId="0" fontId="42" fillId="0" borderId="3" xfId="0" applyFont="1" applyFill="1" applyBorder="1" applyAlignment="1" applyProtection="1">
      <alignment horizontal="left" vertical="top"/>
      <protection locked="0"/>
    </xf>
    <xf numFmtId="166" fontId="16" fillId="0" borderId="3" xfId="0" applyNumberFormat="1" applyFont="1" applyFill="1" applyBorder="1" applyAlignment="1" applyProtection="1">
      <alignment horizontal="center" vertical="center" wrapText="1"/>
      <protection locked="0"/>
    </xf>
    <xf numFmtId="14" fontId="21" fillId="5" borderId="3" xfId="2" applyNumberFormat="1" applyFont="1" applyFill="1" applyBorder="1" applyAlignment="1" applyProtection="1">
      <alignment horizontal="center" vertical="center" wrapText="1"/>
    </xf>
    <xf numFmtId="1" fontId="22" fillId="0" borderId="0" xfId="0" applyNumberFormat="1" applyFont="1" applyFill="1" applyBorder="1" applyAlignment="1">
      <alignment horizontal="center" vertical="center" wrapText="1"/>
    </xf>
    <xf numFmtId="167" fontId="26" fillId="0" borderId="3" xfId="0" applyNumberFormat="1" applyFont="1" applyFill="1" applyBorder="1" applyAlignment="1">
      <alignment horizontal="center" vertical="center" wrapText="1"/>
    </xf>
    <xf numFmtId="167" fontId="26" fillId="0" borderId="3" xfId="0" applyNumberFormat="1" applyFont="1" applyFill="1" applyBorder="1" applyAlignment="1" applyProtection="1">
      <alignment horizontal="center" vertical="center" wrapText="1"/>
      <protection locked="0"/>
    </xf>
    <xf numFmtId="0" fontId="26" fillId="0" borderId="3" xfId="0" applyFont="1" applyFill="1" applyBorder="1" applyAlignment="1" applyProtection="1">
      <alignment horizontal="center" vertical="center" wrapText="1"/>
      <protection locked="0"/>
    </xf>
    <xf numFmtId="166" fontId="26" fillId="0" borderId="3" xfId="0" applyNumberFormat="1" applyFont="1" applyFill="1" applyBorder="1" applyAlignment="1" applyProtection="1">
      <alignment horizontal="center" vertical="center" wrapText="1"/>
      <protection locked="0"/>
    </xf>
    <xf numFmtId="1" fontId="26" fillId="0" borderId="3" xfId="0" applyNumberFormat="1" applyFont="1" applyFill="1" applyBorder="1" applyAlignment="1">
      <alignment horizontal="center" vertical="center" wrapText="1"/>
    </xf>
    <xf numFmtId="1" fontId="21" fillId="5" borderId="3" xfId="2" applyNumberFormat="1" applyFont="1" applyFill="1" applyBorder="1" applyAlignment="1" applyProtection="1">
      <alignment horizontal="left" vertical="center" wrapText="1"/>
    </xf>
    <xf numFmtId="2" fontId="21" fillId="5" borderId="3" xfId="2" applyNumberFormat="1" applyFont="1" applyFill="1" applyBorder="1" applyAlignment="1" applyProtection="1">
      <alignment horizontal="left" vertical="center" wrapText="1"/>
    </xf>
    <xf numFmtId="2" fontId="36" fillId="5" borderId="3" xfId="0" applyNumberFormat="1" applyFont="1" applyFill="1" applyBorder="1" applyAlignment="1">
      <alignment horizontal="left"/>
    </xf>
    <xf numFmtId="14" fontId="18" fillId="0" borderId="3" xfId="0" applyNumberFormat="1" applyFont="1" applyFill="1" applyBorder="1" applyAlignment="1">
      <alignment horizontal="center"/>
    </xf>
    <xf numFmtId="0" fontId="49" fillId="0" borderId="0" xfId="2" applyFont="1" applyFill="1" applyBorder="1" applyAlignment="1" applyProtection="1">
      <alignment horizontal="center" vertical="center"/>
    </xf>
    <xf numFmtId="0" fontId="18" fillId="0" borderId="3" xfId="0" applyFont="1" applyFill="1" applyBorder="1" applyAlignment="1">
      <alignment horizontal="center"/>
    </xf>
    <xf numFmtId="1" fontId="41" fillId="0" borderId="3" xfId="0" applyNumberFormat="1" applyFont="1" applyFill="1" applyBorder="1" applyAlignment="1" applyProtection="1">
      <alignment horizontal="center" vertical="center" wrapText="1"/>
      <protection locked="0"/>
    </xf>
    <xf numFmtId="1" fontId="18" fillId="3" borderId="3" xfId="2" applyNumberFormat="1" applyFont="1" applyFill="1" applyBorder="1" applyAlignment="1" applyProtection="1">
      <alignment horizontal="center" vertical="center" wrapText="1"/>
    </xf>
    <xf numFmtId="1" fontId="14" fillId="5" borderId="3" xfId="0" applyNumberFormat="1" applyFont="1" applyFill="1" applyBorder="1" applyAlignment="1">
      <alignment horizontal="center" vertical="center"/>
    </xf>
    <xf numFmtId="14" fontId="18" fillId="5" borderId="3" xfId="2" applyNumberFormat="1" applyFont="1" applyFill="1" applyBorder="1" applyAlignment="1" applyProtection="1">
      <alignment horizontal="center" vertical="center"/>
    </xf>
    <xf numFmtId="0" fontId="51" fillId="0" borderId="3" xfId="0" applyFont="1" applyFill="1" applyBorder="1" applyAlignment="1" applyProtection="1">
      <alignment horizontal="left" vertical="top"/>
      <protection locked="0"/>
    </xf>
    <xf numFmtId="3" fontId="41" fillId="0" borderId="3" xfId="0" applyNumberFormat="1" applyFont="1" applyFill="1" applyBorder="1" applyAlignment="1" applyProtection="1">
      <alignment horizontal="center" vertical="center" wrapText="1"/>
      <protection locked="0"/>
    </xf>
    <xf numFmtId="165" fontId="41" fillId="0" borderId="3" xfId="0" applyNumberFormat="1" applyFont="1" applyFill="1" applyBorder="1" applyAlignment="1" applyProtection="1">
      <alignment horizontal="center" vertical="center" wrapText="1"/>
      <protection locked="0"/>
    </xf>
    <xf numFmtId="3" fontId="18" fillId="0" borderId="3" xfId="0" applyNumberFormat="1" applyFont="1" applyFill="1" applyBorder="1" applyAlignment="1">
      <alignment horizontal="center"/>
    </xf>
    <xf numFmtId="3" fontId="41" fillId="0" borderId="3" xfId="0" applyNumberFormat="1" applyFont="1" applyFill="1" applyBorder="1" applyAlignment="1">
      <alignment horizontal="center" vertical="center"/>
    </xf>
    <xf numFmtId="0" fontId="41" fillId="0" borderId="3" xfId="0" applyNumberFormat="1" applyFont="1" applyFill="1" applyBorder="1" applyAlignment="1">
      <alignment horizontal="center" vertical="center"/>
    </xf>
    <xf numFmtId="0" fontId="31" fillId="0" borderId="0" xfId="0" applyFont="1" applyFill="1"/>
    <xf numFmtId="167" fontId="51" fillId="0" borderId="3" xfId="0" applyNumberFormat="1" applyFont="1" applyFill="1" applyBorder="1" applyAlignment="1">
      <alignment horizontal="center"/>
    </xf>
    <xf numFmtId="167" fontId="51" fillId="0" borderId="3" xfId="0" applyNumberFormat="1" applyFont="1" applyFill="1" applyBorder="1" applyAlignment="1" applyProtection="1">
      <alignment horizontal="center" vertical="top"/>
      <protection locked="0"/>
    </xf>
    <xf numFmtId="166" fontId="51" fillId="0" borderId="3" xfId="0" applyNumberFormat="1" applyFont="1" applyFill="1" applyBorder="1" applyAlignment="1" applyProtection="1">
      <alignment horizontal="center" vertical="top" wrapText="1"/>
      <protection locked="0"/>
    </xf>
    <xf numFmtId="0" fontId="31" fillId="0" borderId="0" xfId="0" applyFont="1" applyAlignment="1">
      <alignment horizontal="center"/>
    </xf>
    <xf numFmtId="0" fontId="31" fillId="0" borderId="3" xfId="0" applyFont="1" applyBorder="1"/>
    <xf numFmtId="0" fontId="18" fillId="5" borderId="3" xfId="0" applyFont="1" applyFill="1" applyBorder="1" applyAlignment="1">
      <alignment horizontal="center"/>
    </xf>
    <xf numFmtId="0" fontId="25" fillId="7" borderId="3" xfId="0" applyFont="1" applyFill="1" applyBorder="1" applyAlignment="1" applyProtection="1">
      <alignment horizontal="left" vertical="top"/>
      <protection locked="0"/>
    </xf>
    <xf numFmtId="167" fontId="42" fillId="7" borderId="3" xfId="0" applyNumberFormat="1" applyFont="1" applyFill="1" applyBorder="1" applyAlignment="1">
      <alignment horizontal="center"/>
    </xf>
    <xf numFmtId="167" fontId="42" fillId="7" borderId="3" xfId="0" applyNumberFormat="1" applyFont="1" applyFill="1" applyBorder="1" applyAlignment="1" applyProtection="1">
      <alignment horizontal="center" vertical="top"/>
      <protection locked="0"/>
    </xf>
    <xf numFmtId="166" fontId="42" fillId="7" borderId="3" xfId="0" applyNumberFormat="1" applyFont="1" applyFill="1" applyBorder="1" applyAlignment="1" applyProtection="1">
      <alignment horizontal="center" vertical="top" wrapText="1"/>
      <protection locked="0"/>
    </xf>
    <xf numFmtId="1" fontId="52" fillId="7" borderId="3" xfId="0" applyNumberFormat="1" applyFont="1" applyFill="1" applyBorder="1" applyAlignment="1">
      <alignment horizontal="right" vertical="center"/>
    </xf>
    <xf numFmtId="1" fontId="52" fillId="7" borderId="3" xfId="0" applyNumberFormat="1" applyFont="1" applyFill="1" applyBorder="1" applyAlignment="1">
      <alignment horizontal="center" vertical="center"/>
    </xf>
    <xf numFmtId="1" fontId="18" fillId="0" borderId="3" xfId="0" applyNumberFormat="1" applyFont="1" applyFill="1" applyBorder="1" applyAlignment="1" applyProtection="1">
      <alignment horizontal="center" vertical="center" wrapText="1"/>
      <protection locked="0"/>
    </xf>
    <xf numFmtId="0" fontId="42" fillId="0" borderId="0" xfId="0" applyFont="1"/>
    <xf numFmtId="0" fontId="0" fillId="0" borderId="0" xfId="0" applyFill="1"/>
    <xf numFmtId="0" fontId="16" fillId="5" borderId="3" xfId="0" applyFont="1" applyFill="1" applyBorder="1" applyAlignment="1" applyProtection="1">
      <alignment horizontal="left" vertical="top"/>
      <protection locked="0"/>
    </xf>
    <xf numFmtId="167" fontId="16" fillId="5" borderId="3" xfId="0" applyNumberFormat="1" applyFont="1" applyFill="1" applyBorder="1" applyAlignment="1">
      <alignment horizontal="center"/>
    </xf>
    <xf numFmtId="167" fontId="16" fillId="5" borderId="3" xfId="0" applyNumberFormat="1" applyFont="1" applyFill="1" applyBorder="1" applyAlignment="1" applyProtection="1">
      <alignment horizontal="center" vertical="top"/>
      <protection locked="0"/>
    </xf>
    <xf numFmtId="166" fontId="16" fillId="5" borderId="3" xfId="0" applyNumberFormat="1" applyFont="1" applyFill="1" applyBorder="1" applyAlignment="1" applyProtection="1">
      <alignment horizontal="center" vertical="top" wrapText="1"/>
      <protection locked="0"/>
    </xf>
    <xf numFmtId="0" fontId="31" fillId="5" borderId="0" xfId="0" applyFont="1" applyFill="1"/>
    <xf numFmtId="167" fontId="20" fillId="0" borderId="7" xfId="0" applyNumberFormat="1" applyFont="1" applyFill="1" applyBorder="1" applyAlignment="1">
      <alignment horizontal="center" vertical="center" wrapText="1"/>
    </xf>
    <xf numFmtId="167" fontId="20" fillId="0" borderId="7" xfId="0" applyNumberFormat="1" applyFont="1" applyFill="1" applyBorder="1" applyAlignment="1" applyProtection="1">
      <alignment horizontal="center" vertical="center" wrapText="1"/>
      <protection locked="0"/>
    </xf>
    <xf numFmtId="0" fontId="25" fillId="5" borderId="3" xfId="0" applyFont="1" applyFill="1" applyBorder="1" applyAlignment="1" applyProtection="1">
      <alignment horizontal="left" vertical="top"/>
      <protection locked="0"/>
    </xf>
    <xf numFmtId="166" fontId="42" fillId="5" borderId="3" xfId="0" applyNumberFormat="1" applyFont="1" applyFill="1" applyBorder="1" applyAlignment="1" applyProtection="1">
      <alignment horizontal="center" vertical="top" wrapText="1"/>
      <protection locked="0"/>
    </xf>
    <xf numFmtId="1" fontId="52" fillId="5" borderId="3" xfId="0" applyNumberFormat="1" applyFont="1" applyFill="1" applyBorder="1" applyAlignment="1">
      <alignment horizontal="right" vertical="center"/>
    </xf>
    <xf numFmtId="1" fontId="52" fillId="5" borderId="3" xfId="0" applyNumberFormat="1" applyFont="1" applyFill="1" applyBorder="1" applyAlignment="1">
      <alignment horizontal="center" vertical="center"/>
    </xf>
    <xf numFmtId="0" fontId="21" fillId="5" borderId="3" xfId="0" applyFont="1" applyFill="1" applyBorder="1" applyAlignment="1">
      <alignment horizontal="center"/>
    </xf>
    <xf numFmtId="1" fontId="22" fillId="5" borderId="3" xfId="0" applyNumberFormat="1" applyFont="1" applyFill="1" applyBorder="1" applyAlignment="1">
      <alignment horizontal="center" vertical="center"/>
    </xf>
    <xf numFmtId="1" fontId="22" fillId="5" borderId="3" xfId="0" applyNumberFormat="1" applyFont="1" applyFill="1" applyBorder="1" applyAlignment="1">
      <alignment horizontal="right" vertical="center"/>
    </xf>
    <xf numFmtId="0" fontId="22" fillId="5" borderId="3" xfId="0" applyNumberFormat="1" applyFont="1" applyFill="1" applyBorder="1" applyAlignment="1">
      <alignment horizontal="center" vertical="center"/>
    </xf>
    <xf numFmtId="1" fontId="18" fillId="5" borderId="3" xfId="0" applyNumberFormat="1" applyFont="1" applyFill="1" applyBorder="1" applyAlignment="1">
      <alignment horizontal="right" vertical="center"/>
    </xf>
    <xf numFmtId="1" fontId="18" fillId="5" borderId="3" xfId="0" applyNumberFormat="1" applyFont="1" applyFill="1" applyBorder="1" applyAlignment="1">
      <alignment horizontal="center" vertical="center"/>
    </xf>
    <xf numFmtId="167" fontId="60" fillId="0" borderId="3" xfId="0" applyNumberFormat="1" applyFont="1" applyFill="1" applyBorder="1" applyAlignment="1">
      <alignment horizontal="center"/>
    </xf>
    <xf numFmtId="167" fontId="60" fillId="0" borderId="3" xfId="0" applyNumberFormat="1" applyFont="1" applyFill="1" applyBorder="1" applyAlignment="1" applyProtection="1">
      <alignment horizontal="center" vertical="top"/>
      <protection locked="0"/>
    </xf>
    <xf numFmtId="166" fontId="60" fillId="0" borderId="3" xfId="0" applyNumberFormat="1" applyFont="1" applyFill="1" applyBorder="1" applyAlignment="1" applyProtection="1">
      <alignment horizontal="center" vertical="top" wrapText="1"/>
      <protection locked="0"/>
    </xf>
    <xf numFmtId="1" fontId="22" fillId="0" borderId="3" xfId="6" applyNumberFormat="1" applyFont="1" applyFill="1" applyBorder="1" applyAlignment="1">
      <alignment horizontal="center" vertical="center"/>
    </xf>
    <xf numFmtId="3" fontId="22" fillId="0" borderId="3" xfId="0" applyNumberFormat="1" applyFont="1" applyFill="1" applyBorder="1" applyAlignment="1" applyProtection="1">
      <alignment horizontal="center" vertical="center" wrapText="1"/>
      <protection locked="0"/>
    </xf>
    <xf numFmtId="165" fontId="29" fillId="0" borderId="3" xfId="0" applyNumberFormat="1" applyFont="1" applyFill="1" applyBorder="1" applyAlignment="1">
      <alignment horizontal="center" vertical="center" wrapText="1"/>
    </xf>
    <xf numFmtId="165" fontId="31" fillId="0" borderId="0" xfId="0" applyNumberFormat="1" applyFont="1"/>
    <xf numFmtId="1" fontId="34" fillId="5" borderId="3" xfId="0" applyNumberFormat="1" applyFont="1" applyFill="1" applyBorder="1" applyAlignment="1">
      <alignment horizontal="right" vertical="center"/>
    </xf>
    <xf numFmtId="1" fontId="34" fillId="5" borderId="3" xfId="0" applyNumberFormat="1" applyFont="1" applyFill="1" applyBorder="1" applyAlignment="1">
      <alignment horizontal="center" vertical="center"/>
    </xf>
    <xf numFmtId="0" fontId="61" fillId="0" borderId="0" xfId="0" applyFont="1"/>
    <xf numFmtId="1" fontId="22" fillId="4" borderId="3" xfId="0" applyNumberFormat="1" applyFont="1" applyFill="1" applyBorder="1" applyAlignment="1">
      <alignment horizontal="center" vertical="center"/>
    </xf>
    <xf numFmtId="16" fontId="0" fillId="0" borderId="0" xfId="0" applyNumberFormat="1"/>
    <xf numFmtId="167" fontId="17" fillId="5" borderId="3" xfId="0" applyNumberFormat="1" applyFont="1" applyFill="1" applyBorder="1" applyAlignment="1">
      <alignment horizontal="center"/>
    </xf>
    <xf numFmtId="167" fontId="17" fillId="5" borderId="3" xfId="0" applyNumberFormat="1" applyFont="1" applyFill="1" applyBorder="1" applyAlignment="1" applyProtection="1">
      <alignment horizontal="center" vertical="top"/>
      <protection locked="0"/>
    </xf>
    <xf numFmtId="166" fontId="17" fillId="5" borderId="3" xfId="0" applyNumberFormat="1" applyFont="1" applyFill="1" applyBorder="1" applyAlignment="1" applyProtection="1">
      <alignment horizontal="center" vertical="top" wrapText="1"/>
      <protection locked="0"/>
    </xf>
    <xf numFmtId="14" fontId="21" fillId="0" borderId="3" xfId="2" applyNumberFormat="1" applyFont="1" applyFill="1" applyBorder="1" applyAlignment="1" applyProtection="1">
      <alignment horizontal="center" vertical="center" wrapText="1"/>
    </xf>
    <xf numFmtId="0" fontId="28" fillId="0" borderId="3" xfId="0" applyFont="1" applyFill="1" applyBorder="1" applyAlignment="1" applyProtection="1">
      <alignment horizontal="center" vertical="center" wrapText="1"/>
      <protection locked="0"/>
    </xf>
    <xf numFmtId="2" fontId="16" fillId="3" borderId="3" xfId="1" applyNumberFormat="1" applyFont="1" applyFill="1" applyBorder="1" applyAlignment="1">
      <alignment horizontal="left" vertical="center" wrapText="1"/>
    </xf>
    <xf numFmtId="2" fontId="35" fillId="3" borderId="3" xfId="1" applyNumberFormat="1" applyFont="1" applyFill="1" applyBorder="1" applyAlignment="1">
      <alignment horizontal="center" vertical="center" wrapText="1"/>
    </xf>
    <xf numFmtId="1" fontId="16" fillId="3" borderId="3" xfId="1" applyNumberFormat="1" applyFont="1" applyFill="1" applyBorder="1" applyAlignment="1">
      <alignment horizontal="center" vertical="center" wrapText="1"/>
    </xf>
    <xf numFmtId="14" fontId="18" fillId="3" borderId="3" xfId="1" applyNumberFormat="1" applyFont="1" applyFill="1" applyBorder="1" applyAlignment="1">
      <alignment horizontal="center" vertical="center" wrapText="1"/>
    </xf>
    <xf numFmtId="14" fontId="16" fillId="3" borderId="3" xfId="1" applyNumberFormat="1" applyFont="1" applyFill="1" applyBorder="1" applyAlignment="1">
      <alignment horizontal="center" vertical="center" wrapText="1"/>
    </xf>
    <xf numFmtId="165" fontId="18" fillId="3" borderId="3" xfId="1" applyNumberFormat="1" applyFont="1" applyFill="1" applyBorder="1" applyAlignment="1">
      <alignment horizontal="right" vertical="center" wrapText="1"/>
    </xf>
    <xf numFmtId="2" fontId="31" fillId="3" borderId="3" xfId="0" applyNumberFormat="1" applyFont="1" applyFill="1" applyBorder="1" applyAlignment="1">
      <alignment horizontal="left" vertical="center" wrapText="1"/>
    </xf>
    <xf numFmtId="2" fontId="35" fillId="3" borderId="3" xfId="2" applyNumberFormat="1" applyFont="1" applyFill="1" applyBorder="1" applyAlignment="1" applyProtection="1">
      <alignment horizontal="center" vertical="center" wrapText="1"/>
    </xf>
    <xf numFmtId="1" fontId="16" fillId="3" borderId="3" xfId="2" applyNumberFormat="1" applyFont="1" applyFill="1" applyBorder="1" applyAlignment="1" applyProtection="1">
      <alignment horizontal="center" vertical="center" wrapText="1"/>
    </xf>
    <xf numFmtId="14" fontId="18" fillId="3" borderId="3" xfId="2" applyNumberFormat="1" applyFont="1" applyFill="1" applyBorder="1" applyAlignment="1" applyProtection="1">
      <alignment horizontal="center" vertical="center" wrapText="1"/>
    </xf>
    <xf numFmtId="14" fontId="16" fillId="3" borderId="3" xfId="2" applyNumberFormat="1" applyFont="1" applyFill="1" applyBorder="1" applyAlignment="1" applyProtection="1">
      <alignment horizontal="center" vertical="center" wrapText="1"/>
    </xf>
    <xf numFmtId="165" fontId="18" fillId="3" borderId="3" xfId="2" applyNumberFormat="1" applyFont="1" applyFill="1" applyBorder="1" applyAlignment="1" applyProtection="1">
      <alignment horizontal="right" vertical="center" wrapText="1"/>
    </xf>
    <xf numFmtId="165" fontId="29" fillId="0" borderId="0" xfId="0" applyNumberFormat="1" applyFont="1" applyFill="1" applyBorder="1" applyAlignment="1">
      <alignment horizontal="center"/>
    </xf>
    <xf numFmtId="1" fontId="41" fillId="3" borderId="3" xfId="0" applyNumberFormat="1" applyFont="1" applyFill="1" applyBorder="1" applyAlignment="1">
      <alignment horizontal="center" vertical="center"/>
    </xf>
    <xf numFmtId="2" fontId="18" fillId="3" borderId="3" xfId="2" applyNumberFormat="1" applyFont="1" applyFill="1" applyBorder="1" applyAlignment="1" applyProtection="1">
      <alignment horizontal="center" vertical="center" wrapText="1"/>
    </xf>
    <xf numFmtId="49" fontId="28" fillId="0" borderId="3" xfId="0" applyNumberFormat="1" applyFont="1" applyFill="1" applyBorder="1" applyAlignment="1">
      <alignment horizontal="center" vertical="center" wrapText="1"/>
    </xf>
    <xf numFmtId="164" fontId="28" fillId="0" borderId="3" xfId="0" applyNumberFormat="1" applyFont="1" applyFill="1" applyBorder="1" applyAlignment="1" applyProtection="1">
      <alignment horizontal="center" vertical="center" wrapText="1"/>
      <protection locked="0"/>
    </xf>
    <xf numFmtId="1" fontId="41" fillId="3" borderId="3" xfId="0" applyNumberFormat="1" applyFont="1" applyFill="1" applyBorder="1" applyAlignment="1" applyProtection="1">
      <alignment horizontal="center" vertical="center" wrapText="1"/>
      <protection locked="0"/>
    </xf>
    <xf numFmtId="165" fontId="18" fillId="0" borderId="3" xfId="0" applyNumberFormat="1" applyFont="1" applyFill="1" applyBorder="1" applyAlignment="1" applyProtection="1">
      <alignment horizontal="center" vertical="center" wrapText="1"/>
      <protection locked="0"/>
    </xf>
    <xf numFmtId="0" fontId="30" fillId="0" borderId="0" xfId="0" applyFont="1" applyFill="1" applyAlignment="1">
      <alignment horizontal="center" vertical="center" wrapText="1"/>
    </xf>
    <xf numFmtId="0" fontId="52" fillId="0" borderId="0" xfId="0" applyFont="1"/>
    <xf numFmtId="0" fontId="77" fillId="0" borderId="0" xfId="0" applyFont="1"/>
    <xf numFmtId="0" fontId="78" fillId="0" borderId="0" xfId="0" applyFont="1" applyAlignment="1">
      <alignment horizontal="center"/>
    </xf>
    <xf numFmtId="0" fontId="78" fillId="0" borderId="0" xfId="0" applyFont="1"/>
    <xf numFmtId="14" fontId="20" fillId="0" borderId="7" xfId="0" applyNumberFormat="1" applyFont="1" applyFill="1" applyBorder="1" applyAlignment="1" applyProtection="1">
      <alignment horizontal="left" vertical="center" wrapText="1"/>
      <protection locked="0"/>
    </xf>
    <xf numFmtId="165" fontId="22" fillId="4" borderId="7" xfId="0" applyNumberFormat="1" applyFont="1" applyFill="1" applyBorder="1" applyAlignment="1" applyProtection="1">
      <alignment horizontal="center" vertical="center" wrapText="1"/>
      <protection locked="0"/>
    </xf>
    <xf numFmtId="168" fontId="18" fillId="0" borderId="3" xfId="0" applyNumberFormat="1" applyFont="1" applyFill="1" applyBorder="1" applyAlignment="1" applyProtection="1">
      <alignment horizontal="center" vertical="center" wrapText="1"/>
      <protection locked="0"/>
    </xf>
    <xf numFmtId="167" fontId="20" fillId="0" borderId="3" xfId="0" applyNumberFormat="1" applyFont="1" applyFill="1" applyBorder="1" applyAlignment="1">
      <alignment horizontal="left" vertical="top" wrapText="1"/>
    </xf>
    <xf numFmtId="165" fontId="22" fillId="5" borderId="3" xfId="0" applyNumberFormat="1" applyFont="1" applyFill="1" applyBorder="1" applyAlignment="1">
      <alignment horizontal="center" vertical="center"/>
    </xf>
    <xf numFmtId="0" fontId="29" fillId="0" borderId="0" xfId="0" applyFont="1" applyFill="1" applyBorder="1" applyAlignment="1">
      <alignment horizontal="center"/>
    </xf>
    <xf numFmtId="0" fontId="20" fillId="0" borderId="0" xfId="0" applyFont="1" applyFill="1" applyBorder="1" applyAlignment="1">
      <alignment vertical="center" wrapText="1"/>
    </xf>
    <xf numFmtId="0" fontId="79" fillId="0" borderId="3" xfId="0" applyFont="1" applyBorder="1"/>
    <xf numFmtId="4" fontId="31" fillId="0" borderId="3" xfId="0" applyNumberFormat="1" applyFont="1" applyBorder="1" applyAlignment="1">
      <alignment horizontal="center"/>
    </xf>
    <xf numFmtId="0" fontId="36" fillId="0" borderId="3" xfId="0" applyFont="1" applyBorder="1" applyAlignment="1">
      <alignment horizontal="center"/>
    </xf>
    <xf numFmtId="4" fontId="36" fillId="0" borderId="3" xfId="0" applyNumberFormat="1" applyFont="1" applyBorder="1" applyAlignment="1">
      <alignment horizontal="center"/>
    </xf>
    <xf numFmtId="4" fontId="31" fillId="0" borderId="0" xfId="0" applyNumberFormat="1" applyFont="1" applyAlignment="1">
      <alignment horizontal="center"/>
    </xf>
    <xf numFmtId="2" fontId="31" fillId="3" borderId="3" xfId="0" applyNumberFormat="1" applyFont="1" applyFill="1" applyBorder="1" applyAlignment="1">
      <alignment horizontal="left" vertical="center"/>
    </xf>
    <xf numFmtId="165" fontId="18" fillId="5" borderId="3" xfId="0" applyNumberFormat="1" applyFont="1" applyFill="1" applyBorder="1" applyAlignment="1">
      <alignment horizontal="center" vertical="center"/>
    </xf>
    <xf numFmtId="1" fontId="80" fillId="0" borderId="3" xfId="0" applyNumberFormat="1" applyFont="1" applyFill="1" applyBorder="1" applyAlignment="1">
      <alignment horizontal="center" vertical="center"/>
    </xf>
    <xf numFmtId="0" fontId="22" fillId="3" borderId="3" xfId="0" applyNumberFormat="1" applyFont="1" applyFill="1" applyBorder="1" applyAlignment="1">
      <alignment horizontal="center" vertical="center"/>
    </xf>
    <xf numFmtId="1" fontId="18" fillId="3" borderId="3" xfId="0" applyNumberFormat="1" applyFont="1" applyFill="1" applyBorder="1" applyAlignment="1">
      <alignment horizontal="center"/>
    </xf>
    <xf numFmtId="167" fontId="20" fillId="0" borderId="3" xfId="0" applyNumberFormat="1" applyFont="1" applyFill="1" applyBorder="1" applyAlignment="1">
      <alignment horizontal="left"/>
    </xf>
    <xf numFmtId="1" fontId="18" fillId="0" borderId="3" xfId="0" applyNumberFormat="1" applyFont="1" applyFill="1" applyBorder="1" applyAlignment="1">
      <alignment horizontal="right" vertical="center"/>
    </xf>
    <xf numFmtId="165" fontId="18" fillId="3" borderId="3" xfId="0" applyNumberFormat="1" applyFont="1" applyFill="1" applyBorder="1" applyAlignment="1">
      <alignment horizontal="center"/>
    </xf>
    <xf numFmtId="165" fontId="41" fillId="3" borderId="3" xfId="0" applyNumberFormat="1" applyFont="1" applyFill="1" applyBorder="1" applyAlignment="1" applyProtection="1">
      <alignment horizontal="center" vertical="center" wrapText="1"/>
      <protection locked="0"/>
    </xf>
    <xf numFmtId="0" fontId="9" fillId="3" borderId="3" xfId="0" applyFont="1" applyFill="1" applyBorder="1" applyAlignment="1">
      <alignment horizontal="center"/>
    </xf>
    <xf numFmtId="14" fontId="28" fillId="5" borderId="3" xfId="2" applyNumberFormat="1" applyFont="1" applyFill="1" applyBorder="1" applyAlignment="1" applyProtection="1">
      <alignment horizontal="center" vertical="center" wrapText="1"/>
    </xf>
    <xf numFmtId="0" fontId="28" fillId="0" borderId="3" xfId="0" applyFont="1" applyFill="1" applyBorder="1" applyAlignment="1">
      <alignment horizontal="center" vertical="center" wrapText="1"/>
    </xf>
    <xf numFmtId="1" fontId="82" fillId="0" borderId="3" xfId="0" applyNumberFormat="1" applyFont="1" applyFill="1" applyBorder="1" applyAlignment="1">
      <alignment horizontal="center" vertical="center" wrapText="1"/>
    </xf>
    <xf numFmtId="165" fontId="18" fillId="0" borderId="3" xfId="0" applyNumberFormat="1" applyFont="1" applyFill="1" applyBorder="1" applyAlignment="1">
      <alignment horizontal="center" vertical="center"/>
    </xf>
    <xf numFmtId="165" fontId="52" fillId="0" borderId="3" xfId="0" applyNumberFormat="1" applyFont="1" applyFill="1" applyBorder="1" applyAlignment="1">
      <alignment horizontal="center" vertical="center"/>
    </xf>
    <xf numFmtId="165" fontId="22" fillId="0" borderId="3" xfId="0" applyNumberFormat="1" applyFont="1" applyFill="1" applyBorder="1" applyAlignment="1">
      <alignment horizontal="right" vertical="center"/>
    </xf>
    <xf numFmtId="4" fontId="41" fillId="0" borderId="3" xfId="0" applyNumberFormat="1" applyFont="1" applyFill="1" applyBorder="1" applyAlignment="1" applyProtection="1">
      <alignment horizontal="center" vertical="center" wrapText="1"/>
      <protection locked="0"/>
    </xf>
    <xf numFmtId="4" fontId="18" fillId="0" borderId="3" xfId="0" applyNumberFormat="1" applyFont="1" applyFill="1" applyBorder="1" applyAlignment="1">
      <alignment horizontal="center"/>
    </xf>
    <xf numFmtId="4" fontId="41" fillId="0" borderId="3" xfId="0" applyNumberFormat="1" applyFont="1" applyFill="1" applyBorder="1" applyAlignment="1">
      <alignment horizontal="center" vertical="center"/>
    </xf>
    <xf numFmtId="4" fontId="22" fillId="0" borderId="3" xfId="0" applyNumberFormat="1" applyFont="1" applyFill="1" applyBorder="1" applyAlignment="1">
      <alignment horizontal="center" vertical="center"/>
    </xf>
    <xf numFmtId="4" fontId="18" fillId="0" borderId="3" xfId="0" applyNumberFormat="1" applyFont="1" applyFill="1" applyBorder="1" applyAlignment="1" applyProtection="1">
      <alignment horizontal="center" vertical="center" wrapText="1"/>
      <protection locked="0"/>
    </xf>
    <xf numFmtId="165" fontId="18" fillId="0" borderId="7" xfId="0" applyNumberFormat="1" applyFont="1" applyFill="1" applyBorder="1" applyAlignment="1">
      <alignment horizontal="center"/>
    </xf>
    <xf numFmtId="0" fontId="21" fillId="0" borderId="3" xfId="0" applyFont="1" applyBorder="1" applyAlignment="1">
      <alignment horizontal="center" vertical="center" wrapText="1"/>
    </xf>
    <xf numFmtId="166" fontId="21" fillId="0" borderId="3" xfId="0" applyNumberFormat="1" applyFont="1" applyFill="1" applyBorder="1" applyAlignment="1" applyProtection="1">
      <alignment horizontal="center" vertical="center" wrapText="1"/>
      <protection locked="0"/>
    </xf>
    <xf numFmtId="165" fontId="52" fillId="3" borderId="3" xfId="0" applyNumberFormat="1" applyFont="1" applyFill="1" applyBorder="1" applyAlignment="1">
      <alignment horizontal="center" vertical="center"/>
    </xf>
    <xf numFmtId="165" fontId="41" fillId="3" borderId="3" xfId="0" applyNumberFormat="1" applyFont="1" applyFill="1" applyBorder="1" applyAlignment="1">
      <alignment horizontal="center" vertical="center"/>
    </xf>
    <xf numFmtId="1" fontId="22" fillId="3" borderId="3" xfId="0" applyNumberFormat="1" applyFont="1" applyFill="1" applyBorder="1" applyAlignment="1">
      <alignment horizontal="center" vertical="center"/>
    </xf>
    <xf numFmtId="0" fontId="18" fillId="3" borderId="3" xfId="2" applyNumberFormat="1" applyFont="1" applyFill="1" applyBorder="1" applyAlignment="1" applyProtection="1">
      <alignment horizontal="center" vertical="center" wrapText="1"/>
    </xf>
    <xf numFmtId="165" fontId="38" fillId="0" borderId="3" xfId="0" applyNumberFormat="1" applyFont="1" applyFill="1" applyBorder="1" applyAlignment="1">
      <alignment horizontal="center" vertical="center"/>
    </xf>
    <xf numFmtId="165" fontId="28" fillId="0" borderId="7" xfId="0" applyNumberFormat="1" applyFont="1" applyFill="1" applyBorder="1" applyAlignment="1" applyProtection="1">
      <alignment horizontal="center" vertical="center" wrapText="1"/>
      <protection locked="0"/>
    </xf>
    <xf numFmtId="165" fontId="21" fillId="0" borderId="0" xfId="0" applyNumberFormat="1" applyFont="1" applyFill="1" applyAlignment="1">
      <alignment horizontal="center" vertical="center" wrapText="1"/>
    </xf>
    <xf numFmtId="167" fontId="20" fillId="0" borderId="3" xfId="0" applyNumberFormat="1" applyFont="1" applyFill="1" applyBorder="1" applyAlignment="1">
      <alignment horizontal="center" vertical="center" wrapText="1"/>
    </xf>
    <xf numFmtId="0" fontId="16" fillId="0" borderId="3" xfId="0" applyFont="1" applyBorder="1" applyAlignment="1" applyProtection="1">
      <alignment horizontal="left" vertical="top"/>
      <protection locked="0"/>
    </xf>
    <xf numFmtId="1" fontId="22" fillId="0" borderId="0" xfId="0" applyNumberFormat="1" applyFont="1" applyAlignment="1">
      <alignment horizontal="center" vertical="center"/>
    </xf>
    <xf numFmtId="0" fontId="83" fillId="0" borderId="0" xfId="0" applyFont="1"/>
    <xf numFmtId="167" fontId="20" fillId="0" borderId="3" xfId="0" applyNumberFormat="1" applyFont="1" applyFill="1" applyBorder="1" applyAlignment="1">
      <alignment horizontal="center" vertical="center" wrapText="1"/>
    </xf>
    <xf numFmtId="167" fontId="20" fillId="0" borderId="3" xfId="0" applyNumberFormat="1" applyFont="1" applyFill="1" applyBorder="1" applyAlignment="1">
      <alignment horizontal="center" vertical="center" wrapText="1"/>
    </xf>
    <xf numFmtId="165" fontId="41" fillId="0" borderId="3" xfId="0" quotePrefix="1" applyNumberFormat="1" applyFont="1" applyFill="1" applyBorder="1" applyAlignment="1" applyProtection="1">
      <alignment horizontal="center" vertical="center" wrapText="1"/>
      <protection locked="0"/>
    </xf>
    <xf numFmtId="167" fontId="20" fillId="11" borderId="3" xfId="0" applyNumberFormat="1" applyFont="1" applyFill="1" applyBorder="1" applyAlignment="1">
      <alignment horizontal="center" vertical="center" wrapText="1"/>
    </xf>
    <xf numFmtId="1" fontId="22" fillId="11" borderId="3" xfId="0" applyNumberFormat="1" applyFont="1" applyFill="1" applyBorder="1" applyAlignment="1">
      <alignment horizontal="center" vertical="center" wrapText="1"/>
    </xf>
    <xf numFmtId="167" fontId="51" fillId="11" borderId="3" xfId="0" applyNumberFormat="1" applyFont="1" applyFill="1" applyBorder="1" applyAlignment="1">
      <alignment horizontal="center"/>
    </xf>
    <xf numFmtId="167" fontId="51" fillId="11" borderId="3" xfId="0" applyNumberFormat="1" applyFont="1" applyFill="1" applyBorder="1" applyAlignment="1" applyProtection="1">
      <alignment horizontal="center" vertical="top"/>
      <protection locked="0"/>
    </xf>
    <xf numFmtId="1" fontId="41" fillId="11" borderId="3" xfId="0" applyNumberFormat="1" applyFont="1" applyFill="1" applyBorder="1" applyAlignment="1">
      <alignment horizontal="center" vertical="center"/>
    </xf>
    <xf numFmtId="0" fontId="18" fillId="11" borderId="3" xfId="0" applyFont="1" applyFill="1" applyBorder="1" applyAlignment="1">
      <alignment horizontal="center"/>
    </xf>
    <xf numFmtId="1" fontId="22" fillId="11" borderId="3" xfId="0" applyNumberFormat="1" applyFont="1" applyFill="1" applyBorder="1" applyAlignment="1">
      <alignment horizontal="center" vertical="center"/>
    </xf>
    <xf numFmtId="0" fontId="21" fillId="0" borderId="3" xfId="0" applyFont="1" applyFill="1" applyBorder="1" applyAlignment="1">
      <alignment horizontal="center"/>
    </xf>
    <xf numFmtId="0" fontId="28" fillId="0" borderId="7" xfId="0" applyFont="1" applyFill="1" applyBorder="1" applyAlignment="1" applyProtection="1">
      <alignment horizontal="center" vertical="center" wrapText="1"/>
      <protection locked="0"/>
    </xf>
    <xf numFmtId="1" fontId="18" fillId="0" borderId="3" xfId="0" applyNumberFormat="1" applyFont="1" applyFill="1" applyBorder="1" applyAlignment="1" applyProtection="1">
      <alignment horizontal="center" vertical="top" wrapText="1"/>
      <protection locked="0"/>
    </xf>
    <xf numFmtId="0" fontId="21" fillId="0" borderId="3" xfId="0" applyFont="1" applyFill="1" applyBorder="1" applyAlignment="1">
      <alignment horizontal="center"/>
    </xf>
    <xf numFmtId="0" fontId="28" fillId="0" borderId="7" xfId="0" applyFont="1" applyFill="1" applyBorder="1" applyAlignment="1" applyProtection="1">
      <alignment horizontal="center" vertical="center" wrapText="1"/>
      <protection locked="0"/>
    </xf>
    <xf numFmtId="1" fontId="18" fillId="0" borderId="3" xfId="0" applyNumberFormat="1" applyFont="1" applyFill="1" applyBorder="1" applyAlignment="1" applyProtection="1">
      <alignment horizontal="center" vertical="top" wrapText="1"/>
      <protection locked="0"/>
    </xf>
    <xf numFmtId="14" fontId="31" fillId="0" borderId="0" xfId="0" applyNumberFormat="1" applyFont="1"/>
    <xf numFmtId="14" fontId="16" fillId="5" borderId="3" xfId="0" applyNumberFormat="1" applyFont="1" applyFill="1" applyBorder="1" applyAlignment="1" applyProtection="1">
      <alignment horizontal="left" vertical="center" wrapText="1"/>
      <protection locked="0"/>
    </xf>
    <xf numFmtId="167" fontId="16" fillId="5" borderId="3" xfId="0" applyNumberFormat="1" applyFont="1" applyFill="1" applyBorder="1" applyAlignment="1">
      <alignment horizontal="center" vertical="center" wrapText="1"/>
    </xf>
    <xf numFmtId="167" fontId="16" fillId="5" borderId="3" xfId="0" applyNumberFormat="1" applyFont="1" applyFill="1" applyBorder="1" applyAlignment="1" applyProtection="1">
      <alignment horizontal="center" vertical="center" wrapText="1"/>
      <protection locked="0"/>
    </xf>
    <xf numFmtId="166" fontId="16" fillId="5" borderId="3" xfId="0" applyNumberFormat="1" applyFont="1" applyFill="1" applyBorder="1" applyAlignment="1" applyProtection="1">
      <alignment horizontal="center" vertical="center" wrapText="1"/>
      <protection locked="0"/>
    </xf>
    <xf numFmtId="0" fontId="16" fillId="5" borderId="3" xfId="0" applyFont="1" applyFill="1" applyBorder="1" applyAlignment="1">
      <alignment horizontal="center"/>
    </xf>
    <xf numFmtId="167" fontId="20" fillId="0" borderId="3" xfId="0" applyNumberFormat="1" applyFont="1" applyFill="1" applyBorder="1" applyAlignment="1">
      <alignment horizontal="center" vertical="center" wrapText="1"/>
    </xf>
    <xf numFmtId="0" fontId="21" fillId="0" borderId="3" xfId="0" applyFont="1" applyFill="1" applyBorder="1" applyAlignment="1">
      <alignment horizontal="center"/>
    </xf>
    <xf numFmtId="0" fontId="28" fillId="0" borderId="7" xfId="0" applyFont="1" applyFill="1" applyBorder="1" applyAlignment="1" applyProtection="1">
      <alignment horizontal="center" vertical="center" wrapText="1"/>
      <protection locked="0"/>
    </xf>
    <xf numFmtId="1" fontId="18" fillId="0" borderId="3" xfId="0" applyNumberFormat="1" applyFont="1" applyFill="1" applyBorder="1" applyAlignment="1" applyProtection="1">
      <alignment horizontal="center" vertical="top" wrapText="1"/>
      <protection locked="0"/>
    </xf>
    <xf numFmtId="14" fontId="21" fillId="5" borderId="3" xfId="2" applyNumberFormat="1" applyFont="1" applyFill="1" applyBorder="1" applyAlignment="1" applyProtection="1">
      <alignment vertical="center" wrapText="1"/>
    </xf>
    <xf numFmtId="14" fontId="21" fillId="0" borderId="3" xfId="0" applyNumberFormat="1" applyFont="1" applyFill="1" applyBorder="1" applyAlignment="1"/>
    <xf numFmtId="1" fontId="41" fillId="0" borderId="3" xfId="0" applyNumberFormat="1" applyFont="1" applyFill="1" applyBorder="1" applyAlignment="1">
      <alignment vertical="center"/>
    </xf>
    <xf numFmtId="0" fontId="21" fillId="0" borderId="3" xfId="0" applyFont="1" applyFill="1" applyBorder="1" applyAlignment="1">
      <alignment horizontal="center"/>
    </xf>
    <xf numFmtId="0" fontId="28" fillId="0" borderId="7" xfId="0" applyFont="1" applyFill="1" applyBorder="1" applyAlignment="1" applyProtection="1">
      <alignment horizontal="center" vertical="center" wrapText="1"/>
      <protection locked="0"/>
    </xf>
    <xf numFmtId="1" fontId="18" fillId="0" borderId="3" xfId="0" applyNumberFormat="1" applyFont="1" applyFill="1" applyBorder="1" applyAlignment="1" applyProtection="1">
      <alignment horizontal="center" vertical="top" wrapText="1"/>
      <protection locked="0"/>
    </xf>
    <xf numFmtId="165" fontId="21" fillId="0" borderId="0" xfId="0" applyNumberFormat="1" applyFont="1" applyFill="1"/>
    <xf numFmtId="0" fontId="18" fillId="3" borderId="3" xfId="2" applyFont="1" applyFill="1" applyBorder="1" applyAlignment="1" applyProtection="1">
      <alignment horizontal="center" vertical="center" wrapText="1"/>
    </xf>
    <xf numFmtId="16" fontId="30" fillId="0" borderId="0" xfId="0" applyNumberFormat="1" applyFont="1" applyAlignment="1">
      <alignment horizontal="center" vertical="center" wrapText="1"/>
    </xf>
    <xf numFmtId="0" fontId="21" fillId="0" borderId="3" xfId="0" applyFont="1" applyFill="1" applyBorder="1" applyAlignment="1">
      <alignment horizontal="center"/>
    </xf>
    <xf numFmtId="0" fontId="28" fillId="0" borderId="7" xfId="0" applyFont="1" applyFill="1" applyBorder="1" applyAlignment="1" applyProtection="1">
      <alignment horizontal="center" vertical="center" wrapText="1"/>
      <protection locked="0"/>
    </xf>
    <xf numFmtId="1" fontId="18" fillId="0" borderId="3" xfId="0" applyNumberFormat="1" applyFont="1" applyFill="1" applyBorder="1" applyAlignment="1" applyProtection="1">
      <alignment horizontal="center" vertical="top" wrapText="1"/>
      <protection locked="0"/>
    </xf>
    <xf numFmtId="0" fontId="21" fillId="0" borderId="3" xfId="0" applyFont="1" applyFill="1" applyBorder="1" applyAlignment="1">
      <alignment horizontal="center"/>
    </xf>
    <xf numFmtId="0" fontId="28" fillId="0" borderId="7" xfId="0" applyFont="1" applyFill="1" applyBorder="1" applyAlignment="1" applyProtection="1">
      <alignment horizontal="center" vertical="center" wrapText="1"/>
      <protection locked="0"/>
    </xf>
    <xf numFmtId="1" fontId="18" fillId="0" borderId="3" xfId="0" applyNumberFormat="1" applyFont="1" applyFill="1" applyBorder="1" applyAlignment="1" applyProtection="1">
      <alignment horizontal="center" vertical="top" wrapText="1"/>
      <protection locked="0"/>
    </xf>
    <xf numFmtId="0" fontId="21" fillId="0" borderId="3" xfId="0" applyFont="1" applyFill="1" applyBorder="1" applyAlignment="1">
      <alignment horizontal="center"/>
    </xf>
    <xf numFmtId="0" fontId="28" fillId="0" borderId="7" xfId="0" applyFont="1" applyFill="1" applyBorder="1" applyAlignment="1" applyProtection="1">
      <alignment horizontal="center" vertical="center" wrapText="1"/>
      <protection locked="0"/>
    </xf>
    <xf numFmtId="1" fontId="18" fillId="0" borderId="3" xfId="0" applyNumberFormat="1" applyFont="1" applyFill="1" applyBorder="1" applyAlignment="1" applyProtection="1">
      <alignment horizontal="center" vertical="top" wrapText="1"/>
      <protection locked="0"/>
    </xf>
    <xf numFmtId="167" fontId="20" fillId="0" borderId="3" xfId="0" applyNumberFormat="1" applyFont="1" applyFill="1" applyBorder="1" applyAlignment="1">
      <alignment horizontal="center" vertical="center" wrapText="1"/>
    </xf>
    <xf numFmtId="14" fontId="28" fillId="0" borderId="3" xfId="2" applyNumberFormat="1" applyFont="1" applyFill="1" applyBorder="1" applyAlignment="1" applyProtection="1">
      <alignment horizontal="center" vertical="center" wrapText="1"/>
    </xf>
    <xf numFmtId="0" fontId="56" fillId="0" borderId="0" xfId="0" applyFont="1" applyFill="1"/>
    <xf numFmtId="1" fontId="18" fillId="0" borderId="3" xfId="0" applyNumberFormat="1" applyFont="1" applyFill="1" applyBorder="1" applyAlignment="1" applyProtection="1">
      <alignment horizontal="center" vertical="top" wrapText="1"/>
      <protection locked="0"/>
    </xf>
    <xf numFmtId="167" fontId="16" fillId="4" borderId="3" xfId="0" applyNumberFormat="1" applyFont="1" applyFill="1" applyBorder="1" applyAlignment="1">
      <alignment horizontal="left" vertical="center"/>
    </xf>
    <xf numFmtId="3" fontId="18" fillId="4" borderId="3" xfId="0" applyNumberFormat="1" applyFont="1" applyFill="1" applyBorder="1" applyAlignment="1">
      <alignment horizontal="center"/>
    </xf>
    <xf numFmtId="0" fontId="17" fillId="4" borderId="3" xfId="0" applyFont="1" applyFill="1" applyBorder="1" applyAlignment="1" applyProtection="1">
      <alignment horizontal="left" vertical="top"/>
      <protection locked="0"/>
    </xf>
    <xf numFmtId="167" fontId="17" fillId="4" borderId="3" xfId="0" applyNumberFormat="1" applyFont="1" applyFill="1" applyBorder="1" applyAlignment="1" applyProtection="1">
      <alignment horizontal="center" vertical="top"/>
      <protection locked="0"/>
    </xf>
    <xf numFmtId="167" fontId="16" fillId="11" borderId="3" xfId="0" applyNumberFormat="1" applyFont="1" applyFill="1" applyBorder="1" applyAlignment="1">
      <alignment horizontal="center" vertical="center"/>
    </xf>
    <xf numFmtId="169" fontId="85" fillId="4" borderId="3" xfId="0" applyNumberFormat="1" applyFont="1" applyFill="1" applyBorder="1" applyAlignment="1">
      <alignment horizontal="center"/>
    </xf>
    <xf numFmtId="43" fontId="30" fillId="0" borderId="0" xfId="18" applyFont="1" applyAlignment="1">
      <alignment horizontal="center" vertical="center" wrapText="1"/>
    </xf>
    <xf numFmtId="14" fontId="26" fillId="0" borderId="3" xfId="0" applyNumberFormat="1" applyFont="1" applyFill="1" applyBorder="1" applyAlignment="1">
      <alignment horizontal="center" vertical="center"/>
    </xf>
    <xf numFmtId="167" fontId="20" fillId="0" borderId="3" xfId="0" applyNumberFormat="1" applyFont="1" applyFill="1" applyBorder="1" applyAlignment="1">
      <alignment horizontal="center" vertical="center" wrapText="1"/>
    </xf>
    <xf numFmtId="165" fontId="52" fillId="4" borderId="3" xfId="0" applyNumberFormat="1" applyFont="1" applyFill="1" applyBorder="1" applyAlignment="1">
      <alignment horizontal="center" vertical="center"/>
    </xf>
    <xf numFmtId="167" fontId="25" fillId="0" borderId="3" xfId="0" applyNumberFormat="1" applyFont="1" applyFill="1" applyBorder="1" applyAlignment="1">
      <alignment horizontal="center" vertical="center" wrapText="1"/>
    </xf>
    <xf numFmtId="167" fontId="25" fillId="0" borderId="3" xfId="0" applyNumberFormat="1" applyFont="1" applyFill="1" applyBorder="1" applyAlignment="1" applyProtection="1">
      <alignment horizontal="center" vertical="center" wrapText="1"/>
      <protection locked="0"/>
    </xf>
    <xf numFmtId="166" fontId="25" fillId="0" borderId="3" xfId="0" applyNumberFormat="1" applyFont="1" applyFill="1" applyBorder="1" applyAlignment="1" applyProtection="1">
      <alignment horizontal="center" vertical="center" wrapText="1"/>
      <protection locked="0"/>
    </xf>
    <xf numFmtId="1" fontId="55" fillId="0" borderId="3" xfId="0" applyNumberFormat="1" applyFont="1" applyFill="1" applyBorder="1" applyAlignment="1">
      <alignment horizontal="center" vertical="center" wrapText="1"/>
    </xf>
    <xf numFmtId="165" fontId="52" fillId="4" borderId="3" xfId="0" applyNumberFormat="1" applyFont="1" applyFill="1" applyBorder="1" applyAlignment="1">
      <alignment horizontal="center"/>
    </xf>
    <xf numFmtId="14" fontId="30" fillId="0" borderId="0" xfId="0" applyNumberFormat="1" applyFont="1" applyFill="1" applyAlignment="1">
      <alignment horizontal="center" vertical="center" wrapText="1"/>
    </xf>
    <xf numFmtId="0" fontId="21" fillId="0" borderId="3" xfId="0" applyFont="1" applyFill="1" applyBorder="1" applyAlignment="1">
      <alignment horizontal="center"/>
    </xf>
    <xf numFmtId="167" fontId="16" fillId="0" borderId="3" xfId="0" applyNumberFormat="1" applyFont="1" applyFill="1" applyBorder="1" applyAlignment="1">
      <alignment horizontal="left" vertical="center"/>
    </xf>
    <xf numFmtId="0" fontId="28" fillId="0" borderId="7" xfId="0" applyFont="1" applyFill="1" applyBorder="1" applyAlignment="1" applyProtection="1">
      <alignment horizontal="center" vertical="center" wrapText="1"/>
      <protection locked="0"/>
    </xf>
    <xf numFmtId="0" fontId="52" fillId="0" borderId="3" xfId="0" applyFont="1" applyBorder="1" applyAlignment="1">
      <alignment horizontal="center"/>
    </xf>
    <xf numFmtId="4" fontId="52" fillId="0" borderId="3" xfId="0" applyNumberFormat="1" applyFont="1" applyBorder="1" applyAlignment="1">
      <alignment horizontal="center"/>
    </xf>
    <xf numFmtId="0" fontId="31" fillId="0" borderId="0" xfId="0" applyFont="1" applyAlignment="1">
      <alignment horizontal="right"/>
    </xf>
    <xf numFmtId="0" fontId="21" fillId="0" borderId="3" xfId="0" applyFont="1" applyFill="1" applyBorder="1" applyAlignment="1">
      <alignment horizontal="center"/>
    </xf>
    <xf numFmtId="0" fontId="28" fillId="0" borderId="7" xfId="0" applyFont="1" applyFill="1" applyBorder="1" applyAlignment="1" applyProtection="1">
      <alignment horizontal="center" vertical="center" wrapText="1"/>
      <protection locked="0"/>
    </xf>
    <xf numFmtId="1" fontId="18" fillId="0" borderId="3" xfId="0" applyNumberFormat="1" applyFont="1" applyFill="1" applyBorder="1" applyAlignment="1" applyProtection="1">
      <alignment horizontal="center" vertical="top" wrapText="1"/>
      <protection locked="0"/>
    </xf>
    <xf numFmtId="2" fontId="16" fillId="0" borderId="0" xfId="1" applyNumberFormat="1" applyFont="1" applyFill="1" applyBorder="1" applyAlignment="1">
      <alignment horizontal="center" vertical="center"/>
    </xf>
    <xf numFmtId="0" fontId="30" fillId="0" borderId="0" xfId="0" applyFont="1" applyAlignment="1">
      <alignment horizontal="left" vertical="center"/>
    </xf>
    <xf numFmtId="0" fontId="20" fillId="0" borderId="0" xfId="0" applyFont="1" applyFill="1" applyAlignment="1">
      <alignment horizontal="center" vertical="center"/>
    </xf>
    <xf numFmtId="0" fontId="20" fillId="8" borderId="0" xfId="0" applyFont="1" applyFill="1" applyAlignment="1">
      <alignment horizontal="left" vertical="center"/>
    </xf>
    <xf numFmtId="0" fontId="30" fillId="8" borderId="0" xfId="0" applyFont="1" applyFill="1" applyAlignment="1">
      <alignment horizontal="left" vertical="center"/>
    </xf>
    <xf numFmtId="0" fontId="21" fillId="8" borderId="0" xfId="0" applyFont="1" applyFill="1" applyAlignment="1">
      <alignment horizontal="left" vertical="center"/>
    </xf>
    <xf numFmtId="0" fontId="19" fillId="8" borderId="0" xfId="0" applyFont="1" applyFill="1"/>
    <xf numFmtId="14" fontId="63" fillId="0" borderId="0" xfId="0" applyNumberFormat="1" applyFont="1" applyFill="1"/>
    <xf numFmtId="0" fontId="31" fillId="8" borderId="0" xfId="0" applyFont="1" applyFill="1"/>
    <xf numFmtId="0" fontId="36" fillId="8" borderId="0" xfId="0" applyFont="1" applyFill="1"/>
    <xf numFmtId="14" fontId="89" fillId="8" borderId="0" xfId="0" applyNumberFormat="1" applyFont="1" applyFill="1"/>
    <xf numFmtId="14" fontId="21" fillId="8" borderId="0" xfId="0" applyNumberFormat="1" applyFont="1" applyFill="1"/>
    <xf numFmtId="14" fontId="52" fillId="3" borderId="3" xfId="1" applyNumberFormat="1" applyFont="1" applyFill="1" applyBorder="1" applyAlignment="1">
      <alignment horizontal="center" vertical="center" wrapText="1"/>
    </xf>
    <xf numFmtId="0" fontId="61" fillId="0" borderId="0" xfId="0" applyFont="1" applyFill="1"/>
    <xf numFmtId="14" fontId="49" fillId="0" borderId="0" xfId="2" applyNumberFormat="1" applyFont="1" applyFill="1" applyBorder="1" applyAlignment="1" applyProtection="1">
      <alignment horizontal="center" vertical="center"/>
    </xf>
    <xf numFmtId="14" fontId="0" fillId="4" borderId="0" xfId="0" applyNumberFormat="1" applyFill="1"/>
    <xf numFmtId="164" fontId="28" fillId="4" borderId="0" xfId="0" applyNumberFormat="1" applyFont="1" applyFill="1" applyBorder="1" applyAlignment="1" applyProtection="1">
      <alignment horizontal="center" vertical="center"/>
      <protection locked="0"/>
    </xf>
    <xf numFmtId="0" fontId="0" fillId="4" borderId="0" xfId="0" applyFill="1"/>
    <xf numFmtId="1" fontId="41" fillId="0" borderId="3" xfId="0" applyNumberFormat="1" applyFont="1" applyFill="1" applyBorder="1" applyAlignment="1">
      <alignment horizontal="left" vertical="center"/>
    </xf>
    <xf numFmtId="0" fontId="31" fillId="4" borderId="0" xfId="0" applyFont="1" applyFill="1"/>
    <xf numFmtId="14" fontId="31" fillId="4" borderId="0" xfId="0" applyNumberFormat="1" applyFont="1" applyFill="1" applyAlignment="1">
      <alignment horizontal="center"/>
    </xf>
    <xf numFmtId="0" fontId="21" fillId="0" borderId="3" xfId="0" applyFont="1" applyFill="1" applyBorder="1" applyAlignment="1">
      <alignment horizontal="center"/>
    </xf>
    <xf numFmtId="167" fontId="20" fillId="0" borderId="3" xfId="0" applyNumberFormat="1" applyFont="1" applyFill="1" applyBorder="1" applyAlignment="1">
      <alignment horizontal="center" vertical="center" wrapText="1"/>
    </xf>
    <xf numFmtId="14" fontId="18" fillId="0" borderId="3" xfId="2" applyNumberFormat="1" applyFont="1" applyFill="1" applyBorder="1" applyAlignment="1" applyProtection="1">
      <alignment horizontal="left" vertical="center"/>
    </xf>
    <xf numFmtId="167" fontId="16" fillId="4" borderId="3" xfId="0" applyNumberFormat="1" applyFont="1" applyFill="1" applyBorder="1" applyAlignment="1">
      <alignment horizontal="center" vertical="center"/>
    </xf>
    <xf numFmtId="166" fontId="17" fillId="4" borderId="3" xfId="0" applyNumberFormat="1" applyFont="1" applyFill="1" applyBorder="1" applyAlignment="1" applyProtection="1">
      <alignment horizontal="center" vertical="top" wrapText="1"/>
      <protection locked="0"/>
    </xf>
    <xf numFmtId="1" fontId="41" fillId="4" borderId="3" xfId="0" applyNumberFormat="1" applyFont="1" applyFill="1" applyBorder="1" applyAlignment="1">
      <alignment horizontal="center" vertical="center"/>
    </xf>
    <xf numFmtId="167" fontId="20" fillId="0" borderId="3" xfId="0" applyNumberFormat="1" applyFont="1" applyFill="1" applyBorder="1" applyAlignment="1">
      <alignment horizontal="center" vertical="center" wrapText="1"/>
    </xf>
    <xf numFmtId="166" fontId="21" fillId="0" borderId="3" xfId="0" applyNumberFormat="1" applyFont="1" applyFill="1" applyBorder="1" applyAlignment="1" applyProtection="1">
      <alignment horizontal="center" vertical="top" wrapText="1"/>
      <protection locked="0"/>
    </xf>
    <xf numFmtId="16" fontId="30" fillId="4" borderId="0" xfId="0" applyNumberFormat="1" applyFont="1" applyFill="1" applyAlignment="1">
      <alignment horizontal="center" vertical="center" wrapText="1"/>
    </xf>
    <xf numFmtId="167" fontId="42" fillId="0" borderId="3" xfId="0" applyNumberFormat="1" applyFont="1" applyFill="1" applyBorder="1" applyAlignment="1">
      <alignment horizontal="center"/>
    </xf>
    <xf numFmtId="166" fontId="42" fillId="0" borderId="3" xfId="0" applyNumberFormat="1" applyFont="1" applyFill="1" applyBorder="1" applyAlignment="1" applyProtection="1">
      <alignment horizontal="center" vertical="center" wrapText="1"/>
      <protection locked="0"/>
    </xf>
    <xf numFmtId="167" fontId="42" fillId="0" borderId="3" xfId="0" applyNumberFormat="1" applyFont="1" applyFill="1" applyBorder="1" applyAlignment="1">
      <alignment horizontal="center" vertical="center" wrapText="1"/>
    </xf>
    <xf numFmtId="167" fontId="42" fillId="0" borderId="3" xfId="0" applyNumberFormat="1" applyFont="1" applyFill="1" applyBorder="1" applyAlignment="1" applyProtection="1">
      <alignment horizontal="center" vertical="center" wrapText="1"/>
      <protection locked="0"/>
    </xf>
    <xf numFmtId="167" fontId="42" fillId="0" borderId="3" xfId="0" applyNumberFormat="1" applyFont="1" applyFill="1" applyBorder="1" applyAlignment="1" applyProtection="1">
      <alignment horizontal="center" vertical="top"/>
      <protection locked="0"/>
    </xf>
    <xf numFmtId="14" fontId="20" fillId="0" borderId="0" xfId="0" applyNumberFormat="1" applyFont="1" applyFill="1" applyAlignment="1">
      <alignment horizontal="center" vertical="center" wrapText="1"/>
    </xf>
    <xf numFmtId="0" fontId="30" fillId="0" borderId="0" xfId="0" applyFont="1" applyFill="1" applyAlignment="1">
      <alignment horizontal="left" vertical="center"/>
    </xf>
    <xf numFmtId="167" fontId="16" fillId="4" borderId="3" xfId="0" applyNumberFormat="1" applyFont="1" applyFill="1" applyBorder="1" applyAlignment="1">
      <alignment horizontal="center"/>
    </xf>
    <xf numFmtId="16" fontId="31" fillId="4" borderId="0" xfId="0" applyNumberFormat="1" applyFont="1" applyFill="1"/>
    <xf numFmtId="0" fontId="21" fillId="0" borderId="3" xfId="0" applyFont="1" applyFill="1" applyBorder="1" applyAlignment="1">
      <alignment horizontal="center"/>
    </xf>
    <xf numFmtId="0" fontId="16" fillId="0" borderId="0" xfId="0" applyFont="1" applyFill="1" applyAlignment="1">
      <alignment horizontal="center" vertical="center"/>
    </xf>
    <xf numFmtId="0" fontId="16" fillId="4" borderId="3" xfId="0" applyFont="1" applyFill="1" applyBorder="1" applyAlignment="1" applyProtection="1">
      <alignment horizontal="left" vertical="top"/>
      <protection locked="0"/>
    </xf>
    <xf numFmtId="167" fontId="16" fillId="4" borderId="3" xfId="0" applyNumberFormat="1" applyFont="1" applyFill="1" applyBorder="1" applyAlignment="1" applyProtection="1">
      <alignment horizontal="center" vertical="top"/>
      <protection locked="0"/>
    </xf>
    <xf numFmtId="166" fontId="16" fillId="4" borderId="3" xfId="0" applyNumberFormat="1" applyFont="1" applyFill="1" applyBorder="1" applyAlignment="1" applyProtection="1">
      <alignment horizontal="center" vertical="top" wrapText="1"/>
      <protection locked="0"/>
    </xf>
    <xf numFmtId="1" fontId="26" fillId="4" borderId="3" xfId="0" applyNumberFormat="1" applyFont="1" applyFill="1" applyBorder="1" applyAlignment="1">
      <alignment horizontal="right" vertical="center"/>
    </xf>
    <xf numFmtId="0" fontId="90" fillId="0" borderId="0" xfId="2" applyFont="1" applyFill="1" applyBorder="1" applyAlignment="1" applyProtection="1">
      <alignment horizontal="center" vertical="center"/>
    </xf>
    <xf numFmtId="0" fontId="32" fillId="0" borderId="0" xfId="0" applyFont="1"/>
    <xf numFmtId="16" fontId="20" fillId="0" borderId="0" xfId="0" applyNumberFormat="1" applyFont="1" applyFill="1" applyAlignment="1">
      <alignment horizontal="center" vertical="center" wrapText="1"/>
    </xf>
    <xf numFmtId="167" fontId="20" fillId="0" borderId="3" xfId="0" applyNumberFormat="1" applyFont="1" applyFill="1" applyBorder="1" applyAlignment="1">
      <alignment horizontal="center" vertical="center" wrapText="1"/>
    </xf>
    <xf numFmtId="1" fontId="25" fillId="0" borderId="3" xfId="0" applyNumberFormat="1" applyFont="1" applyFill="1" applyBorder="1" applyAlignment="1">
      <alignment horizontal="center" vertical="center"/>
    </xf>
    <xf numFmtId="14" fontId="16" fillId="0" borderId="3" xfId="0" applyNumberFormat="1" applyFont="1" applyFill="1" applyBorder="1" applyAlignment="1" applyProtection="1">
      <alignment horizontal="left" vertical="center"/>
      <protection locked="0"/>
    </xf>
    <xf numFmtId="0" fontId="21" fillId="0" borderId="3" xfId="0" applyFont="1" applyFill="1" applyBorder="1" applyAlignment="1">
      <alignment horizontal="center"/>
    </xf>
    <xf numFmtId="0" fontId="28" fillId="0" borderId="7" xfId="0" applyFont="1" applyFill="1" applyBorder="1" applyAlignment="1" applyProtection="1">
      <alignment horizontal="center" vertical="center" wrapText="1"/>
      <protection locked="0"/>
    </xf>
    <xf numFmtId="1" fontId="18" fillId="0" borderId="3" xfId="0" applyNumberFormat="1" applyFont="1" applyFill="1" applyBorder="1" applyAlignment="1" applyProtection="1">
      <alignment horizontal="center" vertical="top" wrapText="1"/>
      <protection locked="0"/>
    </xf>
    <xf numFmtId="49" fontId="16" fillId="3" borderId="3" xfId="1" applyNumberFormat="1" applyFont="1" applyFill="1" applyBorder="1" applyAlignment="1">
      <alignment horizontal="center" vertical="center" wrapText="1"/>
    </xf>
    <xf numFmtId="14" fontId="28" fillId="5" borderId="3" xfId="2" applyNumberFormat="1" applyFont="1" applyFill="1" applyBorder="1" applyAlignment="1" applyProtection="1">
      <alignment horizontal="center" vertical="center"/>
    </xf>
    <xf numFmtId="0" fontId="21" fillId="0" borderId="3" xfId="0" applyFont="1" applyFill="1" applyBorder="1" applyAlignment="1">
      <alignment horizontal="center"/>
    </xf>
    <xf numFmtId="0" fontId="28" fillId="0" borderId="7" xfId="0" applyFont="1" applyFill="1" applyBorder="1" applyAlignment="1" applyProtection="1">
      <alignment horizontal="center" vertical="center" wrapText="1"/>
      <protection locked="0"/>
    </xf>
    <xf numFmtId="1" fontId="18" fillId="0" borderId="3" xfId="0" applyNumberFormat="1" applyFont="1" applyFill="1" applyBorder="1" applyAlignment="1" applyProtection="1">
      <alignment horizontal="center" vertical="top" wrapText="1"/>
      <protection locked="0"/>
    </xf>
    <xf numFmtId="0" fontId="16" fillId="3" borderId="3" xfId="1" applyNumberFormat="1" applyFont="1" applyFill="1" applyBorder="1" applyAlignment="1">
      <alignment horizontal="center" vertical="center" wrapText="1"/>
    </xf>
    <xf numFmtId="0" fontId="18" fillId="3" borderId="3" xfId="2" applyFont="1" applyFill="1" applyBorder="1" applyAlignment="1" applyProtection="1">
      <alignment horizontal="center" vertical="center"/>
    </xf>
    <xf numFmtId="166" fontId="18" fillId="0" borderId="3" xfId="0" applyNumberFormat="1" applyFont="1" applyFill="1" applyBorder="1" applyAlignment="1" applyProtection="1">
      <alignment horizontal="center" vertical="top" wrapText="1"/>
      <protection locked="0"/>
    </xf>
    <xf numFmtId="165" fontId="18" fillId="4" borderId="3" xfId="0" applyNumberFormat="1" applyFont="1" applyFill="1" applyBorder="1" applyAlignment="1">
      <alignment horizontal="center"/>
    </xf>
    <xf numFmtId="14" fontId="21" fillId="4" borderId="3" xfId="0" applyNumberFormat="1" applyFont="1" applyFill="1" applyBorder="1" applyAlignment="1">
      <alignment horizontal="center"/>
    </xf>
    <xf numFmtId="1" fontId="21" fillId="4" borderId="3" xfId="0" applyNumberFormat="1" applyFont="1" applyFill="1" applyBorder="1" applyAlignment="1">
      <alignment horizontal="center"/>
    </xf>
    <xf numFmtId="168" fontId="22" fillId="4" borderId="3" xfId="0" applyNumberFormat="1" applyFont="1" applyFill="1" applyBorder="1" applyAlignment="1" applyProtection="1">
      <alignment horizontal="center" vertical="center" wrapText="1"/>
      <protection locked="0"/>
    </xf>
    <xf numFmtId="167" fontId="21" fillId="4" borderId="3" xfId="0" applyNumberFormat="1" applyFont="1" applyFill="1" applyBorder="1" applyAlignment="1">
      <alignment horizontal="left" vertical="center"/>
    </xf>
    <xf numFmtId="167" fontId="21" fillId="4" borderId="3" xfId="0" applyNumberFormat="1" applyFont="1" applyFill="1" applyBorder="1" applyAlignment="1" applyProtection="1">
      <alignment horizontal="center" vertical="center" wrapText="1"/>
      <protection locked="0"/>
    </xf>
    <xf numFmtId="166" fontId="21" fillId="4" borderId="3" xfId="0" applyNumberFormat="1" applyFont="1" applyFill="1" applyBorder="1" applyAlignment="1" applyProtection="1">
      <alignment horizontal="center" vertical="center" wrapText="1"/>
      <protection locked="0"/>
    </xf>
    <xf numFmtId="16" fontId="16" fillId="0" borderId="0" xfId="0" applyNumberFormat="1" applyFont="1" applyFill="1"/>
    <xf numFmtId="14" fontId="20" fillId="5" borderId="3" xfId="2" applyNumberFormat="1" applyFont="1" applyFill="1" applyBorder="1" applyAlignment="1" applyProtection="1">
      <alignment horizontal="center" vertical="center"/>
    </xf>
    <xf numFmtId="167" fontId="20" fillId="0" borderId="3" xfId="0" applyNumberFormat="1" applyFont="1" applyFill="1" applyBorder="1" applyAlignment="1">
      <alignment horizontal="center" vertical="center" wrapText="1"/>
    </xf>
    <xf numFmtId="167" fontId="18" fillId="0" borderId="3" xfId="0" applyNumberFormat="1" applyFont="1" applyFill="1" applyBorder="1" applyAlignment="1">
      <alignment horizontal="center" vertical="center" wrapText="1"/>
    </xf>
    <xf numFmtId="167" fontId="20" fillId="4" borderId="3" xfId="0" applyNumberFormat="1" applyFont="1" applyFill="1" applyBorder="1" applyAlignment="1">
      <alignment horizontal="center" vertical="center" wrapText="1"/>
    </xf>
    <xf numFmtId="0" fontId="20" fillId="4" borderId="3" xfId="0" applyFont="1" applyFill="1" applyBorder="1" applyAlignment="1" applyProtection="1">
      <alignment horizontal="center" vertical="center" wrapText="1"/>
      <protection locked="0"/>
    </xf>
    <xf numFmtId="167" fontId="20" fillId="4" borderId="3" xfId="0" applyNumberFormat="1" applyFont="1" applyFill="1" applyBorder="1" applyAlignment="1" applyProtection="1">
      <alignment horizontal="center" vertical="center" wrapText="1"/>
      <protection locked="0"/>
    </xf>
    <xf numFmtId="166" fontId="20" fillId="4" borderId="3" xfId="0" applyNumberFormat="1" applyFont="1" applyFill="1" applyBorder="1" applyAlignment="1" applyProtection="1">
      <alignment horizontal="center" vertical="center" wrapText="1"/>
      <protection locked="0"/>
    </xf>
    <xf numFmtId="1" fontId="26" fillId="4" borderId="3" xfId="0" applyNumberFormat="1" applyFont="1" applyFill="1" applyBorder="1" applyAlignment="1">
      <alignment horizontal="center" vertical="center" wrapText="1"/>
    </xf>
    <xf numFmtId="1" fontId="22" fillId="4" borderId="0" xfId="0" applyNumberFormat="1" applyFont="1" applyFill="1" applyBorder="1" applyAlignment="1">
      <alignment horizontal="center" vertical="center" wrapText="1"/>
    </xf>
    <xf numFmtId="14" fontId="41" fillId="0" borderId="3" xfId="0" applyNumberFormat="1" applyFont="1" applyFill="1" applyBorder="1" applyAlignment="1">
      <alignment horizontal="center" vertical="center"/>
    </xf>
    <xf numFmtId="0" fontId="28" fillId="0" borderId="7" xfId="0" applyFont="1" applyFill="1" applyBorder="1" applyAlignment="1" applyProtection="1">
      <alignment horizontal="center" vertical="center" wrapText="1"/>
      <protection locked="0"/>
    </xf>
    <xf numFmtId="167" fontId="20" fillId="0" borderId="3" xfId="0" applyNumberFormat="1" applyFont="1" applyFill="1" applyBorder="1" applyAlignment="1">
      <alignment horizontal="center" vertical="center" wrapText="1"/>
    </xf>
    <xf numFmtId="167" fontId="20" fillId="0" borderId="3" xfId="0" applyNumberFormat="1" applyFont="1" applyFill="1" applyBorder="1" applyAlignment="1">
      <alignment horizontal="center" vertical="center" wrapText="1"/>
    </xf>
    <xf numFmtId="167" fontId="21" fillId="0" borderId="3" xfId="0" applyNumberFormat="1" applyFont="1" applyFill="1" applyBorder="1" applyAlignment="1">
      <alignment horizontal="left" vertical="center"/>
    </xf>
    <xf numFmtId="167" fontId="21" fillId="0" borderId="3" xfId="0" applyNumberFormat="1" applyFont="1" applyFill="1" applyBorder="1" applyAlignment="1" applyProtection="1">
      <alignment horizontal="center" vertical="center" wrapText="1"/>
      <protection locked="0"/>
    </xf>
    <xf numFmtId="3" fontId="21" fillId="4" borderId="3" xfId="0" applyNumberFormat="1" applyFont="1" applyFill="1" applyBorder="1" applyAlignment="1" applyProtection="1">
      <alignment horizontal="center" vertical="center" wrapText="1"/>
      <protection locked="0"/>
    </xf>
    <xf numFmtId="166" fontId="51" fillId="4" borderId="3" xfId="0" applyNumberFormat="1" applyFont="1" applyFill="1" applyBorder="1" applyAlignment="1" applyProtection="1">
      <alignment horizontal="center" vertical="top" wrapText="1"/>
      <protection locked="0"/>
    </xf>
    <xf numFmtId="1" fontId="26" fillId="4" borderId="3" xfId="0" applyNumberFormat="1" applyFont="1" applyFill="1" applyBorder="1" applyAlignment="1">
      <alignment horizontal="center" vertical="center"/>
    </xf>
    <xf numFmtId="0" fontId="21" fillId="4" borderId="3" xfId="0" applyFont="1" applyFill="1" applyBorder="1" applyAlignment="1">
      <alignment horizontal="center"/>
    </xf>
    <xf numFmtId="3" fontId="41" fillId="4" borderId="3" xfId="0" applyNumberFormat="1" applyFont="1" applyFill="1" applyBorder="1" applyAlignment="1" applyProtection="1">
      <alignment horizontal="center" vertical="center" wrapText="1"/>
      <protection locked="0"/>
    </xf>
    <xf numFmtId="166" fontId="20" fillId="4" borderId="3" xfId="0" applyNumberFormat="1" applyFont="1" applyFill="1" applyBorder="1" applyAlignment="1" applyProtection="1">
      <alignment horizontal="center" vertical="top" wrapText="1"/>
      <protection locked="0"/>
    </xf>
    <xf numFmtId="1" fontId="22" fillId="4" borderId="3" xfId="0" applyNumberFormat="1" applyFont="1" applyFill="1" applyBorder="1" applyAlignment="1">
      <alignment horizontal="right" vertical="center"/>
    </xf>
    <xf numFmtId="165" fontId="26" fillId="4" borderId="3" xfId="0" applyNumberFormat="1" applyFont="1" applyFill="1" applyBorder="1" applyAlignment="1" applyProtection="1">
      <alignment horizontal="center" vertical="center" wrapText="1"/>
      <protection locked="0"/>
    </xf>
    <xf numFmtId="1" fontId="21" fillId="4" borderId="3" xfId="0" applyNumberFormat="1" applyFont="1" applyFill="1" applyBorder="1" applyAlignment="1">
      <alignment horizontal="center" vertical="center" wrapText="1"/>
    </xf>
    <xf numFmtId="1" fontId="41" fillId="4" borderId="3" xfId="0" applyNumberFormat="1" applyFont="1" applyFill="1" applyBorder="1" applyAlignment="1">
      <alignment horizontal="right" vertical="center"/>
    </xf>
    <xf numFmtId="166" fontId="16" fillId="4" borderId="3" xfId="0" applyNumberFormat="1" applyFont="1" applyFill="1" applyBorder="1" applyAlignment="1" applyProtection="1">
      <alignment horizontal="center" vertical="center" wrapText="1"/>
      <protection locked="0"/>
    </xf>
    <xf numFmtId="0" fontId="21" fillId="0" borderId="3" xfId="0" applyFont="1" applyFill="1" applyBorder="1" applyAlignment="1">
      <alignment horizontal="center"/>
    </xf>
    <xf numFmtId="0" fontId="28" fillId="0" borderId="7" xfId="0" applyFont="1" applyFill="1" applyBorder="1" applyAlignment="1" applyProtection="1">
      <alignment horizontal="center" vertical="center" wrapText="1"/>
      <protection locked="0"/>
    </xf>
    <xf numFmtId="1" fontId="18" fillId="0" borderId="3" xfId="0" applyNumberFormat="1" applyFont="1" applyFill="1" applyBorder="1" applyAlignment="1" applyProtection="1">
      <alignment horizontal="center" vertical="top" wrapText="1"/>
      <protection locked="0"/>
    </xf>
    <xf numFmtId="0" fontId="34" fillId="3" borderId="3" xfId="2" applyFont="1" applyFill="1" applyBorder="1" applyAlignment="1" applyProtection="1">
      <alignment horizontal="center" vertical="center"/>
    </xf>
    <xf numFmtId="167" fontId="20" fillId="4" borderId="3" xfId="0" applyNumberFormat="1" applyFont="1" applyFill="1" applyBorder="1" applyAlignment="1">
      <alignment horizontal="center" vertical="center" wrapText="1"/>
    </xf>
    <xf numFmtId="166" fontId="20" fillId="4" borderId="3" xfId="0" applyNumberFormat="1" applyFont="1" applyFill="1" applyBorder="1" applyAlignment="1" applyProtection="1">
      <alignment horizontal="left" vertical="center"/>
      <protection locked="0"/>
    </xf>
    <xf numFmtId="164" fontId="20" fillId="4" borderId="3" xfId="0" applyNumberFormat="1" applyFont="1" applyFill="1" applyBorder="1" applyAlignment="1" applyProtection="1">
      <alignment horizontal="center" vertical="center" wrapText="1"/>
      <protection locked="0"/>
    </xf>
    <xf numFmtId="165" fontId="41" fillId="4" borderId="3" xfId="0" applyNumberFormat="1" applyFont="1" applyFill="1" applyBorder="1" applyAlignment="1" applyProtection="1">
      <alignment horizontal="center" vertical="center" wrapText="1"/>
      <protection locked="0"/>
    </xf>
    <xf numFmtId="167" fontId="18" fillId="4" borderId="3" xfId="0" applyNumberFormat="1" applyFont="1" applyFill="1" applyBorder="1" applyAlignment="1">
      <alignment horizontal="center" vertical="center" wrapText="1"/>
    </xf>
    <xf numFmtId="167" fontId="18" fillId="4" borderId="3" xfId="0" applyNumberFormat="1" applyFont="1" applyFill="1" applyBorder="1" applyAlignment="1" applyProtection="1">
      <alignment horizontal="center" vertical="center" wrapText="1"/>
      <protection locked="0"/>
    </xf>
    <xf numFmtId="166" fontId="18" fillId="4" borderId="3" xfId="0" applyNumberFormat="1" applyFont="1" applyFill="1" applyBorder="1" applyAlignment="1" applyProtection="1">
      <alignment horizontal="left" vertical="center"/>
      <protection locked="0"/>
    </xf>
    <xf numFmtId="166" fontId="18" fillId="4" borderId="3" xfId="0" applyNumberFormat="1" applyFont="1" applyFill="1" applyBorder="1" applyAlignment="1" applyProtection="1">
      <alignment horizontal="center" vertical="top" wrapText="1"/>
      <protection locked="0"/>
    </xf>
    <xf numFmtId="167" fontId="18" fillId="4" borderId="3" xfId="0" applyNumberFormat="1" applyFont="1" applyFill="1" applyBorder="1" applyAlignment="1">
      <alignment horizontal="left" vertical="center"/>
    </xf>
    <xf numFmtId="0" fontId="11" fillId="0" borderId="0" xfId="2" applyFont="1" applyFill="1" applyBorder="1" applyAlignment="1" applyProtection="1">
      <alignment horizontal="left" vertical="center"/>
    </xf>
    <xf numFmtId="14" fontId="18" fillId="0" borderId="3" xfId="0" applyNumberFormat="1" applyFont="1" applyFill="1" applyBorder="1" applyAlignment="1">
      <alignment horizontal="left"/>
    </xf>
    <xf numFmtId="14" fontId="55" fillId="0" borderId="3" xfId="0" applyNumberFormat="1" applyFont="1" applyFill="1" applyBorder="1" applyAlignment="1">
      <alignment horizontal="center"/>
    </xf>
    <xf numFmtId="0" fontId="52" fillId="0" borderId="3" xfId="0" applyFont="1" applyFill="1" applyBorder="1" applyAlignment="1">
      <alignment horizontal="center" vertical="center"/>
    </xf>
    <xf numFmtId="14" fontId="55" fillId="0" borderId="3" xfId="0" applyNumberFormat="1" applyFont="1" applyBorder="1" applyAlignment="1">
      <alignment horizontal="center"/>
    </xf>
    <xf numFmtId="0" fontId="52" fillId="0" borderId="10" xfId="0" applyFont="1" applyBorder="1" applyAlignment="1">
      <alignment horizontal="center" vertical="center"/>
    </xf>
    <xf numFmtId="167" fontId="20" fillId="8" borderId="3" xfId="0" applyNumberFormat="1" applyFont="1" applyFill="1" applyBorder="1" applyAlignment="1">
      <alignment horizontal="left" vertical="center"/>
    </xf>
    <xf numFmtId="167" fontId="20" fillId="8" borderId="3" xfId="0" applyNumberFormat="1" applyFont="1" applyFill="1" applyBorder="1" applyAlignment="1" applyProtection="1">
      <alignment horizontal="center" vertical="center" wrapText="1"/>
      <protection locked="0"/>
    </xf>
    <xf numFmtId="166" fontId="20" fillId="8" borderId="3" xfId="0" applyNumberFormat="1" applyFont="1" applyFill="1" applyBorder="1" applyAlignment="1" applyProtection="1">
      <alignment horizontal="center" vertical="center" wrapText="1"/>
      <protection locked="0"/>
    </xf>
    <xf numFmtId="14" fontId="20" fillId="8" borderId="3" xfId="2" applyNumberFormat="1" applyFont="1" applyFill="1" applyBorder="1" applyAlignment="1" applyProtection="1">
      <alignment horizontal="center" vertical="center" wrapText="1"/>
    </xf>
    <xf numFmtId="1" fontId="21" fillId="8" borderId="3" xfId="0" applyNumberFormat="1" applyFont="1" applyFill="1" applyBorder="1" applyAlignment="1">
      <alignment horizontal="center" vertical="center" wrapText="1"/>
    </xf>
    <xf numFmtId="1" fontId="22" fillId="8" borderId="3" xfId="0" applyNumberFormat="1" applyFont="1" applyFill="1" applyBorder="1" applyAlignment="1" applyProtection="1">
      <alignment horizontal="center" vertical="center" wrapText="1"/>
      <protection locked="0"/>
    </xf>
    <xf numFmtId="14" fontId="55" fillId="5" borderId="3" xfId="2" applyNumberFormat="1" applyFont="1" applyFill="1" applyBorder="1" applyAlignment="1" applyProtection="1">
      <alignment horizontal="left" vertical="center"/>
    </xf>
    <xf numFmtId="1" fontId="52" fillId="0" borderId="3" xfId="0" applyNumberFormat="1" applyFont="1" applyFill="1" applyBorder="1" applyAlignment="1">
      <alignment horizontal="center"/>
    </xf>
    <xf numFmtId="0" fontId="17" fillId="8" borderId="3" xfId="0" applyFont="1" applyFill="1" applyBorder="1" applyAlignment="1" applyProtection="1">
      <alignment horizontal="left" vertical="top"/>
      <protection locked="0"/>
    </xf>
    <xf numFmtId="167" fontId="16" fillId="8" borderId="3" xfId="0" applyNumberFormat="1" applyFont="1" applyFill="1" applyBorder="1" applyAlignment="1">
      <alignment horizontal="left" vertical="center"/>
    </xf>
    <xf numFmtId="167" fontId="17" fillId="8" borderId="3" xfId="0" applyNumberFormat="1" applyFont="1" applyFill="1" applyBorder="1" applyAlignment="1" applyProtection="1">
      <alignment horizontal="center" vertical="top"/>
      <protection locked="0"/>
    </xf>
    <xf numFmtId="166" fontId="17" fillId="8" borderId="3" xfId="0" applyNumberFormat="1" applyFont="1" applyFill="1" applyBorder="1" applyAlignment="1" applyProtection="1">
      <alignment horizontal="center" vertical="top" wrapText="1"/>
      <protection locked="0"/>
    </xf>
    <xf numFmtId="1" fontId="41" fillId="8" borderId="3" xfId="0" applyNumberFormat="1" applyFont="1" applyFill="1" applyBorder="1" applyAlignment="1">
      <alignment horizontal="center" vertical="center"/>
    </xf>
    <xf numFmtId="3" fontId="18" fillId="8" borderId="3" xfId="0" applyNumberFormat="1" applyFont="1" applyFill="1" applyBorder="1" applyAlignment="1">
      <alignment horizontal="center"/>
    </xf>
    <xf numFmtId="1" fontId="22" fillId="8" borderId="0" xfId="0" applyNumberFormat="1" applyFont="1" applyFill="1" applyBorder="1" applyAlignment="1">
      <alignment horizontal="right" vertical="center"/>
    </xf>
    <xf numFmtId="0" fontId="20" fillId="8" borderId="0" xfId="0" applyFont="1" applyFill="1"/>
    <xf numFmtId="167" fontId="20" fillId="0" borderId="3" xfId="0" applyNumberFormat="1" applyFont="1" applyFill="1" applyBorder="1" applyAlignment="1">
      <alignment horizontal="center" vertical="center" wrapText="1"/>
    </xf>
    <xf numFmtId="167" fontId="20" fillId="0" borderId="3" xfId="0" applyNumberFormat="1" applyFont="1" applyFill="1" applyBorder="1" applyAlignment="1">
      <alignment horizontal="center" vertical="center" wrapText="1"/>
    </xf>
    <xf numFmtId="167" fontId="16" fillId="0" borderId="3" xfId="0" applyNumberFormat="1" applyFont="1" applyFill="1" applyBorder="1" applyAlignment="1">
      <alignment horizontal="center" vertical="center"/>
    </xf>
    <xf numFmtId="167" fontId="20" fillId="0" borderId="3" xfId="0" applyNumberFormat="1" applyFont="1" applyFill="1" applyBorder="1" applyAlignment="1">
      <alignment horizontal="center" vertical="center" wrapText="1"/>
    </xf>
    <xf numFmtId="44" fontId="31" fillId="0" borderId="0" xfId="19" applyFont="1"/>
    <xf numFmtId="44" fontId="31" fillId="0" borderId="0" xfId="0" applyNumberFormat="1" applyFont="1"/>
    <xf numFmtId="165" fontId="41" fillId="4" borderId="3" xfId="0" applyNumberFormat="1" applyFont="1" applyFill="1" applyBorder="1" applyAlignment="1">
      <alignment horizontal="center" vertical="center"/>
    </xf>
    <xf numFmtId="1" fontId="16" fillId="0" borderId="3" xfId="0" applyNumberFormat="1" applyFont="1" applyFill="1" applyBorder="1" applyAlignment="1">
      <alignment horizontal="center" vertical="center"/>
    </xf>
    <xf numFmtId="0" fontId="18" fillId="4" borderId="3" xfId="0" applyFont="1" applyFill="1" applyBorder="1" applyAlignment="1">
      <alignment horizontal="center"/>
    </xf>
    <xf numFmtId="1" fontId="18" fillId="4" borderId="3" xfId="0" applyNumberFormat="1" applyFont="1" applyFill="1" applyBorder="1" applyAlignment="1">
      <alignment horizontal="center" vertical="center"/>
    </xf>
    <xf numFmtId="0" fontId="18" fillId="4" borderId="3" xfId="0" applyFont="1" applyFill="1" applyBorder="1" applyAlignment="1">
      <alignment horizontal="center" wrapText="1"/>
    </xf>
    <xf numFmtId="1" fontId="41" fillId="4" borderId="3" xfId="0" applyNumberFormat="1" applyFont="1" applyFill="1" applyBorder="1" applyAlignment="1">
      <alignment horizontal="center" wrapText="1"/>
    </xf>
    <xf numFmtId="3" fontId="41" fillId="4" borderId="3" xfId="0" applyNumberFormat="1" applyFont="1" applyFill="1" applyBorder="1" applyAlignment="1" applyProtection="1">
      <alignment horizontal="center" wrapText="1"/>
      <protection locked="0"/>
    </xf>
    <xf numFmtId="0" fontId="41" fillId="4" borderId="3" xfId="0" applyNumberFormat="1" applyFont="1" applyFill="1" applyBorder="1" applyAlignment="1">
      <alignment horizontal="center" wrapText="1"/>
    </xf>
    <xf numFmtId="2" fontId="45" fillId="6" borderId="16" xfId="1" applyNumberFormat="1" applyFont="1" applyFill="1" applyBorder="1" applyAlignment="1">
      <alignment horizontal="left" vertical="center" wrapText="1"/>
    </xf>
    <xf numFmtId="2" fontId="45" fillId="6" borderId="21" xfId="1" applyNumberFormat="1" applyFont="1" applyFill="1" applyBorder="1" applyAlignment="1">
      <alignment horizontal="left" vertical="center" wrapText="1"/>
    </xf>
    <xf numFmtId="2" fontId="45" fillId="6" borderId="17" xfId="1" applyNumberFormat="1" applyFont="1" applyFill="1" applyBorder="1" applyAlignment="1">
      <alignment horizontal="left" vertical="center" wrapText="1"/>
    </xf>
    <xf numFmtId="2" fontId="45" fillId="6" borderId="22" xfId="1" applyNumberFormat="1" applyFont="1" applyFill="1" applyBorder="1" applyAlignment="1">
      <alignment horizontal="left" vertical="center" wrapText="1"/>
    </xf>
    <xf numFmtId="2" fontId="45" fillId="6" borderId="0" xfId="1" applyNumberFormat="1" applyFont="1" applyFill="1" applyBorder="1" applyAlignment="1">
      <alignment horizontal="left" vertical="center" wrapText="1"/>
    </xf>
    <xf numFmtId="2" fontId="45" fillId="6" borderId="23" xfId="1" applyNumberFormat="1" applyFont="1" applyFill="1" applyBorder="1" applyAlignment="1">
      <alignment horizontal="left" vertical="center" wrapText="1"/>
    </xf>
    <xf numFmtId="2" fontId="45" fillId="6" borderId="18" xfId="1" applyNumberFormat="1" applyFont="1" applyFill="1" applyBorder="1" applyAlignment="1">
      <alignment horizontal="left" vertical="center" wrapText="1"/>
    </xf>
    <xf numFmtId="2" fontId="45" fillId="6" borderId="24" xfId="1" applyNumberFormat="1" applyFont="1" applyFill="1" applyBorder="1" applyAlignment="1">
      <alignment horizontal="left" vertical="center" wrapText="1"/>
    </xf>
    <xf numFmtId="2" fontId="45" fillId="6" borderId="19" xfId="1" applyNumberFormat="1" applyFont="1" applyFill="1" applyBorder="1" applyAlignment="1">
      <alignment horizontal="left" vertical="center" wrapText="1"/>
    </xf>
    <xf numFmtId="0" fontId="48" fillId="0" borderId="35" xfId="4" applyFont="1" applyBorder="1" applyAlignment="1">
      <alignment horizontal="center" vertical="center" wrapText="1"/>
    </xf>
    <xf numFmtId="0" fontId="48" fillId="0" borderId="31" xfId="4" applyFont="1" applyBorder="1" applyAlignment="1">
      <alignment horizontal="center" vertical="center" wrapText="1"/>
    </xf>
    <xf numFmtId="0" fontId="48" fillId="0" borderId="32" xfId="4" applyFont="1" applyBorder="1" applyAlignment="1">
      <alignment horizontal="center" vertical="center" wrapText="1"/>
    </xf>
    <xf numFmtId="0" fontId="47" fillId="0" borderId="8" xfId="4" applyFont="1" applyBorder="1" applyAlignment="1">
      <alignment horizontal="center" vertical="center" wrapText="1"/>
    </xf>
    <xf numFmtId="0" fontId="47" fillId="0" borderId="9" xfId="4" applyFont="1" applyBorder="1" applyAlignment="1">
      <alignment horizontal="center" vertical="center" wrapText="1"/>
    </xf>
    <xf numFmtId="0" fontId="47" fillId="0" borderId="25" xfId="4" applyFont="1" applyBorder="1" applyAlignment="1">
      <alignment horizontal="center" vertical="center" wrapText="1"/>
    </xf>
    <xf numFmtId="0" fontId="47" fillId="0" borderId="29" xfId="4" applyFont="1" applyBorder="1" applyAlignment="1">
      <alignment horizontal="center" vertical="center" wrapText="1"/>
    </xf>
    <xf numFmtId="0" fontId="47" fillId="0" borderId="10" xfId="4" applyFont="1" applyBorder="1" applyAlignment="1">
      <alignment horizontal="center" vertical="center" wrapText="1"/>
    </xf>
    <xf numFmtId="0" fontId="48" fillId="0" borderId="30" xfId="4" applyFont="1" applyBorder="1" applyAlignment="1">
      <alignment horizontal="center" vertical="center" wrapText="1"/>
    </xf>
    <xf numFmtId="0" fontId="48" fillId="0" borderId="36" xfId="4" applyFont="1" applyBorder="1" applyAlignment="1">
      <alignment horizontal="center" vertical="center" wrapText="1"/>
    </xf>
    <xf numFmtId="2" fontId="44" fillId="0" borderId="29" xfId="1" applyNumberFormat="1" applyFont="1" applyFill="1" applyBorder="1" applyAlignment="1">
      <alignment horizontal="center" vertical="center" wrapText="1"/>
    </xf>
    <xf numFmtId="2" fontId="44" fillId="0" borderId="9" xfId="1" applyNumberFormat="1" applyFont="1" applyFill="1" applyBorder="1" applyAlignment="1">
      <alignment horizontal="center" vertical="center" wrapText="1"/>
    </xf>
    <xf numFmtId="2" fontId="44" fillId="0" borderId="10" xfId="1" applyNumberFormat="1" applyFont="1" applyFill="1" applyBorder="1" applyAlignment="1">
      <alignment horizontal="center" vertical="center" wrapText="1"/>
    </xf>
    <xf numFmtId="2" fontId="44" fillId="0" borderId="8" xfId="1" applyNumberFormat="1" applyFont="1" applyFill="1" applyBorder="1" applyAlignment="1">
      <alignment horizontal="center" vertical="center" wrapText="1"/>
    </xf>
    <xf numFmtId="2" fontId="44" fillId="0" borderId="25" xfId="1" applyNumberFormat="1" applyFont="1" applyFill="1" applyBorder="1" applyAlignment="1">
      <alignment horizontal="center" vertical="center" wrapText="1"/>
    </xf>
    <xf numFmtId="2" fontId="43" fillId="0" borderId="30" xfId="1" applyNumberFormat="1" applyFont="1" applyFill="1" applyBorder="1" applyAlignment="1">
      <alignment horizontal="center" vertical="center" wrapText="1"/>
    </xf>
    <xf numFmtId="2" fontId="43" fillId="0" borderId="31" xfId="1" applyNumberFormat="1" applyFont="1" applyFill="1" applyBorder="1" applyAlignment="1">
      <alignment horizontal="center" vertical="center" wrapText="1"/>
    </xf>
    <xf numFmtId="2" fontId="43" fillId="0" borderId="32" xfId="1" applyNumberFormat="1" applyFont="1" applyFill="1" applyBorder="1" applyAlignment="1">
      <alignment horizontal="center" vertical="center" wrapText="1"/>
    </xf>
    <xf numFmtId="0" fontId="47" fillId="0" borderId="29" xfId="4" applyFont="1" applyFill="1" applyBorder="1" applyAlignment="1">
      <alignment horizontal="center" vertical="center" wrapText="1"/>
    </xf>
    <xf numFmtId="0" fontId="47" fillId="0" borderId="9" xfId="4" applyFont="1" applyFill="1" applyBorder="1" applyAlignment="1">
      <alignment horizontal="center" vertical="center" wrapText="1"/>
    </xf>
    <xf numFmtId="0" fontId="47" fillId="0" borderId="10" xfId="4" applyFont="1" applyFill="1" applyBorder="1" applyAlignment="1">
      <alignment horizontal="center" vertical="center" wrapText="1"/>
    </xf>
    <xf numFmtId="0" fontId="47" fillId="0" borderId="37" xfId="4" applyFont="1" applyBorder="1" applyAlignment="1">
      <alignment horizontal="center" vertical="center" wrapText="1"/>
    </xf>
    <xf numFmtId="0" fontId="47" fillId="0" borderId="38" xfId="4" applyFont="1" applyBorder="1" applyAlignment="1">
      <alignment horizontal="center" vertical="center" wrapText="1"/>
    </xf>
    <xf numFmtId="0" fontId="47" fillId="0" borderId="39" xfId="4" applyFont="1" applyBorder="1" applyAlignment="1">
      <alignment horizontal="center" vertical="center" wrapText="1"/>
    </xf>
    <xf numFmtId="0" fontId="47" fillId="0" borderId="8" xfId="4" applyFont="1" applyFill="1" applyBorder="1" applyAlignment="1">
      <alignment horizontal="center" vertical="center" wrapText="1"/>
    </xf>
    <xf numFmtId="0" fontId="47" fillId="0" borderId="25" xfId="4" applyFont="1" applyFill="1" applyBorder="1" applyAlignment="1">
      <alignment horizontal="center" vertical="center" wrapText="1"/>
    </xf>
    <xf numFmtId="2" fontId="44" fillId="0" borderId="37" xfId="1" applyNumberFormat="1" applyFont="1" applyFill="1" applyBorder="1" applyAlignment="1">
      <alignment horizontal="center" vertical="center" wrapText="1"/>
    </xf>
    <xf numFmtId="2" fontId="44" fillId="0" borderId="38" xfId="1" applyNumberFormat="1" applyFont="1" applyFill="1" applyBorder="1" applyAlignment="1">
      <alignment horizontal="center" vertical="center" wrapText="1"/>
    </xf>
    <xf numFmtId="2" fontId="44" fillId="0" borderId="39" xfId="1" applyNumberFormat="1" applyFont="1" applyFill="1" applyBorder="1" applyAlignment="1">
      <alignment horizontal="center" vertical="center" wrapText="1"/>
    </xf>
    <xf numFmtId="2" fontId="44" fillId="0" borderId="26" xfId="1" applyNumberFormat="1" applyFont="1" applyFill="1" applyBorder="1" applyAlignment="1">
      <alignment horizontal="center" vertical="center" wrapText="1"/>
    </xf>
    <xf numFmtId="2" fontId="44" fillId="0" borderId="27" xfId="1" applyNumberFormat="1" applyFont="1" applyFill="1" applyBorder="1" applyAlignment="1">
      <alignment horizontal="center" vertical="center" wrapText="1"/>
    </xf>
    <xf numFmtId="0" fontId="47" fillId="0" borderId="26" xfId="4" applyFont="1" applyBorder="1" applyAlignment="1">
      <alignment horizontal="center" vertical="center" wrapText="1"/>
    </xf>
    <xf numFmtId="0" fontId="47" fillId="0" borderId="27" xfId="4" applyFont="1" applyBorder="1" applyAlignment="1">
      <alignment horizontal="center" vertical="center" wrapText="1"/>
    </xf>
    <xf numFmtId="0" fontId="29" fillId="0" borderId="3" xfId="0" applyFont="1" applyFill="1" applyBorder="1" applyAlignment="1">
      <alignment horizontal="center"/>
    </xf>
    <xf numFmtId="0" fontId="21" fillId="0" borderId="3" xfId="0" applyFont="1" applyFill="1" applyBorder="1" applyAlignment="1" applyProtection="1">
      <alignment horizontal="center" vertical="center" wrapText="1"/>
      <protection locked="0"/>
    </xf>
    <xf numFmtId="0" fontId="66" fillId="2" borderId="5" xfId="2" applyFont="1" applyFill="1" applyBorder="1" applyAlignment="1" applyProtection="1">
      <alignment horizontal="center" vertical="center" wrapText="1"/>
    </xf>
    <xf numFmtId="0" fontId="66" fillId="2" borderId="0" xfId="2" applyFont="1" applyFill="1" applyBorder="1" applyAlignment="1" applyProtection="1">
      <alignment horizontal="center" vertical="center" wrapText="1"/>
    </xf>
    <xf numFmtId="0" fontId="68" fillId="0" borderId="3" xfId="6" applyFont="1" applyFill="1" applyBorder="1" applyAlignment="1">
      <alignment horizontal="center" vertical="center" wrapText="1"/>
    </xf>
    <xf numFmtId="0" fontId="40" fillId="2" borderId="16" xfId="2" applyFont="1" applyFill="1" applyBorder="1" applyAlignment="1" applyProtection="1">
      <alignment horizontal="center" vertical="center" wrapText="1"/>
    </xf>
    <xf numFmtId="0" fontId="40" fillId="2" borderId="17" xfId="2" applyFont="1" applyFill="1" applyBorder="1" applyAlignment="1" applyProtection="1">
      <alignment horizontal="center" vertical="center" wrapText="1"/>
    </xf>
    <xf numFmtId="0" fontId="40" fillId="2" borderId="18" xfId="2" applyFont="1" applyFill="1" applyBorder="1" applyAlignment="1" applyProtection="1">
      <alignment horizontal="center" vertical="center" wrapText="1"/>
    </xf>
    <xf numFmtId="0" fontId="40" fillId="2" borderId="19" xfId="2" applyFont="1" applyFill="1" applyBorder="1" applyAlignment="1" applyProtection="1">
      <alignment horizontal="center" vertical="center" wrapText="1"/>
    </xf>
    <xf numFmtId="0" fontId="27" fillId="2" borderId="5" xfId="2" applyFont="1" applyFill="1" applyBorder="1" applyAlignment="1" applyProtection="1">
      <alignment horizontal="center" vertical="center" wrapText="1"/>
    </xf>
    <xf numFmtId="0" fontId="27" fillId="2" borderId="1" xfId="2" applyFont="1" applyFill="1" applyBorder="1" applyAlignment="1" applyProtection="1">
      <alignment horizontal="center" vertical="center" wrapText="1"/>
    </xf>
    <xf numFmtId="0" fontId="27" fillId="2" borderId="4" xfId="2" applyFont="1" applyFill="1" applyBorder="1" applyAlignment="1" applyProtection="1">
      <alignment horizontal="center" vertical="center" wrapText="1"/>
    </xf>
    <xf numFmtId="0" fontId="27" fillId="2" borderId="2" xfId="2" applyFont="1" applyFill="1" applyBorder="1" applyAlignment="1" applyProtection="1">
      <alignment horizontal="center" vertical="center" wrapText="1"/>
    </xf>
    <xf numFmtId="0" fontId="29" fillId="0" borderId="8" xfId="0" applyFont="1" applyFill="1" applyBorder="1" applyAlignment="1">
      <alignment horizontal="center"/>
    </xf>
    <xf numFmtId="0" fontId="29" fillId="0" borderId="10" xfId="0" applyFont="1" applyFill="1" applyBorder="1" applyAlignment="1">
      <alignment horizontal="center"/>
    </xf>
    <xf numFmtId="0" fontId="21" fillId="0" borderId="3" xfId="0" applyFont="1" applyFill="1" applyBorder="1" applyAlignment="1">
      <alignment horizontal="center"/>
    </xf>
    <xf numFmtId="2" fontId="68" fillId="0" borderId="3" xfId="0" applyNumberFormat="1" applyFont="1" applyFill="1" applyBorder="1" applyAlignment="1">
      <alignment horizontal="center" vertical="center" wrapText="1"/>
    </xf>
    <xf numFmtId="0" fontId="74" fillId="2" borderId="41" xfId="2" applyFont="1" applyFill="1" applyBorder="1" applyAlignment="1" applyProtection="1">
      <alignment horizontal="center" vertical="center" wrapText="1"/>
    </xf>
    <xf numFmtId="0" fontId="74" fillId="2" borderId="42" xfId="2" applyFont="1" applyFill="1" applyBorder="1" applyAlignment="1" applyProtection="1">
      <alignment horizontal="center" vertical="center" wrapText="1"/>
    </xf>
    <xf numFmtId="0" fontId="74" fillId="2" borderId="43" xfId="2" applyFont="1" applyFill="1" applyBorder="1" applyAlignment="1" applyProtection="1">
      <alignment horizontal="center" vertical="center" wrapText="1"/>
    </xf>
    <xf numFmtId="0" fontId="88" fillId="2" borderId="5" xfId="2" applyFont="1" applyFill="1" applyBorder="1" applyAlignment="1" applyProtection="1">
      <alignment horizontal="center" vertical="center" wrapText="1"/>
    </xf>
    <xf numFmtId="0" fontId="88" fillId="2" borderId="1" xfId="2" applyFont="1" applyFill="1" applyBorder="1" applyAlignment="1" applyProtection="1">
      <alignment horizontal="center" vertical="center" wrapText="1"/>
    </xf>
    <xf numFmtId="0" fontId="88" fillId="2" borderId="4" xfId="2" applyFont="1" applyFill="1" applyBorder="1" applyAlignment="1" applyProtection="1">
      <alignment horizontal="center" vertical="center" wrapText="1"/>
    </xf>
    <xf numFmtId="0" fontId="88" fillId="2" borderId="2" xfId="2" applyFont="1" applyFill="1" applyBorder="1" applyAlignment="1" applyProtection="1">
      <alignment horizontal="center" vertical="center" wrapText="1"/>
    </xf>
    <xf numFmtId="0" fontId="27" fillId="2" borderId="18" xfId="2" applyFont="1" applyFill="1" applyBorder="1" applyAlignment="1" applyProtection="1">
      <alignment horizontal="center" vertical="center" wrapText="1"/>
    </xf>
    <xf numFmtId="0" fontId="27" fillId="2" borderId="19" xfId="2" applyFont="1" applyFill="1" applyBorder="1" applyAlignment="1" applyProtection="1">
      <alignment horizontal="center" vertical="center" wrapText="1"/>
    </xf>
    <xf numFmtId="0" fontId="68" fillId="0" borderId="3" xfId="0" applyFont="1" applyFill="1" applyBorder="1" applyAlignment="1">
      <alignment horizontal="center" vertical="center" wrapText="1"/>
    </xf>
    <xf numFmtId="167" fontId="20" fillId="4" borderId="8" xfId="0" applyNumberFormat="1" applyFont="1" applyFill="1" applyBorder="1" applyAlignment="1">
      <alignment horizontal="center"/>
    </xf>
    <xf numFmtId="167" fontId="20" fillId="4" borderId="10" xfId="0" applyNumberFormat="1" applyFont="1" applyFill="1" applyBorder="1" applyAlignment="1">
      <alignment horizontal="center"/>
    </xf>
    <xf numFmtId="0" fontId="21" fillId="0" borderId="8" xfId="0" applyFont="1" applyFill="1" applyBorder="1" applyAlignment="1">
      <alignment horizontal="center" vertical="center" wrapText="1"/>
    </xf>
    <xf numFmtId="0" fontId="21" fillId="0" borderId="10" xfId="0" applyFont="1" applyFill="1" applyBorder="1" applyAlignment="1">
      <alignment horizontal="center" vertical="center" wrapText="1"/>
    </xf>
    <xf numFmtId="0" fontId="65" fillId="2" borderId="21" xfId="2" applyFont="1" applyFill="1" applyBorder="1" applyAlignment="1" applyProtection="1">
      <alignment horizontal="center" vertical="center" wrapText="1"/>
    </xf>
    <xf numFmtId="0" fontId="65" fillId="2" borderId="0" xfId="2" applyFont="1" applyFill="1" applyBorder="1" applyAlignment="1" applyProtection="1">
      <alignment horizontal="center" vertical="center" wrapText="1"/>
    </xf>
    <xf numFmtId="0" fontId="21" fillId="0" borderId="8" xfId="0" applyFont="1" applyFill="1" applyBorder="1" applyAlignment="1">
      <alignment horizontal="center"/>
    </xf>
    <xf numFmtId="0" fontId="21" fillId="0" borderId="10" xfId="0" applyFont="1" applyFill="1" applyBorder="1" applyAlignment="1">
      <alignment horizontal="center"/>
    </xf>
    <xf numFmtId="0" fontId="76" fillId="2" borderId="41" xfId="2" applyFont="1" applyFill="1" applyBorder="1" applyAlignment="1" applyProtection="1">
      <alignment horizontal="center" vertical="center" wrapText="1"/>
    </xf>
    <xf numFmtId="0" fontId="76" fillId="2" borderId="42" xfId="2" applyFont="1" applyFill="1" applyBorder="1" applyAlignment="1" applyProtection="1">
      <alignment horizontal="center" vertical="center" wrapText="1"/>
    </xf>
    <xf numFmtId="0" fontId="76" fillId="2" borderId="43" xfId="2" applyFont="1" applyFill="1" applyBorder="1" applyAlignment="1" applyProtection="1">
      <alignment horizontal="center" vertical="center" wrapText="1"/>
    </xf>
    <xf numFmtId="0" fontId="66" fillId="2" borderId="21" xfId="2" applyFont="1" applyFill="1" applyBorder="1" applyAlignment="1" applyProtection="1">
      <alignment horizontal="center" vertical="center" wrapText="1"/>
    </xf>
    <xf numFmtId="167" fontId="20" fillId="3" borderId="8" xfId="0" applyNumberFormat="1" applyFont="1" applyFill="1" applyBorder="1" applyAlignment="1">
      <alignment horizontal="center" vertical="center"/>
    </xf>
    <xf numFmtId="167" fontId="20" fillId="3" borderId="10" xfId="0" applyNumberFormat="1" applyFont="1" applyFill="1" applyBorder="1" applyAlignment="1">
      <alignment horizontal="center" vertical="center"/>
    </xf>
    <xf numFmtId="167" fontId="20" fillId="4" borderId="8" xfId="0" applyNumberFormat="1" applyFont="1" applyFill="1" applyBorder="1" applyAlignment="1">
      <alignment horizontal="center" vertical="center" wrapText="1"/>
    </xf>
    <xf numFmtId="167" fontId="20" fillId="4" borderId="10" xfId="0" applyNumberFormat="1" applyFont="1" applyFill="1" applyBorder="1" applyAlignment="1">
      <alignment horizontal="center" vertical="center" wrapText="1"/>
    </xf>
    <xf numFmtId="0" fontId="72" fillId="2" borderId="41" xfId="2" applyFont="1" applyFill="1" applyBorder="1" applyAlignment="1" applyProtection="1">
      <alignment horizontal="center" vertical="center" wrapText="1"/>
    </xf>
    <xf numFmtId="0" fontId="72" fillId="2" borderId="42" xfId="2" applyFont="1" applyFill="1" applyBorder="1" applyAlignment="1" applyProtection="1">
      <alignment horizontal="center" vertical="center" wrapText="1"/>
    </xf>
    <xf numFmtId="0" fontId="72" fillId="2" borderId="43" xfId="2" applyFont="1" applyFill="1" applyBorder="1" applyAlignment="1" applyProtection="1">
      <alignment horizontal="center" vertical="center" wrapText="1"/>
    </xf>
    <xf numFmtId="0" fontId="64" fillId="0" borderId="13" xfId="0" applyFont="1" applyFill="1" applyBorder="1" applyAlignment="1">
      <alignment horizontal="center" vertical="center" wrapText="1"/>
    </xf>
    <xf numFmtId="0" fontId="64" fillId="0" borderId="11" xfId="0" applyFont="1" applyFill="1" applyBorder="1" applyAlignment="1">
      <alignment horizontal="center" vertical="center" wrapText="1"/>
    </xf>
    <xf numFmtId="0" fontId="64" fillId="0" borderId="12" xfId="0" applyFont="1" applyFill="1" applyBorder="1" applyAlignment="1">
      <alignment horizontal="center" vertical="center" wrapText="1"/>
    </xf>
    <xf numFmtId="0" fontId="64" fillId="0" borderId="15" xfId="0" applyFont="1" applyFill="1" applyBorder="1" applyAlignment="1">
      <alignment horizontal="center" vertical="center" wrapText="1"/>
    </xf>
    <xf numFmtId="0" fontId="64" fillId="0" borderId="0" xfId="0" applyFont="1" applyFill="1" applyBorder="1" applyAlignment="1">
      <alignment horizontal="center" vertical="center" wrapText="1"/>
    </xf>
    <xf numFmtId="0" fontId="64" fillId="0" borderId="28" xfId="0" applyFont="1" applyFill="1" applyBorder="1" applyAlignment="1">
      <alignment horizontal="center" vertical="center" wrapText="1"/>
    </xf>
    <xf numFmtId="0" fontId="64" fillId="0" borderId="33" xfId="0" applyFont="1" applyFill="1" applyBorder="1" applyAlignment="1">
      <alignment horizontal="center" vertical="center" wrapText="1"/>
    </xf>
    <xf numFmtId="0" fontId="64" fillId="0" borderId="6" xfId="0" applyFont="1" applyFill="1" applyBorder="1" applyAlignment="1">
      <alignment horizontal="center" vertical="center" wrapText="1"/>
    </xf>
    <xf numFmtId="0" fontId="64" fillId="0" borderId="34" xfId="0" applyFont="1" applyFill="1" applyBorder="1" applyAlignment="1">
      <alignment horizontal="center" vertical="center" wrapText="1"/>
    </xf>
    <xf numFmtId="167" fontId="16" fillId="3" borderId="8" xfId="0" applyNumberFormat="1" applyFont="1" applyFill="1" applyBorder="1" applyAlignment="1">
      <alignment horizontal="center"/>
    </xf>
    <xf numFmtId="167" fontId="16" fillId="3" borderId="10" xfId="0" applyNumberFormat="1" applyFont="1" applyFill="1" applyBorder="1" applyAlignment="1">
      <alignment horizontal="center"/>
    </xf>
    <xf numFmtId="0" fontId="36" fillId="0" borderId="0" xfId="0" applyFont="1" applyAlignment="1">
      <alignment horizontal="left" vertical="center" wrapText="1"/>
    </xf>
    <xf numFmtId="0" fontId="28" fillId="0" borderId="14" xfId="0" applyFont="1" applyFill="1" applyBorder="1" applyAlignment="1" applyProtection="1">
      <alignment horizontal="center" vertical="center" wrapText="1"/>
      <protection locked="0"/>
    </xf>
    <xf numFmtId="0" fontId="28" fillId="0" borderId="7" xfId="0" applyFont="1" applyFill="1" applyBorder="1" applyAlignment="1" applyProtection="1">
      <alignment horizontal="center" vertical="center" wrapText="1"/>
      <protection locked="0"/>
    </xf>
    <xf numFmtId="167" fontId="26" fillId="3" borderId="8" xfId="0" applyNumberFormat="1" applyFont="1" applyFill="1" applyBorder="1" applyAlignment="1">
      <alignment horizontal="center" vertical="center" wrapText="1"/>
    </xf>
    <xf numFmtId="167" fontId="26" fillId="3" borderId="10" xfId="0" applyNumberFormat="1" applyFont="1" applyFill="1" applyBorder="1" applyAlignment="1">
      <alignment horizontal="center" vertical="center" wrapText="1"/>
    </xf>
    <xf numFmtId="167" fontId="20" fillId="0" borderId="3" xfId="0" applyNumberFormat="1" applyFont="1" applyFill="1" applyBorder="1" applyAlignment="1">
      <alignment horizontal="center" vertical="center" wrapText="1"/>
    </xf>
    <xf numFmtId="14" fontId="20" fillId="0" borderId="14" xfId="0" applyNumberFormat="1" applyFont="1" applyFill="1" applyBorder="1" applyAlignment="1" applyProtection="1">
      <alignment horizontal="center" vertical="center" wrapText="1"/>
      <protection locked="0"/>
    </xf>
    <xf numFmtId="14" fontId="20" fillId="0" borderId="45" xfId="0" applyNumberFormat="1" applyFont="1" applyFill="1" applyBorder="1" applyAlignment="1" applyProtection="1">
      <alignment horizontal="center" vertical="center" wrapText="1"/>
      <protection locked="0"/>
    </xf>
    <xf numFmtId="14" fontId="20" fillId="0" borderId="7" xfId="0" applyNumberFormat="1" applyFont="1" applyFill="1" applyBorder="1" applyAlignment="1" applyProtection="1">
      <alignment horizontal="center" vertical="center" wrapText="1"/>
      <protection locked="0"/>
    </xf>
    <xf numFmtId="167" fontId="16" fillId="3" borderId="8" xfId="0" applyNumberFormat="1" applyFont="1" applyFill="1" applyBorder="1" applyAlignment="1">
      <alignment horizontal="center" vertical="center" wrapText="1"/>
    </xf>
    <xf numFmtId="167" fontId="16" fillId="3" borderId="10" xfId="0" applyNumberFormat="1" applyFont="1" applyFill="1" applyBorder="1" applyAlignment="1">
      <alignment horizontal="center" vertical="center" wrapText="1"/>
    </xf>
    <xf numFmtId="167" fontId="20" fillId="3" borderId="8" xfId="0" applyNumberFormat="1" applyFont="1" applyFill="1" applyBorder="1" applyAlignment="1">
      <alignment horizontal="center" vertical="center" wrapText="1"/>
    </xf>
    <xf numFmtId="167" fontId="20" fillId="3" borderId="10" xfId="0" applyNumberFormat="1" applyFont="1" applyFill="1" applyBorder="1" applyAlignment="1">
      <alignment horizontal="center" vertical="center" wrapText="1"/>
    </xf>
    <xf numFmtId="0" fontId="30" fillId="3" borderId="8" xfId="0" applyFont="1" applyFill="1" applyBorder="1" applyAlignment="1">
      <alignment horizontal="center" vertical="center" wrapText="1"/>
    </xf>
    <xf numFmtId="0" fontId="30" fillId="3" borderId="10" xfId="0" applyFont="1" applyFill="1" applyBorder="1" applyAlignment="1">
      <alignment horizontal="center" vertical="center" wrapText="1"/>
    </xf>
    <xf numFmtId="167" fontId="8" fillId="3" borderId="8" xfId="0" applyNumberFormat="1" applyFont="1" applyFill="1" applyBorder="1" applyAlignment="1">
      <alignment horizontal="center" vertical="center" wrapText="1"/>
    </xf>
    <xf numFmtId="167" fontId="8" fillId="3" borderId="9" xfId="0" applyNumberFormat="1" applyFont="1" applyFill="1" applyBorder="1" applyAlignment="1">
      <alignment horizontal="center" vertical="center" wrapText="1"/>
    </xf>
    <xf numFmtId="167" fontId="8" fillId="3" borderId="10" xfId="0" applyNumberFormat="1" applyFont="1" applyFill="1" applyBorder="1" applyAlignment="1">
      <alignment horizontal="center" vertical="center" wrapText="1"/>
    </xf>
    <xf numFmtId="0" fontId="29" fillId="0" borderId="8" xfId="0" applyFont="1" applyFill="1" applyBorder="1" applyAlignment="1">
      <alignment horizontal="center" vertical="center" wrapText="1"/>
    </xf>
    <xf numFmtId="0" fontId="29" fillId="0" borderId="10" xfId="0" applyFont="1" applyFill="1" applyBorder="1" applyAlignment="1">
      <alignment horizontal="center" vertical="center" wrapText="1"/>
    </xf>
    <xf numFmtId="0" fontId="32" fillId="0" borderId="11" xfId="0" applyFont="1" applyBorder="1" applyAlignment="1">
      <alignment horizontal="center"/>
    </xf>
    <xf numFmtId="0" fontId="68" fillId="0" borderId="15" xfId="0" applyFont="1" applyFill="1" applyBorder="1" applyAlignment="1">
      <alignment horizontal="center" vertical="center" wrapText="1"/>
    </xf>
    <xf numFmtId="0" fontId="68" fillId="0" borderId="0" xfId="0" applyFont="1" applyFill="1" applyBorder="1" applyAlignment="1">
      <alignment horizontal="center" vertical="center" wrapText="1"/>
    </xf>
    <xf numFmtId="0" fontId="68" fillId="0" borderId="33" xfId="0" applyFont="1" applyFill="1" applyBorder="1" applyAlignment="1">
      <alignment horizontal="center" vertical="center" wrapText="1"/>
    </xf>
    <xf numFmtId="0" fontId="68" fillId="0" borderId="6" xfId="0" applyFont="1" applyFill="1" applyBorder="1" applyAlignment="1">
      <alignment horizontal="center" vertical="center" wrapText="1"/>
    </xf>
    <xf numFmtId="167" fontId="20" fillId="4" borderId="8" xfId="0" applyNumberFormat="1" applyFont="1" applyFill="1" applyBorder="1" applyAlignment="1">
      <alignment horizontal="left" vertical="center" wrapText="1"/>
    </xf>
    <xf numFmtId="167" fontId="20" fillId="4" borderId="9" xfId="0" applyNumberFormat="1" applyFont="1" applyFill="1" applyBorder="1" applyAlignment="1">
      <alignment horizontal="left" vertical="center" wrapText="1"/>
    </xf>
    <xf numFmtId="167" fontId="20" fillId="4" borderId="10" xfId="0" applyNumberFormat="1" applyFont="1" applyFill="1" applyBorder="1" applyAlignment="1">
      <alignment horizontal="left" vertical="center" wrapText="1"/>
    </xf>
    <xf numFmtId="0" fontId="20" fillId="4" borderId="0" xfId="0" applyFont="1" applyFill="1" applyAlignment="1">
      <alignment horizontal="center" vertical="center" wrapText="1"/>
    </xf>
    <xf numFmtId="0" fontId="18" fillId="0" borderId="8" xfId="0" applyFont="1" applyFill="1" applyBorder="1" applyAlignment="1">
      <alignment horizontal="center"/>
    </xf>
    <xf numFmtId="0" fontId="18" fillId="0" borderId="10" xfId="0" applyFont="1" applyFill="1" applyBorder="1" applyAlignment="1">
      <alignment horizontal="center"/>
    </xf>
    <xf numFmtId="0" fontId="27" fillId="2" borderId="41" xfId="2" applyFont="1" applyFill="1" applyBorder="1" applyAlignment="1" applyProtection="1">
      <alignment horizontal="center" vertical="center" wrapText="1"/>
    </xf>
    <xf numFmtId="0" fontId="27" fillId="2" borderId="42" xfId="2" applyFont="1" applyFill="1" applyBorder="1" applyAlignment="1" applyProtection="1">
      <alignment horizontal="center" vertical="center" wrapText="1"/>
    </xf>
    <xf numFmtId="0" fontId="27" fillId="2" borderId="43" xfId="2" applyFont="1" applyFill="1" applyBorder="1" applyAlignment="1" applyProtection="1">
      <alignment horizontal="center" vertical="center" wrapText="1"/>
    </xf>
    <xf numFmtId="167" fontId="8" fillId="0" borderId="8" xfId="0" applyNumberFormat="1" applyFont="1" applyFill="1" applyBorder="1" applyAlignment="1">
      <alignment horizontal="left" vertical="center" wrapText="1"/>
    </xf>
    <xf numFmtId="167" fontId="8" fillId="0" borderId="9" xfId="0" applyNumberFormat="1" applyFont="1" applyFill="1" applyBorder="1" applyAlignment="1">
      <alignment horizontal="left" vertical="center" wrapText="1"/>
    </xf>
    <xf numFmtId="167" fontId="8" fillId="0" borderId="10" xfId="0" applyNumberFormat="1" applyFont="1" applyFill="1" applyBorder="1" applyAlignment="1">
      <alignment horizontal="left" vertical="center" wrapText="1"/>
    </xf>
    <xf numFmtId="0" fontId="20" fillId="0" borderId="15" xfId="0" applyFont="1" applyFill="1" applyBorder="1" applyAlignment="1">
      <alignment vertical="center" wrapText="1"/>
    </xf>
    <xf numFmtId="0" fontId="20" fillId="0" borderId="0" xfId="0" applyFont="1" applyFill="1" applyBorder="1" applyAlignment="1">
      <alignment vertical="center" wrapText="1"/>
    </xf>
    <xf numFmtId="167" fontId="16" fillId="10" borderId="8" xfId="0" applyNumberFormat="1" applyFont="1" applyFill="1" applyBorder="1" applyAlignment="1">
      <alignment horizontal="center"/>
    </xf>
    <xf numFmtId="167" fontId="16" fillId="10" borderId="44" xfId="0" applyNumberFormat="1" applyFont="1" applyFill="1" applyBorder="1" applyAlignment="1">
      <alignment horizontal="center"/>
    </xf>
    <xf numFmtId="167" fontId="16" fillId="3" borderId="8" xfId="0" applyNumberFormat="1" applyFont="1" applyFill="1" applyBorder="1" applyAlignment="1">
      <alignment horizontal="left"/>
    </xf>
    <xf numFmtId="167" fontId="16" fillId="3" borderId="9" xfId="0" applyNumberFormat="1" applyFont="1" applyFill="1" applyBorder="1" applyAlignment="1">
      <alignment horizontal="left"/>
    </xf>
    <xf numFmtId="167" fontId="16" fillId="3" borderId="10" xfId="0" applyNumberFormat="1" applyFont="1" applyFill="1" applyBorder="1" applyAlignment="1">
      <alignment horizontal="left"/>
    </xf>
    <xf numFmtId="167" fontId="16" fillId="0" borderId="8" xfId="0" applyNumberFormat="1" applyFont="1" applyFill="1" applyBorder="1" applyAlignment="1">
      <alignment horizontal="center" vertical="center" wrapText="1"/>
    </xf>
    <xf numFmtId="167" fontId="16" fillId="0" borderId="10" xfId="0" applyNumberFormat="1" applyFont="1" applyFill="1" applyBorder="1" applyAlignment="1">
      <alignment horizontal="center" vertical="center" wrapText="1"/>
    </xf>
    <xf numFmtId="167" fontId="51" fillId="3" borderId="8" xfId="0" applyNumberFormat="1" applyFont="1" applyFill="1" applyBorder="1" applyAlignment="1">
      <alignment horizontal="left"/>
    </xf>
    <xf numFmtId="167" fontId="51" fillId="3" borderId="9" xfId="0" applyNumberFormat="1" applyFont="1" applyFill="1" applyBorder="1" applyAlignment="1">
      <alignment horizontal="left"/>
    </xf>
    <xf numFmtId="167" fontId="51" fillId="3" borderId="10" xfId="0" applyNumberFormat="1" applyFont="1" applyFill="1" applyBorder="1" applyAlignment="1">
      <alignment horizontal="left"/>
    </xf>
    <xf numFmtId="167" fontId="16" fillId="3" borderId="9" xfId="0" applyNumberFormat="1" applyFont="1" applyFill="1" applyBorder="1" applyAlignment="1">
      <alignment horizontal="center"/>
    </xf>
    <xf numFmtId="167" fontId="18" fillId="0" borderId="8" xfId="0" applyNumberFormat="1" applyFont="1" applyFill="1" applyBorder="1" applyAlignment="1">
      <alignment horizontal="center"/>
    </xf>
    <xf numFmtId="167" fontId="18" fillId="0" borderId="9" xfId="0" applyNumberFormat="1" applyFont="1" applyFill="1" applyBorder="1" applyAlignment="1">
      <alignment horizontal="center"/>
    </xf>
    <xf numFmtId="167" fontId="18" fillId="0" borderId="10" xfId="0" applyNumberFormat="1" applyFont="1" applyFill="1" applyBorder="1" applyAlignment="1">
      <alignment horizontal="center"/>
    </xf>
    <xf numFmtId="167" fontId="16" fillId="0" borderId="8" xfId="0" applyNumberFormat="1" applyFont="1" applyFill="1" applyBorder="1" applyAlignment="1">
      <alignment horizontal="center"/>
    </xf>
    <xf numFmtId="167" fontId="16" fillId="0" borderId="9" xfId="0" applyNumberFormat="1" applyFont="1" applyFill="1" applyBorder="1" applyAlignment="1">
      <alignment horizontal="center"/>
    </xf>
    <xf numFmtId="167" fontId="16" fillId="0" borderId="10" xfId="0" applyNumberFormat="1" applyFont="1" applyFill="1" applyBorder="1" applyAlignment="1">
      <alignment horizontal="center"/>
    </xf>
    <xf numFmtId="167" fontId="16" fillId="4" borderId="8" xfId="0" applyNumberFormat="1" applyFont="1" applyFill="1" applyBorder="1" applyAlignment="1">
      <alignment horizontal="center" vertical="center" wrapText="1"/>
    </xf>
    <xf numFmtId="167" fontId="16" fillId="4" borderId="10" xfId="0" applyNumberFormat="1" applyFont="1" applyFill="1" applyBorder="1" applyAlignment="1">
      <alignment horizontal="center" vertical="center" wrapText="1"/>
    </xf>
    <xf numFmtId="167" fontId="16" fillId="0" borderId="8" xfId="0" applyNumberFormat="1" applyFont="1" applyFill="1" applyBorder="1" applyAlignment="1">
      <alignment horizontal="left" vertical="center" wrapText="1"/>
    </xf>
    <xf numFmtId="167" fontId="16" fillId="0" borderId="9" xfId="0" applyNumberFormat="1" applyFont="1" applyFill="1" applyBorder="1" applyAlignment="1">
      <alignment horizontal="left" vertical="center" wrapText="1"/>
    </xf>
    <xf numFmtId="167" fontId="16" fillId="0" borderId="10" xfId="0" applyNumberFormat="1" applyFont="1" applyFill="1" applyBorder="1" applyAlignment="1">
      <alignment horizontal="left" vertical="center" wrapText="1"/>
    </xf>
    <xf numFmtId="167" fontId="42" fillId="3" borderId="8" xfId="0" applyNumberFormat="1" applyFont="1" applyFill="1" applyBorder="1" applyAlignment="1">
      <alignment horizontal="center"/>
    </xf>
    <xf numFmtId="167" fontId="42" fillId="3" borderId="9" xfId="0" applyNumberFormat="1" applyFont="1" applyFill="1" applyBorder="1" applyAlignment="1">
      <alignment horizontal="center"/>
    </xf>
    <xf numFmtId="167" fontId="42" fillId="3" borderId="10" xfId="0" applyNumberFormat="1" applyFont="1" applyFill="1" applyBorder="1" applyAlignment="1">
      <alignment horizontal="center"/>
    </xf>
    <xf numFmtId="167" fontId="16" fillId="3" borderId="3" xfId="0" applyNumberFormat="1" applyFont="1" applyFill="1" applyBorder="1" applyAlignment="1">
      <alignment horizontal="left"/>
    </xf>
    <xf numFmtId="167" fontId="20" fillId="3" borderId="3" xfId="0" applyNumberFormat="1" applyFont="1" applyFill="1" applyBorder="1" applyAlignment="1">
      <alignment horizontal="left"/>
    </xf>
    <xf numFmtId="0" fontId="18" fillId="0" borderId="8" xfId="0" applyFont="1" applyFill="1" applyBorder="1" applyAlignment="1">
      <alignment horizontal="center" vertical="center" wrapText="1"/>
    </xf>
    <xf numFmtId="0" fontId="18" fillId="0" borderId="10" xfId="0" applyFont="1" applyFill="1" applyBorder="1" applyAlignment="1">
      <alignment horizontal="center" vertical="center" wrapText="1"/>
    </xf>
    <xf numFmtId="0" fontId="52" fillId="0" borderId="8" xfId="0" applyFont="1" applyFill="1" applyBorder="1" applyAlignment="1" applyProtection="1">
      <alignment horizontal="left" vertical="center" wrapText="1"/>
      <protection locked="0"/>
    </xf>
    <xf numFmtId="0" fontId="52" fillId="0" borderId="9" xfId="0" applyFont="1" applyFill="1" applyBorder="1" applyAlignment="1" applyProtection="1">
      <alignment horizontal="left" vertical="center" wrapText="1"/>
      <protection locked="0"/>
    </xf>
    <xf numFmtId="0" fontId="52" fillId="0" borderId="10" xfId="0" applyFont="1" applyFill="1" applyBorder="1" applyAlignment="1" applyProtection="1">
      <alignment horizontal="left" vertical="center" wrapText="1"/>
      <protection locked="0"/>
    </xf>
    <xf numFmtId="0" fontId="74" fillId="2" borderId="0" xfId="2" applyFont="1" applyFill="1" applyAlignment="1" applyProtection="1">
      <alignment horizontal="center" vertical="center" wrapText="1"/>
    </xf>
    <xf numFmtId="167" fontId="16" fillId="4" borderId="8" xfId="0" applyNumberFormat="1" applyFont="1" applyFill="1" applyBorder="1" applyAlignment="1">
      <alignment horizontal="center"/>
    </xf>
    <xf numFmtId="167" fontId="16" fillId="4" borderId="9" xfId="0" applyNumberFormat="1" applyFont="1" applyFill="1" applyBorder="1" applyAlignment="1">
      <alignment horizontal="center"/>
    </xf>
    <xf numFmtId="167" fontId="16" fillId="4" borderId="10" xfId="0" applyNumberFormat="1" applyFont="1" applyFill="1" applyBorder="1" applyAlignment="1">
      <alignment horizontal="center"/>
    </xf>
    <xf numFmtId="0" fontId="27" fillId="2" borderId="0" xfId="2" applyFont="1" applyFill="1" applyAlignment="1" applyProtection="1">
      <alignment horizontal="center" vertical="center" wrapText="1"/>
    </xf>
    <xf numFmtId="0" fontId="67" fillId="2" borderId="5" xfId="2" applyFont="1" applyFill="1" applyBorder="1" applyAlignment="1" applyProtection="1">
      <alignment horizontal="center" vertical="center" wrapText="1"/>
    </xf>
    <xf numFmtId="0" fontId="67" fillId="2" borderId="0" xfId="2" applyFont="1" applyFill="1" applyBorder="1" applyAlignment="1" applyProtection="1">
      <alignment horizontal="center" vertical="center" wrapText="1"/>
    </xf>
    <xf numFmtId="0" fontId="39" fillId="2" borderId="40" xfId="2" applyFont="1" applyFill="1" applyBorder="1" applyAlignment="1" applyProtection="1">
      <alignment horizontal="center" vertical="center" wrapText="1"/>
    </xf>
    <xf numFmtId="0" fontId="39" fillId="2" borderId="0" xfId="2" applyFont="1" applyFill="1" applyBorder="1" applyAlignment="1" applyProtection="1">
      <alignment horizontal="center" vertical="center" wrapText="1"/>
    </xf>
    <xf numFmtId="167" fontId="20" fillId="4" borderId="3" xfId="0" applyNumberFormat="1" applyFont="1" applyFill="1" applyBorder="1" applyAlignment="1">
      <alignment horizontal="center" vertical="center" wrapText="1"/>
    </xf>
    <xf numFmtId="167" fontId="51" fillId="0" borderId="8" xfId="0" applyNumberFormat="1" applyFont="1" applyFill="1" applyBorder="1" applyAlignment="1">
      <alignment horizontal="center" wrapText="1"/>
    </xf>
    <xf numFmtId="167" fontId="51" fillId="0" borderId="9" xfId="0" applyNumberFormat="1" applyFont="1" applyFill="1" applyBorder="1" applyAlignment="1">
      <alignment horizontal="center" wrapText="1"/>
    </xf>
    <xf numFmtId="167" fontId="51" fillId="0" borderId="10" xfId="0" applyNumberFormat="1" applyFont="1" applyFill="1" applyBorder="1" applyAlignment="1">
      <alignment horizontal="center" wrapText="1"/>
    </xf>
    <xf numFmtId="3" fontId="42" fillId="0" borderId="8" xfId="0" applyNumberFormat="1" applyFont="1" applyFill="1" applyBorder="1" applyAlignment="1">
      <alignment horizontal="left" wrapText="1"/>
    </xf>
    <xf numFmtId="3" fontId="42" fillId="0" borderId="9" xfId="0" applyNumberFormat="1" applyFont="1" applyFill="1" applyBorder="1" applyAlignment="1">
      <alignment horizontal="left" wrapText="1"/>
    </xf>
    <xf numFmtId="3" fontId="42" fillId="0" borderId="10" xfId="0" applyNumberFormat="1" applyFont="1" applyFill="1" applyBorder="1" applyAlignment="1">
      <alignment horizontal="left" wrapText="1"/>
    </xf>
    <xf numFmtId="0" fontId="75" fillId="0" borderId="3" xfId="0" applyFont="1" applyFill="1" applyBorder="1" applyAlignment="1">
      <alignment horizontal="center" vertical="center" wrapText="1"/>
    </xf>
    <xf numFmtId="0" fontId="16" fillId="3" borderId="8" xfId="0" applyFont="1" applyFill="1" applyBorder="1" applyAlignment="1" applyProtection="1">
      <alignment horizontal="center" vertical="center" wrapText="1"/>
      <protection locked="0"/>
    </xf>
    <xf numFmtId="0" fontId="16" fillId="3" borderId="10" xfId="0" applyFont="1" applyFill="1" applyBorder="1" applyAlignment="1" applyProtection="1">
      <alignment horizontal="center" vertical="center" wrapText="1"/>
      <protection locked="0"/>
    </xf>
    <xf numFmtId="167" fontId="20" fillId="0" borderId="8" xfId="0" applyNumberFormat="1" applyFont="1" applyFill="1" applyBorder="1" applyAlignment="1">
      <alignment horizontal="center" vertical="center"/>
    </xf>
    <xf numFmtId="167" fontId="20" fillId="0" borderId="10" xfId="0" applyNumberFormat="1" applyFont="1" applyFill="1" applyBorder="1" applyAlignment="1">
      <alignment horizontal="center" vertical="center"/>
    </xf>
    <xf numFmtId="167" fontId="20" fillId="0" borderId="8" xfId="0" applyNumberFormat="1" applyFont="1" applyFill="1" applyBorder="1" applyAlignment="1">
      <alignment horizontal="center" vertical="top" wrapText="1"/>
    </xf>
    <xf numFmtId="167" fontId="20" fillId="0" borderId="10" xfId="0" applyNumberFormat="1" applyFont="1" applyFill="1" applyBorder="1" applyAlignment="1">
      <alignment horizontal="center" vertical="top" wrapText="1"/>
    </xf>
    <xf numFmtId="167" fontId="20" fillId="0" borderId="8" xfId="0" applyNumberFormat="1" applyFont="1" applyFill="1" applyBorder="1" applyAlignment="1">
      <alignment horizontal="left" vertical="center"/>
    </xf>
    <xf numFmtId="167" fontId="20" fillId="0" borderId="9" xfId="0" applyNumberFormat="1" applyFont="1" applyFill="1" applyBorder="1" applyAlignment="1">
      <alignment horizontal="left" vertical="center"/>
    </xf>
    <xf numFmtId="167" fontId="20" fillId="0" borderId="10" xfId="0" applyNumberFormat="1" applyFont="1" applyFill="1" applyBorder="1" applyAlignment="1">
      <alignment horizontal="left" vertical="center"/>
    </xf>
    <xf numFmtId="167" fontId="16" fillId="4" borderId="9" xfId="0" applyNumberFormat="1" applyFont="1" applyFill="1" applyBorder="1" applyAlignment="1">
      <alignment horizontal="center" vertical="center" wrapText="1"/>
    </xf>
    <xf numFmtId="1" fontId="18" fillId="0" borderId="3" xfId="0" applyNumberFormat="1" applyFont="1" applyFill="1" applyBorder="1" applyAlignment="1" applyProtection="1">
      <alignment horizontal="center" vertical="top" wrapText="1"/>
      <protection locked="0"/>
    </xf>
    <xf numFmtId="167" fontId="16" fillId="0" borderId="3" xfId="0" applyNumberFormat="1" applyFont="1" applyFill="1" applyBorder="1" applyAlignment="1">
      <alignment horizontal="left" vertical="center" wrapText="1"/>
    </xf>
    <xf numFmtId="0" fontId="81" fillId="2" borderId="41" xfId="2" applyFont="1" applyFill="1" applyBorder="1" applyAlignment="1" applyProtection="1">
      <alignment horizontal="center" vertical="center" wrapText="1"/>
    </xf>
    <xf numFmtId="0" fontId="81" fillId="2" borderId="42" xfId="2" applyFont="1" applyFill="1" applyBorder="1" applyAlignment="1" applyProtection="1">
      <alignment horizontal="center" vertical="center" wrapText="1"/>
    </xf>
    <xf numFmtId="0" fontId="81" fillId="2" borderId="43" xfId="2" applyFont="1" applyFill="1" applyBorder="1" applyAlignment="1" applyProtection="1">
      <alignment horizontal="center" vertical="center" wrapText="1"/>
    </xf>
    <xf numFmtId="0" fontId="73" fillId="2" borderId="41" xfId="2" applyFont="1" applyFill="1" applyBorder="1" applyAlignment="1" applyProtection="1">
      <alignment horizontal="center" vertical="center" wrapText="1"/>
    </xf>
    <xf numFmtId="0" fontId="73" fillId="2" borderId="42" xfId="2" applyFont="1" applyFill="1" applyBorder="1" applyAlignment="1" applyProtection="1">
      <alignment horizontal="center" vertical="center" wrapText="1"/>
    </xf>
    <xf numFmtId="0" fontId="73" fillId="2" borderId="43" xfId="2" applyFont="1" applyFill="1" applyBorder="1" applyAlignment="1" applyProtection="1">
      <alignment horizontal="center" vertical="center" wrapText="1"/>
    </xf>
    <xf numFmtId="167" fontId="20" fillId="4" borderId="9" xfId="0" applyNumberFormat="1" applyFont="1" applyFill="1" applyBorder="1" applyAlignment="1">
      <alignment horizontal="center" vertical="center" wrapText="1"/>
    </xf>
    <xf numFmtId="167" fontId="16" fillId="3" borderId="9" xfId="0" applyNumberFormat="1" applyFont="1" applyFill="1" applyBorder="1" applyAlignment="1">
      <alignment horizontal="center" vertical="center" wrapText="1"/>
    </xf>
    <xf numFmtId="0" fontId="74" fillId="2" borderId="0" xfId="2" applyFont="1" applyFill="1" applyBorder="1" applyAlignment="1" applyProtection="1">
      <alignment horizontal="center" vertical="center" wrapText="1"/>
    </xf>
    <xf numFmtId="167" fontId="20" fillId="0" borderId="8" xfId="0" applyNumberFormat="1" applyFont="1" applyFill="1" applyBorder="1" applyAlignment="1">
      <alignment horizontal="center" vertical="center" wrapText="1"/>
    </xf>
    <xf numFmtId="167" fontId="20" fillId="0" borderId="9" xfId="0" applyNumberFormat="1" applyFont="1" applyFill="1" applyBorder="1" applyAlignment="1">
      <alignment horizontal="center" vertical="center" wrapText="1"/>
    </xf>
    <xf numFmtId="167" fontId="20" fillId="0" borderId="10" xfId="0" applyNumberFormat="1" applyFont="1" applyFill="1" applyBorder="1" applyAlignment="1">
      <alignment horizontal="center" vertical="center" wrapText="1"/>
    </xf>
    <xf numFmtId="167" fontId="20" fillId="3" borderId="9" xfId="0" applyNumberFormat="1" applyFont="1" applyFill="1" applyBorder="1" applyAlignment="1">
      <alignment horizontal="center" vertical="center" wrapText="1"/>
    </xf>
    <xf numFmtId="167" fontId="16" fillId="3" borderId="8" xfId="0" applyNumberFormat="1" applyFont="1" applyFill="1" applyBorder="1" applyAlignment="1">
      <alignment horizontal="center" vertical="center"/>
    </xf>
    <xf numFmtId="167" fontId="16" fillId="3" borderId="9" xfId="0" applyNumberFormat="1" applyFont="1" applyFill="1" applyBorder="1" applyAlignment="1">
      <alignment horizontal="center" vertical="center"/>
    </xf>
    <xf numFmtId="167" fontId="16" fillId="3" borderId="10" xfId="0" applyNumberFormat="1" applyFont="1" applyFill="1" applyBorder="1" applyAlignment="1">
      <alignment horizontal="center" vertical="center"/>
    </xf>
    <xf numFmtId="0" fontId="29" fillId="0" borderId="8" xfId="0" applyFont="1" applyFill="1" applyBorder="1" applyAlignment="1">
      <alignment horizontal="left"/>
    </xf>
    <xf numFmtId="0" fontId="29" fillId="0" borderId="10" xfId="0" applyFont="1" applyFill="1" applyBorder="1" applyAlignment="1">
      <alignment horizontal="left"/>
    </xf>
    <xf numFmtId="167" fontId="16" fillId="3" borderId="8" xfId="0" applyNumberFormat="1" applyFont="1" applyFill="1" applyBorder="1" applyAlignment="1">
      <alignment horizontal="center" vertical="top" wrapText="1"/>
    </xf>
    <xf numFmtId="167" fontId="16" fillId="3" borderId="9" xfId="0" applyNumberFormat="1" applyFont="1" applyFill="1" applyBorder="1" applyAlignment="1">
      <alignment horizontal="center" vertical="top" wrapText="1"/>
    </xf>
    <xf numFmtId="167" fontId="16" fillId="3" borderId="10" xfId="0" applyNumberFormat="1" applyFont="1" applyFill="1" applyBorder="1" applyAlignment="1">
      <alignment horizontal="center" vertical="top" wrapText="1"/>
    </xf>
    <xf numFmtId="167" fontId="51" fillId="0" borderId="8" xfId="0" applyNumberFormat="1" applyFont="1" applyFill="1" applyBorder="1" applyAlignment="1">
      <alignment horizontal="center"/>
    </xf>
    <xf numFmtId="167" fontId="51" fillId="0" borderId="10" xfId="0" applyNumberFormat="1" applyFont="1" applyFill="1" applyBorder="1" applyAlignment="1">
      <alignment horizontal="center"/>
    </xf>
  </cellXfs>
  <cellStyles count="20">
    <cellStyle name="Köprü" xfId="2" builtinId="8"/>
    <cellStyle name="Normal" xfId="0" builtinId="0"/>
    <cellStyle name="Normal 2" xfId="3"/>
    <cellStyle name="Normal 3" xfId="1"/>
    <cellStyle name="Normal 4" xfId="4"/>
    <cellStyle name="Normal 4 2" xfId="7"/>
    <cellStyle name="Normal 4 2 2" xfId="10"/>
    <cellStyle name="Normal 4 2 2 2" xfId="17"/>
    <cellStyle name="Normal 4 2 3" xfId="14"/>
    <cellStyle name="Normal 4 3" xfId="8"/>
    <cellStyle name="Normal 4 3 2" xfId="15"/>
    <cellStyle name="Normal 4 4" xfId="12"/>
    <cellStyle name="Normal 5" xfId="6"/>
    <cellStyle name="Normal 6" xfId="5"/>
    <cellStyle name="Normal 6 2" xfId="9"/>
    <cellStyle name="Normal 6 2 2" xfId="16"/>
    <cellStyle name="Normal 6 3" xfId="13"/>
    <cellStyle name="ParaBirimi" xfId="19" builtinId="4"/>
    <cellStyle name="Virgül" xfId="18" builtinId="3"/>
    <cellStyle name="Virgül 2" xfId="11"/>
  </cellStyles>
  <dxfs count="0"/>
  <tableStyles count="0" defaultTableStyle="TableStyleMedium2" defaultPivotStyle="PivotStyleLight16"/>
  <colors>
    <mruColors>
      <color rgb="FFFF5050"/>
      <color rgb="FFCBCBCB"/>
      <color rgb="FFFFCC99"/>
      <color rgb="FF000000"/>
      <color rgb="FFFF53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38" Type="http://schemas.openxmlformats.org/officeDocument/2006/relationships/worksheet" Target="worksheets/sheet138.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144" Type="http://schemas.openxmlformats.org/officeDocument/2006/relationships/worksheet" Target="worksheets/sheet144.xml"/><Relationship Id="rId149" Type="http://schemas.openxmlformats.org/officeDocument/2006/relationships/sharedStrings" Target="sharedString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worksheet" Target="worksheets/sheet103.xml"/><Relationship Id="rId108" Type="http://schemas.openxmlformats.org/officeDocument/2006/relationships/worksheet" Target="worksheets/sheet108.xml"/><Relationship Id="rId116" Type="http://schemas.openxmlformats.org/officeDocument/2006/relationships/worksheet" Target="worksheets/sheet116.xml"/><Relationship Id="rId124" Type="http://schemas.openxmlformats.org/officeDocument/2006/relationships/worksheet" Target="worksheets/sheet124.xml"/><Relationship Id="rId129" Type="http://schemas.openxmlformats.org/officeDocument/2006/relationships/worksheet" Target="worksheets/sheet129.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11" Type="http://schemas.openxmlformats.org/officeDocument/2006/relationships/worksheet" Target="worksheets/sheet111.xml"/><Relationship Id="rId132" Type="http://schemas.openxmlformats.org/officeDocument/2006/relationships/worksheet" Target="worksheets/sheet132.xml"/><Relationship Id="rId140" Type="http://schemas.openxmlformats.org/officeDocument/2006/relationships/worksheet" Target="worksheets/sheet140.xml"/><Relationship Id="rId145" Type="http://schemas.openxmlformats.org/officeDocument/2006/relationships/worksheet" Target="worksheets/sheet14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worksheet" Target="worksheets/sheet114.xml"/><Relationship Id="rId119" Type="http://schemas.openxmlformats.org/officeDocument/2006/relationships/worksheet" Target="worksheets/sheet119.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30" Type="http://schemas.openxmlformats.org/officeDocument/2006/relationships/worksheet" Target="worksheets/sheet130.xml"/><Relationship Id="rId135" Type="http://schemas.openxmlformats.org/officeDocument/2006/relationships/worksheet" Target="worksheets/sheet135.xml"/><Relationship Id="rId143" Type="http://schemas.openxmlformats.org/officeDocument/2006/relationships/worksheet" Target="worksheets/sheet143.xml"/><Relationship Id="rId14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95250</xdr:colOff>
      <xdr:row>29</xdr:row>
      <xdr:rowOff>209550</xdr:rowOff>
    </xdr:from>
    <xdr:to>
      <xdr:col>20</xdr:col>
      <xdr:colOff>476250</xdr:colOff>
      <xdr:row>42</xdr:row>
      <xdr:rowOff>4559</xdr:rowOff>
    </xdr:to>
    <xdr:pic>
      <xdr:nvPicPr>
        <xdr:cNvPr id="2" name="Resim 1">
          <a:extLst>
            <a:ext uri="{FF2B5EF4-FFF2-40B4-BE49-F238E27FC236}">
              <a16:creationId xmlns:a16="http://schemas.microsoft.com/office/drawing/2014/main" xmlns="" id="{64680CD2-29CC-4362-AA86-DD31D54E41A8}"/>
            </a:ext>
          </a:extLst>
        </xdr:cNvPr>
        <xdr:cNvPicPr>
          <a:picLocks noChangeAspect="1"/>
        </xdr:cNvPicPr>
      </xdr:nvPicPr>
      <xdr:blipFill>
        <a:blip xmlns:r="http://schemas.openxmlformats.org/officeDocument/2006/relationships" r:embed="rId1"/>
        <a:stretch>
          <a:fillRect/>
        </a:stretch>
      </xdr:blipFill>
      <xdr:spPr>
        <a:xfrm>
          <a:off x="13173075" y="6962775"/>
          <a:ext cx="3667125" cy="2890634"/>
        </a:xfrm>
        <a:prstGeom prst="rect">
          <a:avLst/>
        </a:prstGeom>
      </xdr:spPr>
    </xdr:pic>
    <xdr:clientData/>
  </xdr:twoCellAnchor>
  <xdr:twoCellAnchor editAs="oneCell">
    <xdr:from>
      <xdr:col>15</xdr:col>
      <xdr:colOff>0</xdr:colOff>
      <xdr:row>43</xdr:row>
      <xdr:rowOff>0</xdr:rowOff>
    </xdr:from>
    <xdr:to>
      <xdr:col>24</xdr:col>
      <xdr:colOff>429510</xdr:colOff>
      <xdr:row>49</xdr:row>
      <xdr:rowOff>162144</xdr:rowOff>
    </xdr:to>
    <xdr:pic>
      <xdr:nvPicPr>
        <xdr:cNvPr id="3" name="Resim 2">
          <a:extLst>
            <a:ext uri="{FF2B5EF4-FFF2-40B4-BE49-F238E27FC236}">
              <a16:creationId xmlns:a16="http://schemas.microsoft.com/office/drawing/2014/main" xmlns="" id="{259875C3-5404-4B82-993A-2C28265413FF}"/>
            </a:ext>
          </a:extLst>
        </xdr:cNvPr>
        <xdr:cNvPicPr>
          <a:picLocks noChangeAspect="1"/>
        </xdr:cNvPicPr>
      </xdr:nvPicPr>
      <xdr:blipFill>
        <a:blip xmlns:r="http://schemas.openxmlformats.org/officeDocument/2006/relationships" r:embed="rId2"/>
        <a:stretch>
          <a:fillRect/>
        </a:stretch>
      </xdr:blipFill>
      <xdr:spPr>
        <a:xfrm>
          <a:off x="13077825" y="10086975"/>
          <a:ext cx="6344535" cy="1571844"/>
        </a:xfrm>
        <a:prstGeom prst="rect">
          <a:avLst/>
        </a:prstGeom>
      </xdr:spPr>
    </xdr:pic>
    <xdr:clientData/>
  </xdr:twoCellAnchor>
  <xdr:twoCellAnchor editAs="oneCell">
    <xdr:from>
      <xdr:col>15</xdr:col>
      <xdr:colOff>66675</xdr:colOff>
      <xdr:row>50</xdr:row>
      <xdr:rowOff>0</xdr:rowOff>
    </xdr:from>
    <xdr:to>
      <xdr:col>24</xdr:col>
      <xdr:colOff>591449</xdr:colOff>
      <xdr:row>56</xdr:row>
      <xdr:rowOff>171673</xdr:rowOff>
    </xdr:to>
    <xdr:pic>
      <xdr:nvPicPr>
        <xdr:cNvPr id="4" name="Resim 3">
          <a:extLst>
            <a:ext uri="{FF2B5EF4-FFF2-40B4-BE49-F238E27FC236}">
              <a16:creationId xmlns:a16="http://schemas.microsoft.com/office/drawing/2014/main" xmlns="" id="{802734F4-9710-4992-8076-297E2484C15C}"/>
            </a:ext>
          </a:extLst>
        </xdr:cNvPr>
        <xdr:cNvPicPr>
          <a:picLocks noChangeAspect="1"/>
        </xdr:cNvPicPr>
      </xdr:nvPicPr>
      <xdr:blipFill>
        <a:blip xmlns:r="http://schemas.openxmlformats.org/officeDocument/2006/relationships" r:embed="rId3"/>
        <a:stretch>
          <a:fillRect/>
        </a:stretch>
      </xdr:blipFill>
      <xdr:spPr>
        <a:xfrm>
          <a:off x="13144500" y="11753850"/>
          <a:ext cx="6439799" cy="1600423"/>
        </a:xfrm>
        <a:prstGeom prst="rect">
          <a:avLst/>
        </a:prstGeom>
      </xdr:spPr>
    </xdr:pic>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ayfa2">
    <tabColor rgb="FF00B050"/>
    <pageSetUpPr fitToPage="1"/>
  </sheetPr>
  <dimension ref="A1:Z146"/>
  <sheetViews>
    <sheetView tabSelected="1" zoomScale="96" zoomScaleNormal="96" workbookViewId="0">
      <pane ySplit="1" topLeftCell="A2" activePane="bottomLeft" state="frozen"/>
      <selection pane="bottomLeft" activeCell="H148" sqref="A1:H148"/>
    </sheetView>
  </sheetViews>
  <sheetFormatPr defaultColWidth="8.42578125" defaultRowHeight="18.95" customHeight="1" x14ac:dyDescent="0.2"/>
  <cols>
    <col min="1" max="1" width="9" style="96" bestFit="1" customWidth="1"/>
    <col min="2" max="2" width="35.28515625" style="95" bestFit="1" customWidth="1"/>
    <col min="3" max="3" width="23.5703125" style="97" customWidth="1"/>
    <col min="4" max="4" width="18.42578125" style="95" bestFit="1" customWidth="1"/>
    <col min="5" max="5" width="14.140625" style="96" bestFit="1" customWidth="1"/>
    <col min="6" max="6" width="13.5703125" style="95" customWidth="1"/>
    <col min="7" max="7" width="13.5703125" style="96" customWidth="1"/>
    <col min="8" max="9" width="8.28515625" style="96" customWidth="1"/>
    <col min="10" max="13" width="9.85546875" style="95" customWidth="1"/>
    <col min="14" max="14" width="7.5703125" style="95" bestFit="1" customWidth="1"/>
    <col min="15" max="24" width="9.85546875" style="95" customWidth="1"/>
    <col min="25" max="27" width="10.85546875" style="95" customWidth="1"/>
    <col min="28" max="16384" width="8.42578125" style="95"/>
  </cols>
  <sheetData>
    <row r="1" spans="1:26" ht="30" customHeight="1" thickBot="1" x14ac:dyDescent="0.25">
      <c r="A1" s="354" t="s">
        <v>896</v>
      </c>
      <c r="B1" s="354" t="s">
        <v>449</v>
      </c>
      <c r="C1" s="354" t="s">
        <v>131</v>
      </c>
      <c r="D1" s="354" t="s">
        <v>138</v>
      </c>
      <c r="E1" s="354" t="s">
        <v>120</v>
      </c>
      <c r="F1" s="354" t="s">
        <v>130</v>
      </c>
      <c r="G1" s="354" t="s">
        <v>128</v>
      </c>
      <c r="H1" s="163"/>
      <c r="I1" s="563"/>
    </row>
    <row r="2" spans="1:26" ht="18.600000000000001" customHeight="1" x14ac:dyDescent="0.2">
      <c r="A2" s="220">
        <v>1</v>
      </c>
      <c r="B2" s="575" t="s">
        <v>132</v>
      </c>
      <c r="C2" s="576" t="s">
        <v>153</v>
      </c>
      <c r="D2" s="577">
        <v>41578181364</v>
      </c>
      <c r="E2" s="578">
        <v>43654</v>
      </c>
      <c r="F2" s="579">
        <v>25651</v>
      </c>
      <c r="G2" s="580">
        <f>'1'!I41</f>
        <v>24</v>
      </c>
      <c r="H2" s="164"/>
      <c r="I2" s="1098" t="s">
        <v>486</v>
      </c>
      <c r="J2" s="1099"/>
      <c r="K2" s="1099"/>
      <c r="L2" s="1099"/>
      <c r="M2" s="1099"/>
      <c r="N2" s="1099"/>
      <c r="O2" s="1099"/>
      <c r="P2" s="1099"/>
      <c r="Q2" s="1099"/>
      <c r="R2" s="1099"/>
      <c r="S2" s="1099"/>
      <c r="T2" s="1099"/>
      <c r="U2" s="1099"/>
      <c r="V2" s="1099"/>
      <c r="W2" s="1099"/>
      <c r="X2" s="1099"/>
      <c r="Y2" s="1099"/>
      <c r="Z2" s="1100"/>
    </row>
    <row r="3" spans="1:26" ht="18.600000000000001" customHeight="1" x14ac:dyDescent="0.2">
      <c r="A3" s="588" t="s">
        <v>139</v>
      </c>
      <c r="B3" s="575" t="s">
        <v>140</v>
      </c>
      <c r="C3" s="576" t="s">
        <v>141</v>
      </c>
      <c r="D3" s="589">
        <v>16702793522</v>
      </c>
      <c r="E3" s="578">
        <v>43281</v>
      </c>
      <c r="F3" s="579">
        <v>21886</v>
      </c>
      <c r="G3" s="580">
        <f>'2'!H40</f>
        <v>95.5</v>
      </c>
      <c r="H3" s="164"/>
      <c r="I3" s="1101"/>
      <c r="J3" s="1102"/>
      <c r="K3" s="1102"/>
      <c r="L3" s="1102"/>
      <c r="M3" s="1102"/>
      <c r="N3" s="1102"/>
      <c r="O3" s="1102"/>
      <c r="P3" s="1102"/>
      <c r="Q3" s="1102"/>
      <c r="R3" s="1102"/>
      <c r="S3" s="1102"/>
      <c r="T3" s="1102"/>
      <c r="U3" s="1102"/>
      <c r="V3" s="1102"/>
      <c r="W3" s="1102"/>
      <c r="X3" s="1102"/>
      <c r="Y3" s="1102"/>
      <c r="Z3" s="1103"/>
    </row>
    <row r="4" spans="1:26" ht="18.600000000000001" customHeight="1" x14ac:dyDescent="0.2">
      <c r="A4" s="588" t="s">
        <v>149</v>
      </c>
      <c r="B4" s="575" t="s">
        <v>150</v>
      </c>
      <c r="C4" s="576" t="s">
        <v>148</v>
      </c>
      <c r="D4" s="577">
        <v>67282150540</v>
      </c>
      <c r="E4" s="578">
        <v>41075</v>
      </c>
      <c r="F4" s="579">
        <v>24899</v>
      </c>
      <c r="G4" s="580">
        <f>'3'!H73</f>
        <v>77</v>
      </c>
      <c r="H4" s="164"/>
      <c r="I4" s="1101"/>
      <c r="J4" s="1102"/>
      <c r="K4" s="1102"/>
      <c r="L4" s="1102"/>
      <c r="M4" s="1102"/>
      <c r="N4" s="1102"/>
      <c r="O4" s="1102"/>
      <c r="P4" s="1102"/>
      <c r="Q4" s="1102"/>
      <c r="R4" s="1102"/>
      <c r="S4" s="1102"/>
      <c r="T4" s="1102"/>
      <c r="U4" s="1102"/>
      <c r="V4" s="1102"/>
      <c r="W4" s="1102"/>
      <c r="X4" s="1102"/>
      <c r="Y4" s="1102"/>
      <c r="Z4" s="1103"/>
    </row>
    <row r="5" spans="1:26" ht="18.600000000000001" customHeight="1" x14ac:dyDescent="0.2">
      <c r="A5" s="616" t="s">
        <v>151</v>
      </c>
      <c r="B5" s="575" t="s">
        <v>970</v>
      </c>
      <c r="C5" s="611" t="s">
        <v>153</v>
      </c>
      <c r="D5" s="612">
        <v>31268318552</v>
      </c>
      <c r="E5" s="613">
        <v>46078</v>
      </c>
      <c r="F5" s="614">
        <v>36392</v>
      </c>
      <c r="G5" s="615">
        <f>'4'!H35</f>
        <v>-1</v>
      </c>
      <c r="H5" s="164"/>
      <c r="I5" s="1101"/>
      <c r="J5" s="1102"/>
      <c r="K5" s="1102"/>
      <c r="L5" s="1102"/>
      <c r="M5" s="1102"/>
      <c r="N5" s="1102"/>
      <c r="O5" s="1102"/>
      <c r="P5" s="1102"/>
      <c r="Q5" s="1102"/>
      <c r="R5" s="1102"/>
      <c r="S5" s="1102"/>
      <c r="T5" s="1102"/>
      <c r="U5" s="1102"/>
      <c r="V5" s="1102"/>
      <c r="W5" s="1102"/>
      <c r="X5" s="1102"/>
      <c r="Y5" s="1102"/>
      <c r="Z5" s="1103"/>
    </row>
    <row r="6" spans="1:26" ht="18.600000000000001" customHeight="1" x14ac:dyDescent="0.2">
      <c r="A6" s="588" t="s">
        <v>92</v>
      </c>
      <c r="B6" s="575" t="s">
        <v>152</v>
      </c>
      <c r="C6" s="576" t="s">
        <v>153</v>
      </c>
      <c r="D6" s="589">
        <v>23270269090</v>
      </c>
      <c r="E6" s="592">
        <v>44355</v>
      </c>
      <c r="F6" s="593">
        <v>24001</v>
      </c>
      <c r="G6" s="580">
        <f>'5'!H40</f>
        <v>32</v>
      </c>
      <c r="H6" s="164"/>
      <c r="I6" s="1101"/>
      <c r="J6" s="1102"/>
      <c r="K6" s="1102"/>
      <c r="L6" s="1102"/>
      <c r="M6" s="1102"/>
      <c r="N6" s="1102"/>
      <c r="O6" s="1102"/>
      <c r="P6" s="1102"/>
      <c r="Q6" s="1102"/>
      <c r="R6" s="1102"/>
      <c r="S6" s="1102"/>
      <c r="T6" s="1102"/>
      <c r="U6" s="1102"/>
      <c r="V6" s="1102"/>
      <c r="W6" s="1102"/>
      <c r="X6" s="1102"/>
      <c r="Y6" s="1102"/>
      <c r="Z6" s="1103"/>
    </row>
    <row r="7" spans="1:26" ht="18.600000000000001" customHeight="1" x14ac:dyDescent="0.2">
      <c r="A7" s="588" t="s">
        <v>175</v>
      </c>
      <c r="B7" s="575" t="s">
        <v>174</v>
      </c>
      <c r="C7" s="576" t="s">
        <v>337</v>
      </c>
      <c r="D7" s="589">
        <v>11517017542</v>
      </c>
      <c r="E7" s="578">
        <v>41288</v>
      </c>
      <c r="F7" s="593">
        <v>30225</v>
      </c>
      <c r="G7" s="580">
        <f>'6'!H38</f>
        <v>95</v>
      </c>
      <c r="H7" s="164"/>
      <c r="I7" s="1101"/>
      <c r="J7" s="1102"/>
      <c r="K7" s="1102"/>
      <c r="L7" s="1102"/>
      <c r="M7" s="1102"/>
      <c r="N7" s="1102"/>
      <c r="O7" s="1102"/>
      <c r="P7" s="1102"/>
      <c r="Q7" s="1102"/>
      <c r="R7" s="1102"/>
      <c r="S7" s="1102"/>
      <c r="T7" s="1102"/>
      <c r="U7" s="1102"/>
      <c r="V7" s="1102"/>
      <c r="W7" s="1102"/>
      <c r="X7" s="1102"/>
      <c r="Y7" s="1102"/>
      <c r="Z7" s="1103"/>
    </row>
    <row r="8" spans="1:26" ht="18.600000000000001" customHeight="1" x14ac:dyDescent="0.2">
      <c r="A8" s="588" t="s">
        <v>176</v>
      </c>
      <c r="B8" s="575" t="s">
        <v>178</v>
      </c>
      <c r="C8" s="576" t="s">
        <v>177</v>
      </c>
      <c r="D8" s="577">
        <v>52795285216</v>
      </c>
      <c r="E8" s="578">
        <v>43745</v>
      </c>
      <c r="F8" s="579">
        <v>22335</v>
      </c>
      <c r="G8" s="580">
        <f>'7'!H53</f>
        <v>-14.5</v>
      </c>
      <c r="H8" s="164"/>
      <c r="I8" s="1101"/>
      <c r="J8" s="1102"/>
      <c r="K8" s="1102"/>
      <c r="L8" s="1102"/>
      <c r="M8" s="1102"/>
      <c r="N8" s="1102"/>
      <c r="O8" s="1102"/>
      <c r="P8" s="1102"/>
      <c r="Q8" s="1102"/>
      <c r="R8" s="1102"/>
      <c r="S8" s="1102"/>
      <c r="T8" s="1102"/>
      <c r="U8" s="1102"/>
      <c r="V8" s="1102"/>
      <c r="W8" s="1102"/>
      <c r="X8" s="1102"/>
      <c r="Y8" s="1102"/>
      <c r="Z8" s="1103"/>
    </row>
    <row r="9" spans="1:26" ht="18.600000000000001" customHeight="1" x14ac:dyDescent="0.2">
      <c r="A9" s="616" t="s">
        <v>181</v>
      </c>
      <c r="B9" s="575" t="s">
        <v>182</v>
      </c>
      <c r="C9" s="611" t="s">
        <v>361</v>
      </c>
      <c r="D9" s="612">
        <v>19895542946</v>
      </c>
      <c r="E9" s="613">
        <v>44372</v>
      </c>
      <c r="F9" s="614">
        <v>25692</v>
      </c>
      <c r="G9" s="615">
        <f>'8'!H30</f>
        <v>35.5</v>
      </c>
      <c r="H9" s="164"/>
      <c r="I9" s="1101"/>
      <c r="J9" s="1102"/>
      <c r="K9" s="1102"/>
      <c r="L9" s="1102"/>
      <c r="M9" s="1102"/>
      <c r="N9" s="1102"/>
      <c r="O9" s="1102"/>
      <c r="P9" s="1102"/>
      <c r="Q9" s="1102"/>
      <c r="R9" s="1102"/>
      <c r="S9" s="1102"/>
      <c r="T9" s="1102"/>
      <c r="U9" s="1102"/>
      <c r="V9" s="1102"/>
      <c r="W9" s="1102"/>
      <c r="X9" s="1102"/>
      <c r="Y9" s="1102"/>
      <c r="Z9" s="1103"/>
    </row>
    <row r="10" spans="1:26" ht="18.600000000000001" customHeight="1" x14ac:dyDescent="0.2">
      <c r="A10" s="616" t="s">
        <v>186</v>
      </c>
      <c r="B10" s="575" t="s">
        <v>187</v>
      </c>
      <c r="C10" s="611" t="s">
        <v>188</v>
      </c>
      <c r="D10" s="612">
        <v>13235872786</v>
      </c>
      <c r="E10" s="613">
        <v>42873</v>
      </c>
      <c r="F10" s="614">
        <v>30453</v>
      </c>
      <c r="G10" s="615">
        <f>'9'!H32</f>
        <v>85</v>
      </c>
      <c r="H10" s="164"/>
      <c r="I10" s="1101"/>
      <c r="J10" s="1102"/>
      <c r="K10" s="1102"/>
      <c r="L10" s="1102"/>
      <c r="M10" s="1102"/>
      <c r="N10" s="1102"/>
      <c r="O10" s="1102"/>
      <c r="P10" s="1102"/>
      <c r="Q10" s="1102"/>
      <c r="R10" s="1102"/>
      <c r="S10" s="1102"/>
      <c r="T10" s="1102"/>
      <c r="U10" s="1102"/>
      <c r="V10" s="1102"/>
      <c r="W10" s="1102"/>
      <c r="X10" s="1102"/>
      <c r="Y10" s="1102"/>
      <c r="Z10" s="1103"/>
    </row>
    <row r="11" spans="1:26" ht="18.600000000000001" customHeight="1" x14ac:dyDescent="0.2">
      <c r="A11" s="616" t="s">
        <v>192</v>
      </c>
      <c r="B11" s="575" t="s">
        <v>954</v>
      </c>
      <c r="C11" s="611" t="s">
        <v>669</v>
      </c>
      <c r="D11" s="612">
        <v>39382583696</v>
      </c>
      <c r="E11" s="613">
        <v>45870</v>
      </c>
      <c r="F11" s="614">
        <v>39326</v>
      </c>
      <c r="G11" s="615">
        <f>'10'!H47</f>
        <v>-1</v>
      </c>
      <c r="H11" s="164"/>
      <c r="I11" s="1101"/>
      <c r="J11" s="1102"/>
      <c r="K11" s="1102"/>
      <c r="L11" s="1102"/>
      <c r="M11" s="1102"/>
      <c r="N11" s="1102"/>
      <c r="O11" s="1102"/>
      <c r="P11" s="1102"/>
      <c r="Q11" s="1102"/>
      <c r="R11" s="1102"/>
      <c r="S11" s="1102"/>
      <c r="T11" s="1102"/>
      <c r="U11" s="1102"/>
      <c r="V11" s="1102"/>
      <c r="W11" s="1102"/>
      <c r="X11" s="1102"/>
      <c r="Y11" s="1102"/>
      <c r="Z11" s="1103"/>
    </row>
    <row r="12" spans="1:26" ht="18.600000000000001" customHeight="1" x14ac:dyDescent="0.2">
      <c r="A12" s="616" t="s">
        <v>193</v>
      </c>
      <c r="B12" s="575" t="s">
        <v>194</v>
      </c>
      <c r="C12" s="611" t="s">
        <v>373</v>
      </c>
      <c r="D12" s="612">
        <v>38564093244</v>
      </c>
      <c r="E12" s="613">
        <v>44196</v>
      </c>
      <c r="F12" s="614">
        <v>24504</v>
      </c>
      <c r="G12" s="615">
        <f>'11'!H36</f>
        <v>38.5</v>
      </c>
      <c r="H12" s="164"/>
      <c r="I12" s="1101"/>
      <c r="J12" s="1102"/>
      <c r="K12" s="1102"/>
      <c r="L12" s="1102"/>
      <c r="M12" s="1102"/>
      <c r="N12" s="1102"/>
      <c r="O12" s="1102"/>
      <c r="P12" s="1102"/>
      <c r="Q12" s="1102"/>
      <c r="R12" s="1102"/>
      <c r="S12" s="1102"/>
      <c r="T12" s="1102"/>
      <c r="U12" s="1102"/>
      <c r="V12" s="1102"/>
      <c r="W12" s="1102"/>
      <c r="X12" s="1102"/>
      <c r="Y12" s="1102"/>
      <c r="Z12" s="1103"/>
    </row>
    <row r="13" spans="1:26" ht="18.600000000000001" customHeight="1" x14ac:dyDescent="0.2">
      <c r="A13" s="588" t="s">
        <v>203</v>
      </c>
      <c r="B13" s="575" t="s">
        <v>556</v>
      </c>
      <c r="C13" s="576" t="s">
        <v>557</v>
      </c>
      <c r="D13" s="577">
        <v>49729730652</v>
      </c>
      <c r="E13" s="578">
        <v>45170</v>
      </c>
      <c r="F13" s="579">
        <v>27708</v>
      </c>
      <c r="G13" s="580">
        <f>'12'!H29</f>
        <v>-4.5</v>
      </c>
      <c r="H13" s="164"/>
      <c r="I13" s="1101"/>
      <c r="J13" s="1102"/>
      <c r="K13" s="1102"/>
      <c r="L13" s="1102"/>
      <c r="M13" s="1102"/>
      <c r="N13" s="1102"/>
      <c r="O13" s="1102"/>
      <c r="P13" s="1102"/>
      <c r="Q13" s="1102"/>
      <c r="R13" s="1102"/>
      <c r="S13" s="1102"/>
      <c r="T13" s="1102"/>
      <c r="U13" s="1102"/>
      <c r="V13" s="1102"/>
      <c r="W13" s="1102"/>
      <c r="X13" s="1102"/>
      <c r="Y13" s="1102"/>
      <c r="Z13" s="1103"/>
    </row>
    <row r="14" spans="1:26" ht="18.600000000000001" customHeight="1" x14ac:dyDescent="0.2">
      <c r="A14" s="823" t="s">
        <v>204</v>
      </c>
      <c r="B14" s="815" t="s">
        <v>643</v>
      </c>
      <c r="C14" s="816" t="s">
        <v>644</v>
      </c>
      <c r="D14" s="817">
        <v>45814447276</v>
      </c>
      <c r="E14" s="818">
        <v>45527</v>
      </c>
      <c r="F14" s="819">
        <v>27507</v>
      </c>
      <c r="G14" s="820">
        <f>'13'!H36</f>
        <v>9</v>
      </c>
      <c r="H14" s="164"/>
      <c r="I14" s="1101"/>
      <c r="J14" s="1102"/>
      <c r="K14" s="1102"/>
      <c r="L14" s="1102"/>
      <c r="M14" s="1102"/>
      <c r="N14" s="1102"/>
      <c r="O14" s="1102"/>
      <c r="P14" s="1102"/>
      <c r="Q14" s="1102"/>
      <c r="R14" s="1102"/>
      <c r="S14" s="1102"/>
      <c r="T14" s="1102"/>
      <c r="U14" s="1102"/>
      <c r="V14" s="1102"/>
      <c r="W14" s="1102"/>
      <c r="X14" s="1102"/>
      <c r="Y14" s="1102"/>
      <c r="Z14" s="1103"/>
    </row>
    <row r="15" spans="1:26" ht="18.600000000000001" customHeight="1" x14ac:dyDescent="0.2">
      <c r="A15" s="823" t="s">
        <v>205</v>
      </c>
      <c r="B15" s="815" t="s">
        <v>214</v>
      </c>
      <c r="C15" s="816" t="s">
        <v>191</v>
      </c>
      <c r="D15" s="817">
        <v>50626705742</v>
      </c>
      <c r="E15" s="818">
        <v>41477</v>
      </c>
      <c r="F15" s="819">
        <v>26104</v>
      </c>
      <c r="G15" s="820">
        <f>'14'!H36</f>
        <v>19</v>
      </c>
      <c r="H15" s="164"/>
      <c r="I15" s="1101"/>
      <c r="J15" s="1102"/>
      <c r="K15" s="1102"/>
      <c r="L15" s="1102"/>
      <c r="M15" s="1102"/>
      <c r="N15" s="1102"/>
      <c r="O15" s="1102"/>
      <c r="P15" s="1102"/>
      <c r="Q15" s="1102"/>
      <c r="R15" s="1102"/>
      <c r="S15" s="1102"/>
      <c r="T15" s="1102"/>
      <c r="U15" s="1102"/>
      <c r="V15" s="1102"/>
      <c r="W15" s="1102"/>
      <c r="X15" s="1102"/>
      <c r="Y15" s="1102"/>
      <c r="Z15" s="1103"/>
    </row>
    <row r="16" spans="1:26" ht="18.600000000000001" customHeight="1" x14ac:dyDescent="0.2">
      <c r="A16" s="616" t="s">
        <v>207</v>
      </c>
      <c r="B16" s="575" t="s">
        <v>651</v>
      </c>
      <c r="C16" s="611" t="s">
        <v>652</v>
      </c>
      <c r="D16" s="612">
        <v>10017059328</v>
      </c>
      <c r="E16" s="818">
        <v>45477</v>
      </c>
      <c r="F16" s="614">
        <v>33492</v>
      </c>
      <c r="G16" s="615">
        <f>'15'!H33</f>
        <v>4</v>
      </c>
      <c r="H16" s="164"/>
      <c r="I16" s="1101"/>
      <c r="J16" s="1102"/>
      <c r="K16" s="1102"/>
      <c r="L16" s="1102"/>
      <c r="M16" s="1102"/>
      <c r="N16" s="1102"/>
      <c r="O16" s="1102"/>
      <c r="P16" s="1102"/>
      <c r="Q16" s="1102"/>
      <c r="R16" s="1102"/>
      <c r="S16" s="1102"/>
      <c r="T16" s="1102"/>
      <c r="U16" s="1102"/>
      <c r="V16" s="1102"/>
      <c r="W16" s="1102"/>
      <c r="X16" s="1102"/>
      <c r="Y16" s="1102"/>
      <c r="Z16" s="1103"/>
    </row>
    <row r="17" spans="1:26" ht="18.600000000000001" customHeight="1" x14ac:dyDescent="0.2">
      <c r="A17" s="616" t="s">
        <v>215</v>
      </c>
      <c r="B17" s="575" t="s">
        <v>210</v>
      </c>
      <c r="C17" s="611" t="s">
        <v>211</v>
      </c>
      <c r="D17" s="612">
        <v>40033015848</v>
      </c>
      <c r="E17" s="613">
        <v>44937</v>
      </c>
      <c r="F17" s="614">
        <v>30752</v>
      </c>
      <c r="G17" s="615">
        <f>'16'!H39</f>
        <v>29.5</v>
      </c>
      <c r="H17" s="165"/>
      <c r="I17" s="1101"/>
      <c r="J17" s="1102"/>
      <c r="K17" s="1102"/>
      <c r="L17" s="1102"/>
      <c r="M17" s="1102"/>
      <c r="N17" s="1102"/>
      <c r="O17" s="1102"/>
      <c r="P17" s="1102"/>
      <c r="Q17" s="1102"/>
      <c r="R17" s="1102"/>
      <c r="S17" s="1102"/>
      <c r="T17" s="1102"/>
      <c r="U17" s="1102"/>
      <c r="V17" s="1102"/>
      <c r="W17" s="1102"/>
      <c r="X17" s="1102"/>
      <c r="Y17" s="1102"/>
      <c r="Z17" s="1103"/>
    </row>
    <row r="18" spans="1:26" ht="18.600000000000001" customHeight="1" x14ac:dyDescent="0.2">
      <c r="A18" s="588" t="s">
        <v>216</v>
      </c>
      <c r="B18" s="575" t="s">
        <v>422</v>
      </c>
      <c r="C18" s="576" t="s">
        <v>141</v>
      </c>
      <c r="D18" s="577">
        <v>28546398634</v>
      </c>
      <c r="E18" s="578">
        <v>44928</v>
      </c>
      <c r="F18" s="579">
        <v>25461</v>
      </c>
      <c r="G18" s="580">
        <f>'17'!H37</f>
        <v>39</v>
      </c>
      <c r="H18" s="165"/>
      <c r="I18" s="1101"/>
      <c r="J18" s="1102"/>
      <c r="K18" s="1102"/>
      <c r="L18" s="1102"/>
      <c r="M18" s="1102"/>
      <c r="N18" s="1102"/>
      <c r="O18" s="1102"/>
      <c r="P18" s="1102"/>
      <c r="Q18" s="1102"/>
      <c r="R18" s="1102"/>
      <c r="S18" s="1102"/>
      <c r="T18" s="1102"/>
      <c r="U18" s="1102"/>
      <c r="V18" s="1102"/>
      <c r="W18" s="1102"/>
      <c r="X18" s="1102"/>
      <c r="Y18" s="1102"/>
      <c r="Z18" s="1103"/>
    </row>
    <row r="19" spans="1:26" ht="18.600000000000001" customHeight="1" thickBot="1" x14ac:dyDescent="0.25">
      <c r="A19" s="588" t="s">
        <v>217</v>
      </c>
      <c r="B19" s="575" t="s">
        <v>560</v>
      </c>
      <c r="C19" s="576" t="s">
        <v>153</v>
      </c>
      <c r="D19" s="577">
        <v>29221711892</v>
      </c>
      <c r="E19" s="578">
        <v>45434</v>
      </c>
      <c r="F19" s="579">
        <v>36442</v>
      </c>
      <c r="G19" s="580">
        <f>'18'!H31</f>
        <v>17</v>
      </c>
      <c r="H19" s="165"/>
      <c r="I19" s="1104"/>
      <c r="J19" s="1105"/>
      <c r="K19" s="1105"/>
      <c r="L19" s="1105"/>
      <c r="M19" s="1105"/>
      <c r="N19" s="1105"/>
      <c r="O19" s="1105"/>
      <c r="P19" s="1105"/>
      <c r="Q19" s="1105"/>
      <c r="R19" s="1105"/>
      <c r="S19" s="1105"/>
      <c r="T19" s="1105"/>
      <c r="U19" s="1105"/>
      <c r="V19" s="1105"/>
      <c r="W19" s="1105"/>
      <c r="X19" s="1105"/>
      <c r="Y19" s="1105"/>
      <c r="Z19" s="1106"/>
    </row>
    <row r="20" spans="1:26" ht="18.600000000000001" customHeight="1" thickBot="1" x14ac:dyDescent="0.25">
      <c r="A20" s="616" t="s">
        <v>218</v>
      </c>
      <c r="B20" s="575" t="s">
        <v>212</v>
      </c>
      <c r="C20" s="611" t="s">
        <v>213</v>
      </c>
      <c r="D20" s="612">
        <v>69652051396</v>
      </c>
      <c r="E20" s="613">
        <v>44601</v>
      </c>
      <c r="F20" s="614">
        <v>27792</v>
      </c>
      <c r="G20" s="615">
        <f>'19'!H30</f>
        <v>0.5</v>
      </c>
      <c r="H20" s="164"/>
      <c r="I20" s="226"/>
      <c r="J20" s="226"/>
      <c r="K20" s="226"/>
      <c r="L20" s="226"/>
      <c r="M20" s="226"/>
      <c r="N20" s="226"/>
      <c r="O20" s="226"/>
      <c r="P20" s="226"/>
      <c r="Q20" s="226"/>
      <c r="R20" s="226"/>
      <c r="S20" s="226"/>
      <c r="T20" s="226"/>
      <c r="U20" s="226"/>
      <c r="V20" s="226"/>
      <c r="W20" s="226"/>
      <c r="X20" s="226"/>
    </row>
    <row r="21" spans="1:26" ht="18.600000000000001" customHeight="1" x14ac:dyDescent="0.2">
      <c r="A21" s="616" t="s">
        <v>219</v>
      </c>
      <c r="B21" s="575" t="s">
        <v>209</v>
      </c>
      <c r="C21" s="611" t="s">
        <v>289</v>
      </c>
      <c r="D21" s="612">
        <v>28438730016</v>
      </c>
      <c r="E21" s="613">
        <v>44946</v>
      </c>
      <c r="F21" s="614">
        <v>28074</v>
      </c>
      <c r="G21" s="615">
        <f>'20'!H43</f>
        <v>11</v>
      </c>
      <c r="H21" s="164"/>
      <c r="I21" s="1115" t="s">
        <v>339</v>
      </c>
      <c r="J21" s="1108"/>
      <c r="K21" s="1108"/>
      <c r="L21" s="1108"/>
      <c r="M21" s="1108"/>
      <c r="N21" s="1108"/>
      <c r="O21" s="1116"/>
      <c r="P21" s="1107" t="s">
        <v>348</v>
      </c>
      <c r="Q21" s="1108"/>
      <c r="R21" s="1116"/>
      <c r="S21" s="1107" t="s">
        <v>353</v>
      </c>
      <c r="T21" s="1108"/>
      <c r="U21" s="1108"/>
      <c r="V21" s="1108"/>
      <c r="W21" s="1108"/>
      <c r="X21" s="1109"/>
    </row>
    <row r="22" spans="1:26" ht="18.600000000000001" customHeight="1" x14ac:dyDescent="0.2">
      <c r="A22" s="616" t="s">
        <v>220</v>
      </c>
      <c r="B22" s="575" t="s">
        <v>668</v>
      </c>
      <c r="C22" s="611" t="s">
        <v>669</v>
      </c>
      <c r="D22" s="612">
        <v>20473884860</v>
      </c>
      <c r="E22" s="613">
        <v>45568</v>
      </c>
      <c r="F22" s="614">
        <v>38058</v>
      </c>
      <c r="G22" s="615">
        <f>'21'!H35</f>
        <v>-4</v>
      </c>
      <c r="H22" s="164"/>
      <c r="I22" s="1113" t="s">
        <v>340</v>
      </c>
      <c r="J22" s="1111"/>
      <c r="K22" s="1111"/>
      <c r="L22" s="1111"/>
      <c r="M22" s="1111"/>
      <c r="N22" s="1111"/>
      <c r="O22" s="1114"/>
      <c r="P22" s="1110" t="s">
        <v>349</v>
      </c>
      <c r="Q22" s="1111"/>
      <c r="R22" s="1114"/>
      <c r="S22" s="1110" t="s">
        <v>354</v>
      </c>
      <c r="T22" s="1111"/>
      <c r="U22" s="1111"/>
      <c r="V22" s="1111"/>
      <c r="W22" s="1111"/>
      <c r="X22" s="1112"/>
    </row>
    <row r="23" spans="1:26" ht="18.600000000000001" customHeight="1" x14ac:dyDescent="0.2">
      <c r="A23" s="616" t="s">
        <v>221</v>
      </c>
      <c r="B23" s="575" t="s">
        <v>561</v>
      </c>
      <c r="C23" s="611" t="s">
        <v>141</v>
      </c>
      <c r="D23" s="612">
        <v>59386205738</v>
      </c>
      <c r="E23" s="613">
        <v>45418</v>
      </c>
      <c r="F23" s="614">
        <v>31973</v>
      </c>
      <c r="G23" s="615">
        <f>'22'!H40</f>
        <v>16</v>
      </c>
      <c r="H23" s="164"/>
      <c r="I23" s="1113" t="s">
        <v>347</v>
      </c>
      <c r="J23" s="1111"/>
      <c r="K23" s="1111"/>
      <c r="L23" s="1111"/>
      <c r="M23" s="1111"/>
      <c r="N23" s="1111"/>
      <c r="O23" s="1114"/>
      <c r="P23" s="1110" t="s">
        <v>350</v>
      </c>
      <c r="Q23" s="1111"/>
      <c r="R23" s="1114"/>
      <c r="S23" s="1110" t="s">
        <v>354</v>
      </c>
      <c r="T23" s="1111"/>
      <c r="U23" s="1111"/>
      <c r="V23" s="1111"/>
      <c r="W23" s="1111"/>
      <c r="X23" s="1112"/>
    </row>
    <row r="24" spans="1:26" ht="18.600000000000001" customHeight="1" x14ac:dyDescent="0.2">
      <c r="A24" s="823" t="s">
        <v>222</v>
      </c>
      <c r="B24" s="815" t="s">
        <v>578</v>
      </c>
      <c r="C24" s="816" t="s">
        <v>579</v>
      </c>
      <c r="D24" s="817">
        <v>39316375052</v>
      </c>
      <c r="E24" s="818">
        <v>45404</v>
      </c>
      <c r="F24" s="819">
        <v>22945</v>
      </c>
      <c r="G24" s="820">
        <f>'23'!H37</f>
        <v>4</v>
      </c>
      <c r="H24" s="164"/>
      <c r="I24" s="1113" t="s">
        <v>341</v>
      </c>
      <c r="J24" s="1111"/>
      <c r="K24" s="1111"/>
      <c r="L24" s="1111"/>
      <c r="M24" s="1111"/>
      <c r="N24" s="1111"/>
      <c r="O24" s="1114"/>
      <c r="P24" s="1110" t="s">
        <v>349</v>
      </c>
      <c r="Q24" s="1111"/>
      <c r="R24" s="1114"/>
      <c r="S24" s="1110" t="s">
        <v>354</v>
      </c>
      <c r="T24" s="1111"/>
      <c r="U24" s="1111"/>
      <c r="V24" s="1111"/>
      <c r="W24" s="1111"/>
      <c r="X24" s="1112"/>
      <c r="Y24" s="96"/>
      <c r="Z24" s="96"/>
    </row>
    <row r="25" spans="1:26" ht="18.600000000000001" customHeight="1" x14ac:dyDescent="0.2">
      <c r="A25" s="823" t="s">
        <v>223</v>
      </c>
      <c r="B25" s="815" t="s">
        <v>568</v>
      </c>
      <c r="C25" s="816" t="s">
        <v>569</v>
      </c>
      <c r="D25" s="817">
        <v>19988726864</v>
      </c>
      <c r="E25" s="818">
        <v>45124</v>
      </c>
      <c r="F25" s="819">
        <v>24108</v>
      </c>
      <c r="G25" s="820">
        <f>'24'!H39</f>
        <v>2</v>
      </c>
      <c r="H25" s="164"/>
      <c r="I25" s="1113" t="s">
        <v>342</v>
      </c>
      <c r="J25" s="1111"/>
      <c r="K25" s="1111"/>
      <c r="L25" s="1111"/>
      <c r="M25" s="1111"/>
      <c r="N25" s="1111"/>
      <c r="O25" s="1114"/>
      <c r="P25" s="1110" t="s">
        <v>350</v>
      </c>
      <c r="Q25" s="1111"/>
      <c r="R25" s="1114"/>
      <c r="S25" s="1110" t="s">
        <v>354</v>
      </c>
      <c r="T25" s="1111"/>
      <c r="U25" s="1111"/>
      <c r="V25" s="1111"/>
      <c r="W25" s="1111"/>
      <c r="X25" s="1112"/>
    </row>
    <row r="26" spans="1:26" ht="18.600000000000001" customHeight="1" x14ac:dyDescent="0.2">
      <c r="A26" s="823" t="s">
        <v>225</v>
      </c>
      <c r="B26" s="815" t="s">
        <v>1024</v>
      </c>
      <c r="C26" s="816" t="s">
        <v>141</v>
      </c>
      <c r="D26" s="817">
        <v>47494140430</v>
      </c>
      <c r="E26" s="818">
        <v>46056</v>
      </c>
      <c r="F26" s="819">
        <v>27560</v>
      </c>
      <c r="G26" s="820">
        <f>'25'!H37</f>
        <v>-1</v>
      </c>
      <c r="H26" s="164"/>
      <c r="I26" s="1125" t="s">
        <v>343</v>
      </c>
      <c r="J26" s="1126"/>
      <c r="K26" s="1126"/>
      <c r="L26" s="1126"/>
      <c r="M26" s="1126"/>
      <c r="N26" s="1126"/>
      <c r="O26" s="1127"/>
      <c r="P26" s="1131" t="s">
        <v>351</v>
      </c>
      <c r="Q26" s="1126"/>
      <c r="R26" s="1127"/>
      <c r="S26" s="1131" t="s">
        <v>351</v>
      </c>
      <c r="T26" s="1126"/>
      <c r="U26" s="1126"/>
      <c r="V26" s="1126"/>
      <c r="W26" s="1126"/>
      <c r="X26" s="1132"/>
    </row>
    <row r="27" spans="1:26" ht="18.600000000000001" customHeight="1" x14ac:dyDescent="0.2">
      <c r="A27" s="823" t="s">
        <v>227</v>
      </c>
      <c r="B27" s="815" t="s">
        <v>228</v>
      </c>
      <c r="C27" s="816" t="s">
        <v>229</v>
      </c>
      <c r="D27" s="817">
        <v>39817657916</v>
      </c>
      <c r="E27" s="818">
        <v>41803</v>
      </c>
      <c r="F27" s="819">
        <v>31925</v>
      </c>
      <c r="G27" s="820">
        <f>'26'!H56</f>
        <v>3.5</v>
      </c>
      <c r="H27" s="164"/>
      <c r="I27" s="1113" t="s">
        <v>344</v>
      </c>
      <c r="J27" s="1111"/>
      <c r="K27" s="1111"/>
      <c r="L27" s="1111"/>
      <c r="M27" s="1111"/>
      <c r="N27" s="1111"/>
      <c r="O27" s="1114"/>
      <c r="P27" s="1110" t="s">
        <v>351</v>
      </c>
      <c r="Q27" s="1111"/>
      <c r="R27" s="1114"/>
      <c r="S27" s="1110" t="s">
        <v>351</v>
      </c>
      <c r="T27" s="1111"/>
      <c r="U27" s="1111"/>
      <c r="V27" s="1111"/>
      <c r="W27" s="1111"/>
      <c r="X27" s="1112"/>
    </row>
    <row r="28" spans="1:26" ht="15.75" customHeight="1" x14ac:dyDescent="0.2">
      <c r="A28" s="823" t="s">
        <v>230</v>
      </c>
      <c r="B28" s="845" t="s">
        <v>231</v>
      </c>
      <c r="C28" s="816" t="s">
        <v>403</v>
      </c>
      <c r="D28" s="817">
        <v>41989739482</v>
      </c>
      <c r="E28" s="818">
        <v>43948</v>
      </c>
      <c r="F28" s="819">
        <v>33312</v>
      </c>
      <c r="G28" s="820">
        <f>'27'!H29</f>
        <v>33</v>
      </c>
      <c r="H28" s="165"/>
      <c r="I28" s="1113" t="s">
        <v>345</v>
      </c>
      <c r="J28" s="1111"/>
      <c r="K28" s="1111"/>
      <c r="L28" s="1111"/>
      <c r="M28" s="1111"/>
      <c r="N28" s="1111"/>
      <c r="O28" s="1114"/>
      <c r="P28" s="1110" t="s">
        <v>349</v>
      </c>
      <c r="Q28" s="1111"/>
      <c r="R28" s="1114"/>
      <c r="S28" s="1110" t="s">
        <v>354</v>
      </c>
      <c r="T28" s="1111"/>
      <c r="U28" s="1111"/>
      <c r="V28" s="1111"/>
      <c r="W28" s="1111"/>
      <c r="X28" s="1112"/>
    </row>
    <row r="29" spans="1:26" ht="18.600000000000001" customHeight="1" thickBot="1" x14ac:dyDescent="0.25">
      <c r="A29" s="823" t="s">
        <v>233</v>
      </c>
      <c r="B29" s="815" t="s">
        <v>234</v>
      </c>
      <c r="C29" s="816" t="s">
        <v>208</v>
      </c>
      <c r="D29" s="817">
        <v>42727968904</v>
      </c>
      <c r="E29" s="818">
        <v>44356</v>
      </c>
      <c r="F29" s="819">
        <v>31968</v>
      </c>
      <c r="G29" s="820">
        <f>'28'!H32</f>
        <v>4.5</v>
      </c>
      <c r="H29" s="165"/>
      <c r="I29" s="1128" t="s">
        <v>346</v>
      </c>
      <c r="J29" s="1129"/>
      <c r="K29" s="1129"/>
      <c r="L29" s="1129"/>
      <c r="M29" s="1129"/>
      <c r="N29" s="1129"/>
      <c r="O29" s="1130"/>
      <c r="P29" s="1138" t="s">
        <v>352</v>
      </c>
      <c r="Q29" s="1129"/>
      <c r="R29" s="1130"/>
      <c r="S29" s="1138" t="s">
        <v>355</v>
      </c>
      <c r="T29" s="1129"/>
      <c r="U29" s="1129"/>
      <c r="V29" s="1129"/>
      <c r="W29" s="1129"/>
      <c r="X29" s="1139"/>
    </row>
    <row r="30" spans="1:26" ht="18.95" customHeight="1" thickBot="1" x14ac:dyDescent="0.25">
      <c r="A30" s="823" t="s">
        <v>235</v>
      </c>
      <c r="B30" s="815" t="s">
        <v>236</v>
      </c>
      <c r="C30" s="816" t="s">
        <v>141</v>
      </c>
      <c r="D30" s="817">
        <v>12361925380</v>
      </c>
      <c r="E30" s="818">
        <v>45442</v>
      </c>
      <c r="F30" s="819">
        <v>22324</v>
      </c>
      <c r="G30" s="820">
        <f>'29'!H37</f>
        <v>33</v>
      </c>
      <c r="H30" s="165"/>
      <c r="I30" s="95"/>
    </row>
    <row r="31" spans="1:26" ht="18.95" customHeight="1" x14ac:dyDescent="0.2">
      <c r="A31" s="823" t="s">
        <v>237</v>
      </c>
      <c r="B31" s="815" t="s">
        <v>238</v>
      </c>
      <c r="C31" s="816" t="s">
        <v>226</v>
      </c>
      <c r="D31" s="817">
        <v>10982000370</v>
      </c>
      <c r="E31" s="818">
        <v>43560</v>
      </c>
      <c r="F31" s="819">
        <v>21491</v>
      </c>
      <c r="G31" s="820">
        <f>'30'!H30</f>
        <v>106</v>
      </c>
      <c r="H31" s="165"/>
      <c r="I31" s="1122" t="s">
        <v>360</v>
      </c>
      <c r="J31" s="1123"/>
      <c r="K31" s="1123"/>
      <c r="L31" s="1123"/>
      <c r="M31" s="1123"/>
      <c r="N31" s="1123"/>
      <c r="O31" s="1124"/>
    </row>
    <row r="32" spans="1:26" ht="18.95" customHeight="1" x14ac:dyDescent="0.2">
      <c r="A32" s="823" t="s">
        <v>239</v>
      </c>
      <c r="B32" s="815" t="s">
        <v>240</v>
      </c>
      <c r="C32" s="816" t="s">
        <v>208</v>
      </c>
      <c r="D32" s="817">
        <v>31463194012</v>
      </c>
      <c r="E32" s="818">
        <v>41505</v>
      </c>
      <c r="F32" s="819">
        <v>26826</v>
      </c>
      <c r="G32" s="820">
        <f>'31'!H70</f>
        <v>20.5</v>
      </c>
      <c r="H32" s="165"/>
      <c r="I32" s="1117" t="s">
        <v>580</v>
      </c>
      <c r="J32" s="1118"/>
      <c r="K32" s="1118"/>
      <c r="L32" s="1119"/>
      <c r="M32" s="166">
        <v>2</v>
      </c>
      <c r="N32" s="1120" t="s">
        <v>356</v>
      </c>
      <c r="O32" s="1121"/>
    </row>
    <row r="33" spans="1:15" ht="18.95" customHeight="1" x14ac:dyDescent="0.2">
      <c r="A33" s="823" t="s">
        <v>241</v>
      </c>
      <c r="B33" s="815" t="s">
        <v>662</v>
      </c>
      <c r="C33" s="816" t="s">
        <v>644</v>
      </c>
      <c r="D33" s="817">
        <v>56986627380</v>
      </c>
      <c r="E33" s="818">
        <v>45552</v>
      </c>
      <c r="F33" s="819">
        <v>35818</v>
      </c>
      <c r="G33" s="820">
        <f>'32'!H34</f>
        <v>10.5</v>
      </c>
      <c r="H33" s="165"/>
      <c r="I33" s="1117" t="s">
        <v>357</v>
      </c>
      <c r="J33" s="1118"/>
      <c r="K33" s="1118"/>
      <c r="L33" s="1119"/>
      <c r="M33" s="166">
        <v>4</v>
      </c>
      <c r="N33" s="1120" t="s">
        <v>356</v>
      </c>
      <c r="O33" s="1121"/>
    </row>
    <row r="34" spans="1:15" ht="18.95" customHeight="1" x14ac:dyDescent="0.2">
      <c r="A34" s="823" t="s">
        <v>242</v>
      </c>
      <c r="B34" s="815" t="s">
        <v>243</v>
      </c>
      <c r="C34" s="816" t="s">
        <v>153</v>
      </c>
      <c r="D34" s="817">
        <v>61396483426</v>
      </c>
      <c r="E34" s="818">
        <v>45362</v>
      </c>
      <c r="F34" s="819">
        <v>25781</v>
      </c>
      <c r="G34" s="820">
        <f>'33'!H54</f>
        <v>0</v>
      </c>
      <c r="H34" s="165"/>
      <c r="I34" s="1117" t="s">
        <v>358</v>
      </c>
      <c r="J34" s="1118"/>
      <c r="K34" s="1118"/>
      <c r="L34" s="1119"/>
      <c r="M34" s="166">
        <v>6</v>
      </c>
      <c r="N34" s="1120" t="s">
        <v>356</v>
      </c>
      <c r="O34" s="1121"/>
    </row>
    <row r="35" spans="1:15" ht="18.95" customHeight="1" thickBot="1" x14ac:dyDescent="0.25">
      <c r="A35" s="823" t="s">
        <v>244</v>
      </c>
      <c r="B35" s="815" t="s">
        <v>245</v>
      </c>
      <c r="C35" s="816" t="s">
        <v>246</v>
      </c>
      <c r="D35" s="817">
        <v>12598524950</v>
      </c>
      <c r="E35" s="818">
        <v>44567</v>
      </c>
      <c r="F35" s="819">
        <v>22749</v>
      </c>
      <c r="G35" s="820">
        <f>'34'!H44</f>
        <v>7</v>
      </c>
      <c r="H35" s="165"/>
      <c r="I35" s="1133" t="s">
        <v>359</v>
      </c>
      <c r="J35" s="1134"/>
      <c r="K35" s="1134"/>
      <c r="L35" s="1135"/>
      <c r="M35" s="167">
        <v>8</v>
      </c>
      <c r="N35" s="1136" t="s">
        <v>356</v>
      </c>
      <c r="O35" s="1137"/>
    </row>
    <row r="36" spans="1:15" ht="18.95" customHeight="1" x14ac:dyDescent="0.2">
      <c r="A36" s="750" t="s">
        <v>247</v>
      </c>
      <c r="B36" s="809" t="s">
        <v>833</v>
      </c>
      <c r="C36" s="810" t="s">
        <v>834</v>
      </c>
      <c r="D36" s="811">
        <v>11219671110</v>
      </c>
      <c r="E36" s="812">
        <v>44211</v>
      </c>
      <c r="F36" s="813">
        <v>32441</v>
      </c>
      <c r="G36" s="814">
        <f>'35'!H38</f>
        <v>21</v>
      </c>
    </row>
    <row r="37" spans="1:15" ht="18.95" customHeight="1" x14ac:dyDescent="0.2">
      <c r="A37" s="750" t="s">
        <v>249</v>
      </c>
      <c r="B37" s="809" t="s">
        <v>250</v>
      </c>
      <c r="C37" s="810" t="s">
        <v>191</v>
      </c>
      <c r="D37" s="811">
        <v>12254984746</v>
      </c>
      <c r="E37" s="812">
        <v>44992</v>
      </c>
      <c r="F37" s="813">
        <v>27211</v>
      </c>
      <c r="G37" s="814">
        <f>'36'!H54</f>
        <v>11.5</v>
      </c>
    </row>
    <row r="38" spans="1:15" ht="18.95" customHeight="1" x14ac:dyDescent="0.2">
      <c r="A38" s="750" t="s">
        <v>251</v>
      </c>
      <c r="B38" s="809" t="s">
        <v>431</v>
      </c>
      <c r="C38" s="810" t="s">
        <v>153</v>
      </c>
      <c r="D38" s="811">
        <v>20401800252</v>
      </c>
      <c r="E38" s="812">
        <v>44985</v>
      </c>
      <c r="F38" s="813">
        <v>25821</v>
      </c>
      <c r="G38" s="814">
        <f>'37'!H36</f>
        <v>-0.5</v>
      </c>
    </row>
    <row r="39" spans="1:15" ht="18.95" customHeight="1" x14ac:dyDescent="0.2">
      <c r="A39" s="750" t="s">
        <v>252</v>
      </c>
      <c r="B39" s="809" t="s">
        <v>253</v>
      </c>
      <c r="C39" s="810" t="s">
        <v>141</v>
      </c>
      <c r="D39" s="811">
        <v>49831847958</v>
      </c>
      <c r="E39" s="812">
        <v>43984</v>
      </c>
      <c r="F39" s="813">
        <v>23377</v>
      </c>
      <c r="G39" s="814">
        <f>'38'!H45</f>
        <v>27</v>
      </c>
    </row>
    <row r="40" spans="1:15" ht="18.95" customHeight="1" x14ac:dyDescent="0.2">
      <c r="A40" s="750" t="s">
        <v>254</v>
      </c>
      <c r="B40" s="809" t="s">
        <v>255</v>
      </c>
      <c r="C40" s="810" t="s">
        <v>373</v>
      </c>
      <c r="D40" s="811">
        <v>25240844054</v>
      </c>
      <c r="E40" s="812">
        <v>43029</v>
      </c>
      <c r="F40" s="813">
        <v>22051</v>
      </c>
      <c r="G40" s="814">
        <f>'39'!H63</f>
        <v>58.5</v>
      </c>
    </row>
    <row r="41" spans="1:15" ht="18.95" customHeight="1" x14ac:dyDescent="0.2">
      <c r="A41" s="750" t="s">
        <v>256</v>
      </c>
      <c r="B41" s="809" t="s">
        <v>461</v>
      </c>
      <c r="C41" s="810" t="s">
        <v>440</v>
      </c>
      <c r="D41" s="811">
        <v>67363072846</v>
      </c>
      <c r="E41" s="812">
        <v>45173</v>
      </c>
      <c r="F41" s="813">
        <v>37196</v>
      </c>
      <c r="G41" s="814">
        <f>'40'!H36</f>
        <v>-4</v>
      </c>
    </row>
    <row r="42" spans="1:15" ht="18.95" customHeight="1" x14ac:dyDescent="0.2">
      <c r="A42" s="750" t="s">
        <v>257</v>
      </c>
      <c r="B42" s="809" t="s">
        <v>663</v>
      </c>
      <c r="C42" s="810" t="s">
        <v>208</v>
      </c>
      <c r="D42" s="811">
        <v>35635379450</v>
      </c>
      <c r="E42" s="812">
        <v>45555</v>
      </c>
      <c r="F42" s="813">
        <v>36893</v>
      </c>
      <c r="G42" s="814">
        <f>'41'!H36</f>
        <v>6</v>
      </c>
    </row>
    <row r="43" spans="1:15" ht="18.95" customHeight="1" x14ac:dyDescent="0.2">
      <c r="A43" s="750" t="s">
        <v>258</v>
      </c>
      <c r="B43" s="809" t="s">
        <v>259</v>
      </c>
      <c r="C43" s="810" t="s">
        <v>394</v>
      </c>
      <c r="D43" s="811">
        <v>26288388982</v>
      </c>
      <c r="E43" s="812">
        <v>43516</v>
      </c>
      <c r="F43" s="813">
        <v>25821</v>
      </c>
      <c r="G43" s="814">
        <f>'42'!H43</f>
        <v>55.5</v>
      </c>
    </row>
    <row r="44" spans="1:15" ht="18.95" customHeight="1" x14ac:dyDescent="0.2">
      <c r="A44" s="750" t="s">
        <v>260</v>
      </c>
      <c r="B44" s="809" t="s">
        <v>261</v>
      </c>
      <c r="C44" s="810" t="s">
        <v>224</v>
      </c>
      <c r="D44" s="811">
        <v>32540233440</v>
      </c>
      <c r="E44" s="812">
        <v>44793</v>
      </c>
      <c r="F44" s="813">
        <v>30082</v>
      </c>
      <c r="G44" s="814">
        <f>'43'!H42</f>
        <v>26</v>
      </c>
    </row>
    <row r="45" spans="1:15" ht="18.95" customHeight="1" x14ac:dyDescent="0.2">
      <c r="A45" s="750" t="s">
        <v>263</v>
      </c>
      <c r="B45" s="809" t="s">
        <v>262</v>
      </c>
      <c r="C45" s="810" t="s">
        <v>141</v>
      </c>
      <c r="D45" s="811">
        <v>30865945482</v>
      </c>
      <c r="E45" s="812">
        <v>42118</v>
      </c>
      <c r="F45" s="813">
        <v>27488</v>
      </c>
      <c r="G45" s="814">
        <f>'44'!H41</f>
        <v>24.5</v>
      </c>
    </row>
    <row r="46" spans="1:15" ht="18.95" customHeight="1" x14ac:dyDescent="0.2">
      <c r="A46" s="750" t="s">
        <v>264</v>
      </c>
      <c r="B46" s="809" t="s">
        <v>265</v>
      </c>
      <c r="C46" s="810" t="s">
        <v>208</v>
      </c>
      <c r="D46" s="811">
        <v>61294341224</v>
      </c>
      <c r="E46" s="812">
        <v>44643</v>
      </c>
      <c r="F46" s="813">
        <v>26552</v>
      </c>
      <c r="G46" s="814">
        <f>'45'!H34</f>
        <v>21</v>
      </c>
    </row>
    <row r="47" spans="1:15" ht="18.95" customHeight="1" x14ac:dyDescent="0.2">
      <c r="A47" s="750" t="s">
        <v>266</v>
      </c>
      <c r="B47" s="809" t="s">
        <v>267</v>
      </c>
      <c r="C47" s="810" t="s">
        <v>373</v>
      </c>
      <c r="D47" s="811">
        <v>35662493402</v>
      </c>
      <c r="E47" s="812">
        <v>42392</v>
      </c>
      <c r="F47" s="813">
        <v>31310</v>
      </c>
      <c r="G47" s="814">
        <f>'46'!H69</f>
        <v>43</v>
      </c>
      <c r="M47" s="953"/>
    </row>
    <row r="48" spans="1:15" ht="17.25" customHeight="1" x14ac:dyDescent="0.2">
      <c r="A48" s="750" t="s">
        <v>269</v>
      </c>
      <c r="B48" s="809" t="s">
        <v>268</v>
      </c>
      <c r="C48" s="810" t="s">
        <v>401</v>
      </c>
      <c r="D48" s="811">
        <v>11155990832</v>
      </c>
      <c r="E48" s="812">
        <v>43617</v>
      </c>
      <c r="F48" s="813">
        <v>33248</v>
      </c>
      <c r="G48" s="814">
        <f>'47'!H46</f>
        <v>35.5</v>
      </c>
    </row>
    <row r="49" spans="1:13" ht="18.95" customHeight="1" x14ac:dyDescent="0.2">
      <c r="A49" s="750" t="s">
        <v>270</v>
      </c>
      <c r="B49" s="809" t="s">
        <v>271</v>
      </c>
      <c r="C49" s="810" t="s">
        <v>272</v>
      </c>
      <c r="D49" s="811">
        <v>23128385866</v>
      </c>
      <c r="E49" s="812">
        <v>44501</v>
      </c>
      <c r="F49" s="813">
        <v>34761</v>
      </c>
      <c r="G49" s="814">
        <f>'48'!H47</f>
        <v>5</v>
      </c>
    </row>
    <row r="50" spans="1:13" ht="18.95" customHeight="1" x14ac:dyDescent="0.2">
      <c r="A50" s="750" t="s">
        <v>273</v>
      </c>
      <c r="B50" s="809" t="s">
        <v>274</v>
      </c>
      <c r="C50" s="810" t="s">
        <v>141</v>
      </c>
      <c r="D50" s="811">
        <v>69631191006</v>
      </c>
      <c r="E50" s="812">
        <v>44858</v>
      </c>
      <c r="F50" s="813">
        <v>33139</v>
      </c>
      <c r="G50" s="814">
        <f>'49'!H42</f>
        <v>1</v>
      </c>
      <c r="K50" s="95">
        <v>270</v>
      </c>
      <c r="L50" s="95" t="s">
        <v>865</v>
      </c>
      <c r="M50" s="95" t="s">
        <v>866</v>
      </c>
    </row>
    <row r="51" spans="1:13" ht="18.95" customHeight="1" x14ac:dyDescent="0.2">
      <c r="A51" s="872">
        <v>50</v>
      </c>
      <c r="B51" s="809" t="s">
        <v>275</v>
      </c>
      <c r="C51" s="810" t="s">
        <v>153</v>
      </c>
      <c r="D51" s="811">
        <v>39109958622</v>
      </c>
      <c r="E51" s="812">
        <v>43822</v>
      </c>
      <c r="F51" s="813">
        <v>23712</v>
      </c>
      <c r="G51" s="814">
        <f>'50'!H55</f>
        <v>19.5</v>
      </c>
      <c r="K51" s="95">
        <f>+K50/12</f>
        <v>22.5</v>
      </c>
    </row>
    <row r="52" spans="1:13" ht="18.95" customHeight="1" x14ac:dyDescent="0.2">
      <c r="A52" s="750" t="s">
        <v>276</v>
      </c>
      <c r="B52" s="809" t="s">
        <v>1026</v>
      </c>
      <c r="C52" s="810" t="s">
        <v>839</v>
      </c>
      <c r="D52" s="811">
        <v>29257710654</v>
      </c>
      <c r="E52" s="812">
        <v>45941</v>
      </c>
      <c r="F52" s="813">
        <v>29221</v>
      </c>
      <c r="G52" s="814">
        <f>'51'!H93</f>
        <v>-2</v>
      </c>
    </row>
    <row r="53" spans="1:13" ht="18.95" customHeight="1" x14ac:dyDescent="0.2">
      <c r="A53" s="750" t="s">
        <v>278</v>
      </c>
      <c r="B53" s="809" t="s">
        <v>286</v>
      </c>
      <c r="C53" s="810" t="s">
        <v>191</v>
      </c>
      <c r="D53" s="811">
        <v>47833202324</v>
      </c>
      <c r="E53" s="812">
        <v>44014</v>
      </c>
      <c r="F53" s="813">
        <v>25419</v>
      </c>
      <c r="G53" s="814">
        <f>'53'!H41</f>
        <v>9</v>
      </c>
    </row>
    <row r="54" spans="1:13" ht="18.95" customHeight="1" x14ac:dyDescent="0.2">
      <c r="A54" s="750" t="s">
        <v>279</v>
      </c>
      <c r="B54" s="809" t="s">
        <v>288</v>
      </c>
      <c r="C54" s="810" t="s">
        <v>289</v>
      </c>
      <c r="D54" s="811">
        <v>33152143462</v>
      </c>
      <c r="E54" s="812">
        <v>41520</v>
      </c>
      <c r="F54" s="813">
        <v>25882</v>
      </c>
      <c r="G54" s="814">
        <f>'54'!H120</f>
        <v>12</v>
      </c>
    </row>
    <row r="55" spans="1:13" ht="18.95" customHeight="1" x14ac:dyDescent="0.2">
      <c r="A55" s="750" t="s">
        <v>277</v>
      </c>
      <c r="B55" s="809" t="s">
        <v>786</v>
      </c>
      <c r="C55" s="810" t="s">
        <v>289</v>
      </c>
      <c r="D55" s="811">
        <v>50461681348</v>
      </c>
      <c r="E55" s="812">
        <v>45773</v>
      </c>
      <c r="F55" s="813">
        <v>33010</v>
      </c>
      <c r="G55" s="814">
        <f>'52'!H37</f>
        <v>7</v>
      </c>
    </row>
    <row r="56" spans="1:13" ht="18.95" customHeight="1" x14ac:dyDescent="0.2">
      <c r="A56" s="750" t="s">
        <v>280</v>
      </c>
      <c r="B56" s="809" t="s">
        <v>287</v>
      </c>
      <c r="C56" s="810" t="s">
        <v>191</v>
      </c>
      <c r="D56" s="811">
        <v>24184712290</v>
      </c>
      <c r="E56" s="812">
        <v>43126</v>
      </c>
      <c r="F56" s="813">
        <v>26816</v>
      </c>
      <c r="G56" s="814">
        <f>'55'!H39</f>
        <v>73.5</v>
      </c>
      <c r="M56" s="95" t="s">
        <v>9</v>
      </c>
    </row>
    <row r="57" spans="1:13" ht="18.95" customHeight="1" x14ac:dyDescent="0.2">
      <c r="A57" s="750" t="s">
        <v>281</v>
      </c>
      <c r="B57" s="809" t="s">
        <v>290</v>
      </c>
      <c r="C57" s="810" t="s">
        <v>141</v>
      </c>
      <c r="D57" s="811">
        <v>52666707212</v>
      </c>
      <c r="E57" s="812">
        <v>44454</v>
      </c>
      <c r="F57" s="813">
        <v>24770</v>
      </c>
      <c r="G57" s="814">
        <f>'56'!H48</f>
        <v>14</v>
      </c>
    </row>
    <row r="58" spans="1:13" ht="18.95" customHeight="1" x14ac:dyDescent="0.2">
      <c r="A58" s="750" t="s">
        <v>282</v>
      </c>
      <c r="B58" s="809" t="s">
        <v>291</v>
      </c>
      <c r="C58" s="810" t="s">
        <v>292</v>
      </c>
      <c r="D58" s="811">
        <v>46114287272</v>
      </c>
      <c r="E58" s="812">
        <v>44860</v>
      </c>
      <c r="F58" s="813">
        <v>22556</v>
      </c>
      <c r="G58" s="814">
        <f>'57'!H49</f>
        <v>-4.5</v>
      </c>
    </row>
    <row r="59" spans="1:13" ht="18.95" customHeight="1" x14ac:dyDescent="0.2">
      <c r="A59" s="750" t="s">
        <v>283</v>
      </c>
      <c r="B59" s="809" t="s">
        <v>293</v>
      </c>
      <c r="C59" s="810" t="s">
        <v>410</v>
      </c>
      <c r="D59" s="811">
        <v>14822550636</v>
      </c>
      <c r="E59" s="812">
        <v>44648</v>
      </c>
      <c r="F59" s="813">
        <v>33336</v>
      </c>
      <c r="G59" s="814">
        <f>'58'!H43</f>
        <v>26</v>
      </c>
    </row>
    <row r="60" spans="1:13" ht="18.95" customHeight="1" x14ac:dyDescent="0.2">
      <c r="A60" s="750" t="s">
        <v>284</v>
      </c>
      <c r="B60" s="809" t="s">
        <v>294</v>
      </c>
      <c r="C60" s="810" t="s">
        <v>141</v>
      </c>
      <c r="D60" s="811">
        <v>14789073346</v>
      </c>
      <c r="E60" s="812">
        <v>43986</v>
      </c>
      <c r="F60" s="813">
        <v>27369</v>
      </c>
      <c r="G60" s="814">
        <f>'59'!H45</f>
        <v>18.5</v>
      </c>
    </row>
    <row r="61" spans="1:13" ht="18.95" customHeight="1" x14ac:dyDescent="0.2">
      <c r="A61" s="750" t="s">
        <v>285</v>
      </c>
      <c r="B61" s="809" t="s">
        <v>458</v>
      </c>
      <c r="C61" s="810" t="s">
        <v>740</v>
      </c>
      <c r="D61" s="811">
        <v>43642203026</v>
      </c>
      <c r="E61" s="812">
        <v>45208</v>
      </c>
      <c r="F61" s="813">
        <v>26359</v>
      </c>
      <c r="G61" s="814">
        <f>'60'!H36</f>
        <v>3.5</v>
      </c>
    </row>
    <row r="62" spans="1:13" ht="18.95" customHeight="1" x14ac:dyDescent="0.2">
      <c r="A62" s="603" t="s">
        <v>295</v>
      </c>
      <c r="B62" s="605" t="s">
        <v>605</v>
      </c>
      <c r="C62" s="606" t="s">
        <v>141</v>
      </c>
      <c r="D62" s="607">
        <v>46012926426</v>
      </c>
      <c r="E62" s="608">
        <v>45422</v>
      </c>
      <c r="F62" s="609">
        <v>33156</v>
      </c>
      <c r="G62" s="610">
        <f>'61'!H36</f>
        <v>10</v>
      </c>
    </row>
    <row r="63" spans="1:13" ht="18.95" customHeight="1" x14ac:dyDescent="0.2">
      <c r="A63" s="603" t="s">
        <v>296</v>
      </c>
      <c r="B63" s="605" t="s">
        <v>564</v>
      </c>
      <c r="C63" s="606" t="s">
        <v>565</v>
      </c>
      <c r="D63" s="607">
        <v>57853468006</v>
      </c>
      <c r="E63" s="608">
        <v>45149</v>
      </c>
      <c r="F63" s="609">
        <v>25950</v>
      </c>
      <c r="G63" s="610">
        <f>'62'!H40</f>
        <v>15</v>
      </c>
    </row>
    <row r="64" spans="1:13" ht="18.95" customHeight="1" x14ac:dyDescent="0.2">
      <c r="A64" s="750" t="s">
        <v>297</v>
      </c>
      <c r="B64" s="809" t="s">
        <v>308</v>
      </c>
      <c r="C64" s="810" t="s">
        <v>229</v>
      </c>
      <c r="D64" s="811">
        <v>51067606810</v>
      </c>
      <c r="E64" s="812">
        <v>44240</v>
      </c>
      <c r="F64" s="813">
        <v>23774</v>
      </c>
      <c r="G64" s="814">
        <f>'63'!H49</f>
        <v>0</v>
      </c>
    </row>
    <row r="65" spans="1:7" ht="18.95" customHeight="1" x14ac:dyDescent="0.2">
      <c r="A65" s="750" t="s">
        <v>298</v>
      </c>
      <c r="B65" s="809" t="s">
        <v>309</v>
      </c>
      <c r="C65" s="810" t="s">
        <v>272</v>
      </c>
      <c r="D65" s="811">
        <v>22267326426</v>
      </c>
      <c r="E65" s="812">
        <v>42525</v>
      </c>
      <c r="F65" s="813">
        <v>32587</v>
      </c>
      <c r="G65" s="814">
        <f>'64'!H37</f>
        <v>43.5</v>
      </c>
    </row>
    <row r="66" spans="1:7" ht="18.95" customHeight="1" x14ac:dyDescent="0.2">
      <c r="A66" s="750" t="s">
        <v>299</v>
      </c>
      <c r="B66" s="809" t="s">
        <v>310</v>
      </c>
      <c r="C66" s="810" t="s">
        <v>248</v>
      </c>
      <c r="D66" s="811">
        <v>33113218888</v>
      </c>
      <c r="E66" s="812">
        <v>42368</v>
      </c>
      <c r="F66" s="813">
        <v>26578</v>
      </c>
      <c r="G66" s="814">
        <f>'65'!H36</f>
        <v>68.5</v>
      </c>
    </row>
    <row r="67" spans="1:7" ht="18.95" customHeight="1" x14ac:dyDescent="0.2">
      <c r="A67" s="220" t="s">
        <v>300</v>
      </c>
      <c r="B67" s="569" t="s">
        <v>312</v>
      </c>
      <c r="C67" s="570" t="s">
        <v>313</v>
      </c>
      <c r="D67" s="571">
        <v>19651901888</v>
      </c>
      <c r="E67" s="572">
        <v>43800</v>
      </c>
      <c r="F67" s="573">
        <v>27709</v>
      </c>
      <c r="G67" s="574">
        <f>'66'!H60</f>
        <v>29</v>
      </c>
    </row>
    <row r="68" spans="1:7" ht="18.95" customHeight="1" x14ac:dyDescent="0.2">
      <c r="A68" s="603" t="s">
        <v>301</v>
      </c>
      <c r="B68" s="605" t="s">
        <v>489</v>
      </c>
      <c r="C68" s="606" t="s">
        <v>395</v>
      </c>
      <c r="D68" s="607">
        <v>24116688938</v>
      </c>
      <c r="E68" s="608">
        <v>44910</v>
      </c>
      <c r="F68" s="609">
        <v>35841</v>
      </c>
      <c r="G68" s="610">
        <f>'67'!H33</f>
        <v>-4</v>
      </c>
    </row>
    <row r="69" spans="1:7" ht="18.95" customHeight="1" x14ac:dyDescent="0.2">
      <c r="A69" s="220" t="s">
        <v>302</v>
      </c>
      <c r="B69" s="569" t="s">
        <v>593</v>
      </c>
      <c r="C69" s="570" t="s">
        <v>153</v>
      </c>
      <c r="D69" s="571">
        <v>10756498662</v>
      </c>
      <c r="E69" s="572">
        <v>45293</v>
      </c>
      <c r="F69" s="573">
        <v>35641</v>
      </c>
      <c r="G69" s="574">
        <f>'68'!H34</f>
        <v>18</v>
      </c>
    </row>
    <row r="70" spans="1:7" ht="18.95" customHeight="1" x14ac:dyDescent="0.2">
      <c r="A70" s="750" t="s">
        <v>303</v>
      </c>
      <c r="B70" s="809" t="s">
        <v>951</v>
      </c>
      <c r="C70" s="810" t="s">
        <v>141</v>
      </c>
      <c r="D70" s="811">
        <v>36740023870</v>
      </c>
      <c r="E70" s="812">
        <v>45999</v>
      </c>
      <c r="F70" s="813">
        <v>23774</v>
      </c>
      <c r="G70" s="814">
        <f>'69'!H37</f>
        <v>-5</v>
      </c>
    </row>
    <row r="71" spans="1:7" ht="18.95" customHeight="1" x14ac:dyDescent="0.2">
      <c r="A71" s="220" t="s">
        <v>304</v>
      </c>
      <c r="B71" s="569" t="s">
        <v>948</v>
      </c>
      <c r="C71" s="570" t="s">
        <v>839</v>
      </c>
      <c r="D71" s="571">
        <v>51235273288</v>
      </c>
      <c r="E71" s="572">
        <v>45961</v>
      </c>
      <c r="F71" s="573">
        <v>34335</v>
      </c>
      <c r="G71" s="574">
        <f>'70'!H29</f>
        <v>-1.5</v>
      </c>
    </row>
    <row r="72" spans="1:7" ht="18.95" customHeight="1" x14ac:dyDescent="0.2">
      <c r="A72" s="220" t="s">
        <v>305</v>
      </c>
      <c r="B72" s="569" t="s">
        <v>443</v>
      </c>
      <c r="C72" s="570" t="s">
        <v>141</v>
      </c>
      <c r="D72" s="571">
        <v>42304564604</v>
      </c>
      <c r="E72" s="572">
        <v>44926</v>
      </c>
      <c r="F72" s="573">
        <v>29367</v>
      </c>
      <c r="G72" s="574">
        <f>'71'!H37</f>
        <v>12</v>
      </c>
    </row>
    <row r="73" spans="1:7" ht="18.95" customHeight="1" x14ac:dyDescent="0.2">
      <c r="A73" s="220" t="s">
        <v>306</v>
      </c>
      <c r="B73" s="569" t="s">
        <v>319</v>
      </c>
      <c r="C73" s="570" t="s">
        <v>141</v>
      </c>
      <c r="D73" s="571">
        <v>35213303594</v>
      </c>
      <c r="E73" s="572">
        <v>44662</v>
      </c>
      <c r="F73" s="573">
        <v>24127</v>
      </c>
      <c r="G73" s="574">
        <f>'72'!H26</f>
        <v>3.5</v>
      </c>
    </row>
    <row r="74" spans="1:7" ht="18.95" customHeight="1" x14ac:dyDescent="0.2">
      <c r="A74" s="220" t="s">
        <v>307</v>
      </c>
      <c r="B74" s="569" t="s">
        <v>320</v>
      </c>
      <c r="C74" s="570" t="s">
        <v>141</v>
      </c>
      <c r="D74" s="571">
        <v>60130492038</v>
      </c>
      <c r="E74" s="572">
        <v>44627</v>
      </c>
      <c r="F74" s="573">
        <v>24690</v>
      </c>
      <c r="G74" s="574">
        <f>'73'!H27</f>
        <v>13</v>
      </c>
    </row>
    <row r="75" spans="1:7" ht="18.95" customHeight="1" x14ac:dyDescent="0.2">
      <c r="A75" s="220" t="s">
        <v>314</v>
      </c>
      <c r="B75" s="569" t="s">
        <v>321</v>
      </c>
      <c r="C75" s="570" t="s">
        <v>208</v>
      </c>
      <c r="D75" s="571">
        <v>60130492038</v>
      </c>
      <c r="E75" s="572">
        <v>44903</v>
      </c>
      <c r="F75" s="573">
        <v>34955</v>
      </c>
      <c r="G75" s="574">
        <f>'74'!H26</f>
        <v>5.5</v>
      </c>
    </row>
    <row r="76" spans="1:7" ht="18.95" customHeight="1" x14ac:dyDescent="0.2">
      <c r="A76" s="603" t="s">
        <v>315</v>
      </c>
      <c r="B76" s="605" t="s">
        <v>949</v>
      </c>
      <c r="C76" s="606" t="s">
        <v>885</v>
      </c>
      <c r="D76" s="607">
        <v>14585930690</v>
      </c>
      <c r="E76" s="608">
        <v>45957</v>
      </c>
      <c r="F76" s="609">
        <v>38155</v>
      </c>
      <c r="G76" s="610">
        <f>'75'!H39</f>
        <v>-10.5</v>
      </c>
    </row>
    <row r="77" spans="1:7" ht="18.95" customHeight="1" x14ac:dyDescent="0.2">
      <c r="A77" s="750" t="s">
        <v>316</v>
      </c>
      <c r="B77" s="809" t="s">
        <v>442</v>
      </c>
      <c r="C77" s="810" t="s">
        <v>740</v>
      </c>
      <c r="D77" s="811">
        <v>27400650734</v>
      </c>
      <c r="E77" s="812">
        <v>44657</v>
      </c>
      <c r="F77" s="813">
        <v>31726</v>
      </c>
      <c r="G77" s="814">
        <f>'76'!H38</f>
        <v>36.5</v>
      </c>
    </row>
    <row r="78" spans="1:7" ht="18.95" customHeight="1" x14ac:dyDescent="0.2">
      <c r="A78" s="750" t="s">
        <v>317</v>
      </c>
      <c r="B78" s="809" t="s">
        <v>322</v>
      </c>
      <c r="C78" s="810" t="s">
        <v>323</v>
      </c>
      <c r="D78" s="811">
        <v>10089056942</v>
      </c>
      <c r="E78" s="812">
        <v>35796</v>
      </c>
      <c r="F78" s="813">
        <v>27093</v>
      </c>
      <c r="G78" s="814">
        <f>'77'!H41</f>
        <v>32.5</v>
      </c>
    </row>
    <row r="79" spans="1:7" ht="18.95" customHeight="1" x14ac:dyDescent="0.2">
      <c r="A79" s="750" t="s">
        <v>325</v>
      </c>
      <c r="B79" s="809" t="s">
        <v>439</v>
      </c>
      <c r="C79" s="810" t="s">
        <v>655</v>
      </c>
      <c r="D79" s="811">
        <v>14324514464</v>
      </c>
      <c r="E79" s="812">
        <v>45512</v>
      </c>
      <c r="F79" s="813">
        <v>33814</v>
      </c>
      <c r="G79" s="814">
        <f>'78'!H35</f>
        <v>7</v>
      </c>
    </row>
    <row r="80" spans="1:7" ht="18.95" customHeight="1" x14ac:dyDescent="0.2">
      <c r="A80" s="603" t="s">
        <v>318</v>
      </c>
      <c r="B80" s="605" t="s">
        <v>324</v>
      </c>
      <c r="C80" s="606" t="s">
        <v>224</v>
      </c>
      <c r="D80" s="607">
        <v>16694126094</v>
      </c>
      <c r="E80" s="608">
        <v>42078</v>
      </c>
      <c r="F80" s="609">
        <v>26299</v>
      </c>
      <c r="G80" s="610">
        <f>'79'!H47</f>
        <v>43</v>
      </c>
    </row>
    <row r="81" spans="1:10" ht="18.95" customHeight="1" x14ac:dyDescent="0.2">
      <c r="A81" s="603" t="s">
        <v>326</v>
      </c>
      <c r="B81" s="605" t="s">
        <v>328</v>
      </c>
      <c r="C81" s="606" t="s">
        <v>370</v>
      </c>
      <c r="D81" s="607">
        <v>29263710426</v>
      </c>
      <c r="E81" s="608">
        <v>44817</v>
      </c>
      <c r="F81" s="609">
        <v>28126</v>
      </c>
      <c r="G81" s="610">
        <f>'80'!H31</f>
        <v>20</v>
      </c>
    </row>
    <row r="82" spans="1:10" ht="18.95" customHeight="1" x14ac:dyDescent="0.2">
      <c r="A82" s="603" t="s">
        <v>327</v>
      </c>
      <c r="B82" s="605" t="s">
        <v>586</v>
      </c>
      <c r="C82" s="606" t="s">
        <v>141</v>
      </c>
      <c r="D82" s="607">
        <v>51283251344</v>
      </c>
      <c r="E82" s="608">
        <v>45372</v>
      </c>
      <c r="F82" s="609">
        <v>22503</v>
      </c>
      <c r="G82" s="610">
        <f>'81'!H25</f>
        <v>24</v>
      </c>
    </row>
    <row r="83" spans="1:10" ht="18.95" customHeight="1" x14ac:dyDescent="0.2">
      <c r="A83" s="750" t="s">
        <v>329</v>
      </c>
      <c r="B83" s="809" t="s">
        <v>952</v>
      </c>
      <c r="C83" s="810" t="s">
        <v>839</v>
      </c>
      <c r="D83" s="811">
        <v>28958197818</v>
      </c>
      <c r="E83" s="812">
        <v>46032</v>
      </c>
      <c r="F83" s="813">
        <v>33755</v>
      </c>
      <c r="G83" s="814">
        <f>'82'!H56</f>
        <v>-4</v>
      </c>
      <c r="J83" s="96"/>
    </row>
    <row r="84" spans="1:10" ht="18.95" customHeight="1" x14ac:dyDescent="0.2">
      <c r="A84" s="750" t="s">
        <v>330</v>
      </c>
      <c r="B84" s="809" t="s">
        <v>1028</v>
      </c>
      <c r="C84" s="810" t="s">
        <v>153</v>
      </c>
      <c r="D84" s="811">
        <v>35258203682</v>
      </c>
      <c r="E84" s="812">
        <v>46134</v>
      </c>
      <c r="F84" s="813">
        <v>24603</v>
      </c>
      <c r="G84" s="814">
        <f>'83'!H38</f>
        <v>-2</v>
      </c>
    </row>
    <row r="85" spans="1:10" ht="18.95" customHeight="1" x14ac:dyDescent="0.2">
      <c r="A85" s="750" t="s">
        <v>331</v>
      </c>
      <c r="B85" s="809" t="s">
        <v>334</v>
      </c>
      <c r="C85" s="810" t="s">
        <v>403</v>
      </c>
      <c r="D85" s="811">
        <v>43417238574</v>
      </c>
      <c r="E85" s="812">
        <v>44798</v>
      </c>
      <c r="F85" s="813">
        <v>23073</v>
      </c>
      <c r="G85" s="814">
        <f>'84'!H40</f>
        <v>25</v>
      </c>
    </row>
    <row r="86" spans="1:10" ht="18.95" customHeight="1" x14ac:dyDescent="0.2">
      <c r="A86" s="750" t="s">
        <v>332</v>
      </c>
      <c r="B86" s="809" t="s">
        <v>957</v>
      </c>
      <c r="C86" s="810" t="s">
        <v>655</v>
      </c>
      <c r="D86" s="811">
        <v>19688819842</v>
      </c>
      <c r="E86" s="812">
        <v>46047</v>
      </c>
      <c r="F86" s="813">
        <v>21884</v>
      </c>
      <c r="G86" s="814">
        <f>'85'!H36</f>
        <v>-1</v>
      </c>
    </row>
    <row r="87" spans="1:10" ht="18.95" customHeight="1" x14ac:dyDescent="0.2">
      <c r="A87" s="750" t="s">
        <v>333</v>
      </c>
      <c r="B87" s="809" t="s">
        <v>545</v>
      </c>
      <c r="C87" s="810" t="s">
        <v>153</v>
      </c>
      <c r="D87" s="811">
        <v>39010350652</v>
      </c>
      <c r="E87" s="812">
        <v>45140</v>
      </c>
      <c r="F87" s="813">
        <v>26600</v>
      </c>
      <c r="G87" s="814">
        <f>'86'!H41</f>
        <v>5</v>
      </c>
    </row>
    <row r="88" spans="1:10" ht="18.95" customHeight="1" x14ac:dyDescent="0.2">
      <c r="A88" s="750" t="s">
        <v>335</v>
      </c>
      <c r="B88" s="809" t="s">
        <v>444</v>
      </c>
      <c r="C88" s="810" t="s">
        <v>445</v>
      </c>
      <c r="D88" s="811">
        <v>23827780108</v>
      </c>
      <c r="E88" s="812">
        <v>45174</v>
      </c>
      <c r="F88" s="813">
        <v>33557</v>
      </c>
      <c r="G88" s="814">
        <f>'87'!H71</f>
        <v>-4</v>
      </c>
    </row>
    <row r="89" spans="1:10" ht="18.95" customHeight="1" x14ac:dyDescent="0.2">
      <c r="A89" s="750">
        <v>88</v>
      </c>
      <c r="B89" s="809" t="s">
        <v>922</v>
      </c>
      <c r="C89" s="810" t="s">
        <v>885</v>
      </c>
      <c r="D89" s="811">
        <v>53749624976</v>
      </c>
      <c r="E89" s="812">
        <v>45856</v>
      </c>
      <c r="F89" s="813">
        <v>32071</v>
      </c>
      <c r="G89" s="814">
        <f>'88'!H34</f>
        <v>-6.5</v>
      </c>
    </row>
    <row r="90" spans="1:10" ht="18.95" customHeight="1" x14ac:dyDescent="0.2">
      <c r="A90" s="750">
        <v>89</v>
      </c>
      <c r="B90" s="809" t="s">
        <v>953</v>
      </c>
      <c r="C90" s="810" t="s">
        <v>224</v>
      </c>
      <c r="D90" s="811">
        <v>63742268558</v>
      </c>
      <c r="E90" s="812">
        <v>45824</v>
      </c>
      <c r="F90" s="813">
        <v>25552</v>
      </c>
      <c r="G90" s="814">
        <f>'89'!H35</f>
        <v>7</v>
      </c>
    </row>
    <row r="91" spans="1:10" ht="18.95" customHeight="1" x14ac:dyDescent="0.2">
      <c r="A91" s="750">
        <v>90</v>
      </c>
      <c r="B91" s="809" t="s">
        <v>955</v>
      </c>
      <c r="C91" s="810" t="s">
        <v>153</v>
      </c>
      <c r="D91" s="811">
        <v>10028653768</v>
      </c>
      <c r="E91" s="812">
        <v>45838</v>
      </c>
      <c r="F91" s="813">
        <v>28804</v>
      </c>
      <c r="G91" s="814">
        <f>'90'!H31</f>
        <v>-3</v>
      </c>
    </row>
    <row r="92" spans="1:10" ht="18.95" customHeight="1" x14ac:dyDescent="0.2">
      <c r="A92" s="750">
        <v>91</v>
      </c>
      <c r="B92" s="809" t="s">
        <v>466</v>
      </c>
      <c r="C92" s="810" t="s">
        <v>191</v>
      </c>
      <c r="D92" s="811">
        <v>16256022284</v>
      </c>
      <c r="E92" s="812">
        <v>44805</v>
      </c>
      <c r="F92" s="813">
        <v>32893</v>
      </c>
      <c r="G92" s="814">
        <f>'91'!H43</f>
        <v>9</v>
      </c>
    </row>
    <row r="93" spans="1:10" ht="18.95" customHeight="1" x14ac:dyDescent="0.2">
      <c r="A93" s="750">
        <v>92</v>
      </c>
      <c r="B93" s="809" t="s">
        <v>1025</v>
      </c>
      <c r="C93" s="810" t="s">
        <v>669</v>
      </c>
      <c r="D93" s="811">
        <v>16541865534</v>
      </c>
      <c r="E93" s="965">
        <v>46107</v>
      </c>
      <c r="F93" s="813">
        <v>38786</v>
      </c>
      <c r="G93" s="814">
        <f>'92'!H37</f>
        <v>-11</v>
      </c>
    </row>
    <row r="94" spans="1:10" ht="18.95" customHeight="1" x14ac:dyDescent="0.2">
      <c r="A94" s="750">
        <v>93</v>
      </c>
      <c r="B94" s="809" t="s">
        <v>382</v>
      </c>
      <c r="C94" s="810" t="s">
        <v>383</v>
      </c>
      <c r="D94" s="811">
        <v>10934681350</v>
      </c>
      <c r="E94" s="812">
        <v>44622</v>
      </c>
      <c r="F94" s="813">
        <v>35344</v>
      </c>
      <c r="G94" s="814">
        <f>'93'!H43</f>
        <v>26.5</v>
      </c>
    </row>
    <row r="95" spans="1:10" ht="18.95" customHeight="1" x14ac:dyDescent="0.2">
      <c r="A95" s="750">
        <v>94</v>
      </c>
      <c r="B95" s="809" t="s">
        <v>522</v>
      </c>
      <c r="C95" s="810" t="s">
        <v>523</v>
      </c>
      <c r="D95" s="811">
        <v>54160512958</v>
      </c>
      <c r="E95" s="812">
        <v>45217</v>
      </c>
      <c r="F95" s="813">
        <v>36039</v>
      </c>
      <c r="G95" s="814">
        <f>'94'!H26</f>
        <v>12</v>
      </c>
    </row>
    <row r="96" spans="1:10" ht="18.95" customHeight="1" x14ac:dyDescent="0.2">
      <c r="A96" s="750">
        <v>95</v>
      </c>
      <c r="B96" s="809" t="s">
        <v>384</v>
      </c>
      <c r="C96" s="810" t="s">
        <v>153</v>
      </c>
      <c r="D96" s="811">
        <v>15692782370</v>
      </c>
      <c r="E96" s="812">
        <v>45301</v>
      </c>
      <c r="F96" s="813">
        <v>18297</v>
      </c>
      <c r="G96" s="814">
        <f>'95'!H33</f>
        <v>26</v>
      </c>
    </row>
    <row r="97" spans="1:7" ht="18.95" customHeight="1" x14ac:dyDescent="0.2">
      <c r="A97" s="603">
        <v>96</v>
      </c>
      <c r="B97" s="605" t="s">
        <v>385</v>
      </c>
      <c r="C97" s="606" t="s">
        <v>153</v>
      </c>
      <c r="D97" s="607">
        <v>41572588572</v>
      </c>
      <c r="E97" s="608">
        <v>44802</v>
      </c>
      <c r="F97" s="609">
        <v>32068</v>
      </c>
      <c r="G97" s="610">
        <f>'96'!H41</f>
        <v>-2.5</v>
      </c>
    </row>
    <row r="98" spans="1:7" ht="18.95" customHeight="1" x14ac:dyDescent="0.2">
      <c r="A98" s="603">
        <v>97</v>
      </c>
      <c r="B98" s="605" t="s">
        <v>588</v>
      </c>
      <c r="C98" s="606" t="s">
        <v>579</v>
      </c>
      <c r="D98" s="607">
        <v>58597346568</v>
      </c>
      <c r="E98" s="608">
        <v>45468</v>
      </c>
      <c r="F98" s="609">
        <v>23126</v>
      </c>
      <c r="G98" s="610">
        <f>'97'!H26</f>
        <v>-9</v>
      </c>
    </row>
    <row r="99" spans="1:7" ht="18.95" customHeight="1" x14ac:dyDescent="0.2">
      <c r="A99" s="750">
        <v>98</v>
      </c>
      <c r="B99" s="809" t="s">
        <v>386</v>
      </c>
      <c r="C99" s="810" t="s">
        <v>191</v>
      </c>
      <c r="D99" s="811">
        <v>11981918604</v>
      </c>
      <c r="E99" s="812">
        <v>44853</v>
      </c>
      <c r="F99" s="813">
        <v>28856</v>
      </c>
      <c r="G99" s="814">
        <f>'98'!H41</f>
        <v>19</v>
      </c>
    </row>
    <row r="100" spans="1:7" ht="18.95" customHeight="1" x14ac:dyDescent="0.2">
      <c r="A100" s="750">
        <v>99</v>
      </c>
      <c r="B100" s="809" t="s">
        <v>387</v>
      </c>
      <c r="C100" s="810" t="s">
        <v>224</v>
      </c>
      <c r="D100" s="811">
        <v>42862841858</v>
      </c>
      <c r="E100" s="812">
        <v>44846</v>
      </c>
      <c r="F100" s="813">
        <v>32883</v>
      </c>
      <c r="G100" s="814">
        <f>'99'!H38</f>
        <v>8.5</v>
      </c>
    </row>
    <row r="101" spans="1:7" ht="18.95" customHeight="1" x14ac:dyDescent="0.2">
      <c r="A101" s="750">
        <v>100</v>
      </c>
      <c r="B101" s="809" t="s">
        <v>459</v>
      </c>
      <c r="C101" s="810" t="s">
        <v>191</v>
      </c>
      <c r="D101" s="811">
        <v>12005917870</v>
      </c>
      <c r="E101" s="812">
        <v>45211</v>
      </c>
      <c r="F101" s="813">
        <v>25749</v>
      </c>
      <c r="G101" s="814">
        <f>'100'!H31</f>
        <v>18</v>
      </c>
    </row>
    <row r="102" spans="1:7" ht="18.95" customHeight="1" x14ac:dyDescent="0.2">
      <c r="A102" s="750">
        <v>101</v>
      </c>
      <c r="B102" s="809" t="s">
        <v>836</v>
      </c>
      <c r="C102" s="810" t="s">
        <v>248</v>
      </c>
      <c r="D102" s="811">
        <v>20203683756</v>
      </c>
      <c r="E102" s="812">
        <v>45364</v>
      </c>
      <c r="F102" s="813">
        <v>28281</v>
      </c>
      <c r="G102" s="814">
        <f>'101'!H35</f>
        <v>8</v>
      </c>
    </row>
    <row r="103" spans="1:7" ht="18.95" customHeight="1" x14ac:dyDescent="0.2">
      <c r="A103" s="750">
        <v>102</v>
      </c>
      <c r="B103" s="809" t="s">
        <v>796</v>
      </c>
      <c r="C103" s="810" t="s">
        <v>797</v>
      </c>
      <c r="D103" s="811">
        <v>15554874830</v>
      </c>
      <c r="E103" s="812">
        <v>45841</v>
      </c>
      <c r="F103" s="813">
        <v>21961</v>
      </c>
      <c r="G103" s="814">
        <f>'102'!H36</f>
        <v>13</v>
      </c>
    </row>
    <row r="104" spans="1:7" ht="18.95" customHeight="1" x14ac:dyDescent="0.2">
      <c r="A104" s="750">
        <v>103</v>
      </c>
      <c r="B104" s="809" t="s">
        <v>562</v>
      </c>
      <c r="C104" s="810" t="s">
        <v>563</v>
      </c>
      <c r="D104" s="811">
        <v>15418528374</v>
      </c>
      <c r="E104" s="812">
        <v>45413</v>
      </c>
      <c r="F104" s="813">
        <v>29275</v>
      </c>
      <c r="G104" s="814">
        <f>'103.'!H35</f>
        <v>21</v>
      </c>
    </row>
    <row r="105" spans="1:7" ht="18.95" customHeight="1" x14ac:dyDescent="0.2">
      <c r="A105" s="750">
        <v>104</v>
      </c>
      <c r="B105" s="809" t="s">
        <v>928</v>
      </c>
      <c r="C105" s="810" t="s">
        <v>141</v>
      </c>
      <c r="D105" s="811">
        <v>67213144198</v>
      </c>
      <c r="E105" s="812">
        <v>45406</v>
      </c>
      <c r="F105" s="813">
        <v>26187</v>
      </c>
      <c r="G105" s="814">
        <f>'104.'!H27</f>
        <v>10</v>
      </c>
    </row>
    <row r="106" spans="1:7" ht="18.95" customHeight="1" x14ac:dyDescent="0.2">
      <c r="A106" s="750">
        <v>105</v>
      </c>
      <c r="B106" s="809" t="s">
        <v>437</v>
      </c>
      <c r="C106" s="810" t="s">
        <v>292</v>
      </c>
      <c r="D106" s="811">
        <v>27746260284</v>
      </c>
      <c r="E106" s="812">
        <v>44845</v>
      </c>
      <c r="F106" s="813">
        <v>22899</v>
      </c>
      <c r="G106" s="814">
        <f>'105.'!H35</f>
        <v>3</v>
      </c>
    </row>
    <row r="107" spans="1:7" ht="18.95" customHeight="1" x14ac:dyDescent="0.2">
      <c r="A107" s="750">
        <v>106</v>
      </c>
      <c r="B107" s="809" t="s">
        <v>424</v>
      </c>
      <c r="C107" s="810" t="s">
        <v>153</v>
      </c>
      <c r="D107" s="811">
        <v>36581078312</v>
      </c>
      <c r="E107" s="812">
        <v>44663</v>
      </c>
      <c r="F107" s="813">
        <v>27032</v>
      </c>
      <c r="G107" s="814">
        <f>'106.'!H34</f>
        <v>14</v>
      </c>
    </row>
    <row r="108" spans="1:7" ht="18.95" customHeight="1" x14ac:dyDescent="0.2">
      <c r="A108" s="750">
        <v>107</v>
      </c>
      <c r="B108" s="809" t="s">
        <v>650</v>
      </c>
      <c r="C108" s="810" t="s">
        <v>153</v>
      </c>
      <c r="D108" s="811">
        <v>19367344962</v>
      </c>
      <c r="E108" s="812">
        <v>45517</v>
      </c>
      <c r="F108" s="813">
        <v>28430</v>
      </c>
      <c r="G108" s="814">
        <f>'107'!H40</f>
        <v>-11.5</v>
      </c>
    </row>
    <row r="109" spans="1:7" ht="18.95" customHeight="1" x14ac:dyDescent="0.2">
      <c r="A109" s="220">
        <v>108</v>
      </c>
      <c r="B109" s="569" t="s">
        <v>425</v>
      </c>
      <c r="C109" s="570" t="s">
        <v>141</v>
      </c>
      <c r="D109" s="571">
        <v>51202277578</v>
      </c>
      <c r="E109" s="572">
        <v>45880</v>
      </c>
      <c r="F109" s="573">
        <v>27457</v>
      </c>
      <c r="G109" s="574">
        <f>'108'!H30</f>
        <v>-21</v>
      </c>
    </row>
    <row r="110" spans="1:7" ht="18.95" customHeight="1" x14ac:dyDescent="0.2">
      <c r="A110" s="750">
        <v>109</v>
      </c>
      <c r="B110" s="809" t="s">
        <v>426</v>
      </c>
      <c r="C110" s="810" t="s">
        <v>731</v>
      </c>
      <c r="D110" s="811">
        <v>56386429430</v>
      </c>
      <c r="E110" s="812">
        <v>44959</v>
      </c>
      <c r="F110" s="813">
        <v>25463</v>
      </c>
      <c r="G110" s="814">
        <f>'109'!H34</f>
        <v>18</v>
      </c>
    </row>
    <row r="111" spans="1:7" ht="18.95" customHeight="1" x14ac:dyDescent="0.2">
      <c r="A111" s="750">
        <v>110</v>
      </c>
      <c r="B111" s="809" t="s">
        <v>635</v>
      </c>
      <c r="C111" s="810" t="s">
        <v>636</v>
      </c>
      <c r="D111" s="811">
        <v>44446911698</v>
      </c>
      <c r="E111" s="812">
        <v>44471</v>
      </c>
      <c r="F111" s="813">
        <v>25263</v>
      </c>
      <c r="G111" s="814">
        <f>'110'!H34</f>
        <v>45</v>
      </c>
    </row>
    <row r="112" spans="1:7" ht="18.95" customHeight="1" x14ac:dyDescent="0.2">
      <c r="A112" s="750">
        <v>111</v>
      </c>
      <c r="B112" s="809" t="s">
        <v>428</v>
      </c>
      <c r="C112" s="810" t="s">
        <v>191</v>
      </c>
      <c r="D112" s="811">
        <v>23338788754</v>
      </c>
      <c r="E112" s="812">
        <v>45017</v>
      </c>
      <c r="F112" s="813">
        <v>28378</v>
      </c>
      <c r="G112" s="814">
        <f>'111.'!H37</f>
        <v>17.5</v>
      </c>
    </row>
    <row r="113" spans="1:7" ht="18.95" customHeight="1" x14ac:dyDescent="0.2">
      <c r="A113" s="220">
        <v>112</v>
      </c>
      <c r="B113" s="809" t="s">
        <v>980</v>
      </c>
      <c r="C113" s="570" t="s">
        <v>248</v>
      </c>
      <c r="D113" s="571">
        <v>29437989832</v>
      </c>
      <c r="E113" s="572">
        <v>45936</v>
      </c>
      <c r="F113" s="573">
        <v>29129</v>
      </c>
      <c r="G113" s="574">
        <f>'112'!H25</f>
        <v>-2</v>
      </c>
    </row>
    <row r="114" spans="1:7" ht="18.95" customHeight="1" x14ac:dyDescent="0.2">
      <c r="A114" s="750">
        <v>113</v>
      </c>
      <c r="B114" s="809" t="s">
        <v>488</v>
      </c>
      <c r="C114" s="810" t="s">
        <v>191</v>
      </c>
      <c r="D114" s="811">
        <v>37588311624</v>
      </c>
      <c r="E114" s="812">
        <v>45042</v>
      </c>
      <c r="F114" s="813">
        <v>32592</v>
      </c>
      <c r="G114" s="814">
        <f>'113'!H40</f>
        <v>11.5</v>
      </c>
    </row>
    <row r="115" spans="1:7" ht="18.95" customHeight="1" x14ac:dyDescent="0.2">
      <c r="A115" s="750">
        <v>114</v>
      </c>
      <c r="B115" s="809" t="s">
        <v>931</v>
      </c>
      <c r="C115" s="810" t="s">
        <v>932</v>
      </c>
      <c r="D115" s="811">
        <v>26908313158</v>
      </c>
      <c r="E115" s="812">
        <v>45737</v>
      </c>
      <c r="F115" s="813">
        <v>34548</v>
      </c>
      <c r="G115" s="814">
        <f>'114'!H35</f>
        <v>9</v>
      </c>
    </row>
    <row r="116" spans="1:7" ht="18.95" customHeight="1" x14ac:dyDescent="0.2">
      <c r="A116" s="750">
        <v>115</v>
      </c>
      <c r="B116" s="809" t="s">
        <v>460</v>
      </c>
      <c r="C116" s="810" t="s">
        <v>191</v>
      </c>
      <c r="D116" s="811">
        <v>58300236254</v>
      </c>
      <c r="E116" s="812">
        <v>45182</v>
      </c>
      <c r="F116" s="813">
        <v>36986</v>
      </c>
      <c r="G116" s="814">
        <f>'115'!H36</f>
        <v>16.5</v>
      </c>
    </row>
    <row r="117" spans="1:7" ht="18.95" customHeight="1" x14ac:dyDescent="0.2">
      <c r="A117" s="750">
        <v>116</v>
      </c>
      <c r="B117" s="809" t="s">
        <v>436</v>
      </c>
      <c r="C117" s="810" t="s">
        <v>191</v>
      </c>
      <c r="D117" s="811">
        <v>17026808036</v>
      </c>
      <c r="E117" s="812">
        <v>45028</v>
      </c>
      <c r="F117" s="813">
        <v>36732</v>
      </c>
      <c r="G117" s="814">
        <f>'116'!H35</f>
        <v>20.5</v>
      </c>
    </row>
    <row r="118" spans="1:7" ht="18.95" customHeight="1" x14ac:dyDescent="0.2">
      <c r="A118" s="750">
        <v>117</v>
      </c>
      <c r="B118" s="809" t="s">
        <v>481</v>
      </c>
      <c r="C118" s="810" t="s">
        <v>155</v>
      </c>
      <c r="D118" s="811">
        <v>36086308846</v>
      </c>
      <c r="E118" s="812">
        <v>45154</v>
      </c>
      <c r="F118" s="813">
        <v>33147</v>
      </c>
      <c r="G118" s="814">
        <f>'117'!H43</f>
        <v>14.5</v>
      </c>
    </row>
    <row r="119" spans="1:7" ht="18.95" customHeight="1" x14ac:dyDescent="0.2">
      <c r="A119" s="750">
        <v>118</v>
      </c>
      <c r="B119" s="809" t="s">
        <v>916</v>
      </c>
      <c r="C119" s="810" t="s">
        <v>878</v>
      </c>
      <c r="D119" s="811">
        <v>41983167380</v>
      </c>
      <c r="E119" s="812">
        <v>45597</v>
      </c>
      <c r="F119" s="813">
        <v>32139</v>
      </c>
      <c r="G119" s="814">
        <f>'118'!H39</f>
        <v>-12</v>
      </c>
    </row>
    <row r="120" spans="1:7" ht="18.95" customHeight="1" x14ac:dyDescent="0.2">
      <c r="A120" s="750">
        <v>119</v>
      </c>
      <c r="B120" s="809" t="s">
        <v>778</v>
      </c>
      <c r="C120" s="810" t="s">
        <v>779</v>
      </c>
      <c r="D120" s="811">
        <v>68734165426</v>
      </c>
      <c r="E120" s="812">
        <v>45730</v>
      </c>
      <c r="F120" s="813">
        <v>28926</v>
      </c>
      <c r="G120" s="814">
        <f>'119'!H35</f>
        <v>4</v>
      </c>
    </row>
    <row r="121" spans="1:7" ht="18.95" customHeight="1" x14ac:dyDescent="0.2">
      <c r="A121" s="750">
        <v>120</v>
      </c>
      <c r="B121" s="809" t="s">
        <v>589</v>
      </c>
      <c r="C121" s="810" t="s">
        <v>590</v>
      </c>
      <c r="D121" s="811">
        <v>31295248846</v>
      </c>
      <c r="E121" s="812">
        <v>44235</v>
      </c>
      <c r="F121" s="813">
        <v>30244</v>
      </c>
      <c r="G121" s="814">
        <f>'120'!H34</f>
        <v>42.5</v>
      </c>
    </row>
    <row r="122" spans="1:7" ht="18.95" customHeight="1" x14ac:dyDescent="0.2">
      <c r="A122" s="750">
        <v>121</v>
      </c>
      <c r="B122" s="605" t="s">
        <v>879</v>
      </c>
      <c r="C122" s="606" t="s">
        <v>880</v>
      </c>
      <c r="D122" s="607">
        <v>26491683638</v>
      </c>
      <c r="E122" s="608">
        <v>45558</v>
      </c>
      <c r="F122" s="609">
        <v>31717</v>
      </c>
      <c r="G122" s="610">
        <f>'121'!H33</f>
        <v>-2</v>
      </c>
    </row>
    <row r="123" spans="1:7" ht="18.95" customHeight="1" x14ac:dyDescent="0.2">
      <c r="A123" s="750">
        <v>122</v>
      </c>
      <c r="B123" s="809" t="s">
        <v>787</v>
      </c>
      <c r="C123" s="810" t="s">
        <v>289</v>
      </c>
      <c r="D123" s="811">
        <v>46843610068</v>
      </c>
      <c r="E123" s="812">
        <v>45566</v>
      </c>
      <c r="F123" s="813">
        <v>28888</v>
      </c>
      <c r="G123" s="814">
        <f>'122'!H33</f>
        <v>12.5</v>
      </c>
    </row>
    <row r="124" spans="1:7" ht="18.95" customHeight="1" x14ac:dyDescent="0.2">
      <c r="A124" s="750">
        <v>123</v>
      </c>
      <c r="B124" s="809" t="s">
        <v>1029</v>
      </c>
      <c r="C124" s="810" t="s">
        <v>208</v>
      </c>
      <c r="D124" s="811">
        <v>40378341886</v>
      </c>
      <c r="E124" s="812">
        <v>46120</v>
      </c>
      <c r="F124" s="813">
        <v>31797</v>
      </c>
      <c r="G124" s="814">
        <f>'123'!H33</f>
        <v>-1</v>
      </c>
    </row>
    <row r="125" spans="1:7" ht="18.95" customHeight="1" x14ac:dyDescent="0.2">
      <c r="A125" s="750">
        <v>124</v>
      </c>
      <c r="B125" s="809" t="s">
        <v>1007</v>
      </c>
      <c r="C125" s="810" t="s">
        <v>784</v>
      </c>
      <c r="D125" s="811">
        <v>66652234880</v>
      </c>
      <c r="E125" s="812">
        <v>45765</v>
      </c>
      <c r="F125" s="813">
        <v>25832</v>
      </c>
      <c r="G125" s="814">
        <f>'124'!H33</f>
        <v>5</v>
      </c>
    </row>
    <row r="126" spans="1:7" ht="18.95" customHeight="1" x14ac:dyDescent="0.2">
      <c r="A126" s="750">
        <v>125</v>
      </c>
      <c r="B126" s="809" t="s">
        <v>977</v>
      </c>
      <c r="C126" s="810" t="s">
        <v>655</v>
      </c>
      <c r="D126" s="811">
        <v>11277017332</v>
      </c>
      <c r="E126" s="812">
        <v>45807</v>
      </c>
      <c r="F126" s="813">
        <v>26969</v>
      </c>
      <c r="G126" s="814">
        <f>'125'!H32</f>
        <v>11</v>
      </c>
    </row>
    <row r="127" spans="1:7" ht="18.95" customHeight="1" x14ac:dyDescent="0.2">
      <c r="A127" s="750">
        <v>126</v>
      </c>
      <c r="B127" s="809" t="s">
        <v>788</v>
      </c>
      <c r="C127" s="810" t="s">
        <v>289</v>
      </c>
      <c r="D127" s="811">
        <v>23906504830</v>
      </c>
      <c r="E127" s="812">
        <v>45566</v>
      </c>
      <c r="F127" s="813">
        <v>32679</v>
      </c>
      <c r="G127" s="814">
        <f>'126'!H34</f>
        <v>-5.5</v>
      </c>
    </row>
    <row r="128" spans="1:7" ht="18.95" customHeight="1" x14ac:dyDescent="0.2">
      <c r="A128" s="913">
        <v>127</v>
      </c>
      <c r="B128" s="809" t="s">
        <v>789</v>
      </c>
      <c r="C128" s="810" t="s">
        <v>790</v>
      </c>
      <c r="D128" s="811">
        <v>23906504831</v>
      </c>
      <c r="E128" s="812">
        <v>45667</v>
      </c>
      <c r="F128" s="813">
        <v>35910</v>
      </c>
      <c r="G128" s="814">
        <f>'127'!H33</f>
        <v>-4</v>
      </c>
    </row>
    <row r="129" spans="1:7" ht="18.95" customHeight="1" x14ac:dyDescent="0.2">
      <c r="A129" s="913">
        <v>128</v>
      </c>
      <c r="B129" s="809" t="s">
        <v>992</v>
      </c>
      <c r="C129" s="810" t="s">
        <v>839</v>
      </c>
      <c r="D129" s="811">
        <v>62059409050</v>
      </c>
      <c r="E129" s="812">
        <v>45841</v>
      </c>
      <c r="F129" s="813">
        <v>31301</v>
      </c>
      <c r="G129" s="814">
        <f>'128'!H33</f>
        <v>-3</v>
      </c>
    </row>
    <row r="130" spans="1:7" ht="18.95" customHeight="1" x14ac:dyDescent="0.2">
      <c r="A130" s="750">
        <v>129</v>
      </c>
      <c r="B130" s="809" t="s">
        <v>927</v>
      </c>
      <c r="C130" s="810" t="s">
        <v>395</v>
      </c>
      <c r="D130" s="811">
        <v>37249333576</v>
      </c>
      <c r="E130" s="812">
        <v>45958</v>
      </c>
      <c r="F130" s="813">
        <v>33919</v>
      </c>
      <c r="G130" s="814">
        <f>'129'!H33</f>
        <v>-10</v>
      </c>
    </row>
    <row r="131" spans="1:7" ht="18.95" customHeight="1" x14ac:dyDescent="0.2">
      <c r="A131" s="750">
        <v>130</v>
      </c>
      <c r="B131" s="809" t="s">
        <v>799</v>
      </c>
      <c r="C131" s="810" t="s">
        <v>141</v>
      </c>
      <c r="D131" s="811">
        <v>43529026304</v>
      </c>
      <c r="E131" s="812">
        <v>45759</v>
      </c>
      <c r="F131" s="813">
        <v>27454</v>
      </c>
      <c r="G131" s="814">
        <f>'130'!H34</f>
        <v>0</v>
      </c>
    </row>
    <row r="132" spans="1:7" ht="18.95" customHeight="1" x14ac:dyDescent="0.2">
      <c r="A132" s="750">
        <v>131</v>
      </c>
      <c r="B132" s="809" t="s">
        <v>976</v>
      </c>
      <c r="C132" s="810" t="s">
        <v>839</v>
      </c>
      <c r="D132" s="811">
        <v>68995018264</v>
      </c>
      <c r="E132" s="812">
        <v>46060</v>
      </c>
      <c r="F132" s="813">
        <v>34243</v>
      </c>
      <c r="G132" s="814">
        <f>'131'!H34</f>
        <v>-2</v>
      </c>
    </row>
    <row r="133" spans="1:7" ht="18.95" customHeight="1" x14ac:dyDescent="0.2">
      <c r="A133" s="750">
        <v>132</v>
      </c>
      <c r="B133" s="809" t="s">
        <v>829</v>
      </c>
      <c r="C133" s="810" t="s">
        <v>655</v>
      </c>
      <c r="D133" s="811">
        <v>14906032140</v>
      </c>
      <c r="E133" s="812">
        <v>45752</v>
      </c>
      <c r="F133" s="813">
        <v>35312</v>
      </c>
      <c r="G133" s="814">
        <f>'132'!H33</f>
        <v>9</v>
      </c>
    </row>
    <row r="134" spans="1:7" ht="18.95" customHeight="1" x14ac:dyDescent="0.2">
      <c r="A134" s="750">
        <v>133</v>
      </c>
      <c r="B134" s="809" t="s">
        <v>862</v>
      </c>
      <c r="C134" s="810" t="s">
        <v>141</v>
      </c>
      <c r="D134" s="811">
        <v>17333609046</v>
      </c>
      <c r="E134" s="812">
        <v>45818</v>
      </c>
      <c r="F134" s="813">
        <v>31324</v>
      </c>
      <c r="G134" s="814">
        <f>'132'!H34</f>
        <v>0</v>
      </c>
    </row>
    <row r="135" spans="1:7" ht="18.95" customHeight="1" x14ac:dyDescent="0.2">
      <c r="A135" s="750">
        <v>134</v>
      </c>
      <c r="B135" s="809" t="s">
        <v>886</v>
      </c>
      <c r="C135" s="810" t="s">
        <v>191</v>
      </c>
      <c r="D135" s="811">
        <v>10422092910</v>
      </c>
      <c r="E135" s="812">
        <v>45912</v>
      </c>
      <c r="F135" s="813">
        <v>38458</v>
      </c>
      <c r="G135" s="814">
        <f>'134'!H34</f>
        <v>5.5</v>
      </c>
    </row>
    <row r="136" spans="1:7" ht="18.95" customHeight="1" x14ac:dyDescent="0.2">
      <c r="A136" s="913">
        <v>135</v>
      </c>
      <c r="B136" s="809" t="s">
        <v>924</v>
      </c>
      <c r="C136" s="810" t="s">
        <v>226</v>
      </c>
      <c r="D136" s="1007">
        <v>13865126518</v>
      </c>
      <c r="E136" s="812">
        <v>45957</v>
      </c>
      <c r="F136" s="813">
        <v>26395</v>
      </c>
      <c r="G136" s="814">
        <f>'135'!H33</f>
        <v>-1</v>
      </c>
    </row>
    <row r="137" spans="1:7" ht="18.95" customHeight="1" x14ac:dyDescent="0.2">
      <c r="A137" s="1013">
        <v>136</v>
      </c>
      <c r="B137" s="809" t="s">
        <v>975</v>
      </c>
      <c r="C137" s="810" t="s">
        <v>141</v>
      </c>
      <c r="D137" s="1012">
        <v>31705447944</v>
      </c>
      <c r="E137" s="812">
        <v>46020</v>
      </c>
      <c r="F137" s="813">
        <v>31817</v>
      </c>
      <c r="G137" s="814">
        <f>'136'!H33</f>
        <v>-3</v>
      </c>
    </row>
    <row r="138" spans="1:7" ht="18.95" customHeight="1" x14ac:dyDescent="0.2">
      <c r="A138" s="1052">
        <v>137</v>
      </c>
      <c r="B138" s="809" t="s">
        <v>993</v>
      </c>
      <c r="C138" s="810" t="s">
        <v>224</v>
      </c>
      <c r="D138" s="1012">
        <v>13889930214</v>
      </c>
      <c r="E138" s="812">
        <v>45966</v>
      </c>
      <c r="F138" s="813">
        <v>31486</v>
      </c>
      <c r="G138" s="814">
        <f>'137'!H33</f>
        <v>-1</v>
      </c>
    </row>
    <row r="139" spans="1:7" ht="18.95" customHeight="1" x14ac:dyDescent="0.2">
      <c r="A139" s="1052">
        <v>138</v>
      </c>
      <c r="B139" s="809" t="s">
        <v>995</v>
      </c>
      <c r="C139" s="810" t="s">
        <v>141</v>
      </c>
      <c r="D139" s="1012">
        <v>17785973726</v>
      </c>
      <c r="E139" s="812">
        <v>46063</v>
      </c>
      <c r="F139" s="813">
        <v>24624</v>
      </c>
      <c r="G139" s="814">
        <f>'138'!H33</f>
        <v>-5</v>
      </c>
    </row>
    <row r="140" spans="1:7" ht="18.95" customHeight="1" x14ac:dyDescent="0.2">
      <c r="A140" s="1052">
        <v>139</v>
      </c>
      <c r="B140" s="809" t="s">
        <v>996</v>
      </c>
      <c r="C140" s="810" t="s">
        <v>885</v>
      </c>
      <c r="D140" s="1012">
        <v>21449331142</v>
      </c>
      <c r="E140" s="812">
        <v>45986</v>
      </c>
      <c r="F140" s="813">
        <v>39134</v>
      </c>
      <c r="G140" s="814">
        <f>'138'!H33</f>
        <v>-5</v>
      </c>
    </row>
    <row r="141" spans="1:7" ht="18.95" customHeight="1" x14ac:dyDescent="0.2">
      <c r="A141" s="1052">
        <v>140</v>
      </c>
      <c r="B141" s="809" t="s">
        <v>997</v>
      </c>
      <c r="C141" s="810" t="s">
        <v>141</v>
      </c>
      <c r="D141" s="1012">
        <v>27080444302</v>
      </c>
      <c r="E141" s="812">
        <v>46085</v>
      </c>
      <c r="F141" s="813">
        <v>26044</v>
      </c>
      <c r="G141" s="814">
        <f>'138'!H33</f>
        <v>-5</v>
      </c>
    </row>
    <row r="142" spans="1:7" ht="18.95" customHeight="1" x14ac:dyDescent="0.2">
      <c r="A142" s="1052">
        <v>141</v>
      </c>
      <c r="B142" s="809" t="s">
        <v>1046</v>
      </c>
      <c r="C142" s="810" t="s">
        <v>224</v>
      </c>
      <c r="D142" s="1012">
        <v>22655206446</v>
      </c>
      <c r="E142" s="812">
        <v>45866</v>
      </c>
      <c r="F142" s="813">
        <v>26653</v>
      </c>
      <c r="G142" s="814">
        <f>'142'!H33</f>
        <v>-2</v>
      </c>
    </row>
    <row r="143" spans="1:7" ht="18.95" customHeight="1" x14ac:dyDescent="0.2">
      <c r="A143" s="1052">
        <v>142</v>
      </c>
      <c r="B143" s="809" t="s">
        <v>998</v>
      </c>
      <c r="C143" s="810" t="s">
        <v>141</v>
      </c>
      <c r="D143" s="1012">
        <v>29266710362</v>
      </c>
      <c r="E143" s="812">
        <v>45345</v>
      </c>
      <c r="F143" s="813">
        <v>27454</v>
      </c>
      <c r="G143" s="814">
        <f>'138'!H33</f>
        <v>-5</v>
      </c>
    </row>
    <row r="144" spans="1:7" ht="18.95" customHeight="1" x14ac:dyDescent="0.2">
      <c r="A144" s="1052">
        <v>143</v>
      </c>
      <c r="B144" s="809" t="s">
        <v>1000</v>
      </c>
      <c r="C144" s="810" t="s">
        <v>655</v>
      </c>
      <c r="D144" s="1012">
        <v>26476077896</v>
      </c>
      <c r="E144" s="812">
        <v>46017</v>
      </c>
      <c r="F144" s="813">
        <v>35268</v>
      </c>
      <c r="G144" s="814">
        <f>'138'!H33</f>
        <v>-5</v>
      </c>
    </row>
    <row r="145" spans="1:7" ht="18.95" customHeight="1" x14ac:dyDescent="0.2">
      <c r="A145" s="1052">
        <v>144</v>
      </c>
      <c r="B145" s="809" t="s">
        <v>1001</v>
      </c>
      <c r="C145" s="810" t="s">
        <v>655</v>
      </c>
      <c r="D145" s="1012">
        <v>36379832720</v>
      </c>
      <c r="E145" s="812">
        <v>46106</v>
      </c>
      <c r="F145" s="813">
        <v>37955</v>
      </c>
      <c r="G145" s="814">
        <f>'138'!H33</f>
        <v>-5</v>
      </c>
    </row>
    <row r="146" spans="1:7" ht="18.95" customHeight="1" x14ac:dyDescent="0.2">
      <c r="A146" s="1052">
        <v>145</v>
      </c>
      <c r="B146" s="809" t="s">
        <v>1030</v>
      </c>
      <c r="C146" s="810" t="s">
        <v>153</v>
      </c>
      <c r="D146" s="1012">
        <v>21526273402</v>
      </c>
      <c r="E146" s="812">
        <v>46130</v>
      </c>
      <c r="F146" s="813">
        <v>26764</v>
      </c>
      <c r="G146" s="814">
        <v>-2</v>
      </c>
    </row>
  </sheetData>
  <mergeCells count="37">
    <mergeCell ref="S25:X25"/>
    <mergeCell ref="S26:X26"/>
    <mergeCell ref="S27:X27"/>
    <mergeCell ref="I24:O24"/>
    <mergeCell ref="I35:L35"/>
    <mergeCell ref="N35:O35"/>
    <mergeCell ref="P29:R29"/>
    <mergeCell ref="S29:X29"/>
    <mergeCell ref="S28:X28"/>
    <mergeCell ref="P24:R24"/>
    <mergeCell ref="P25:R25"/>
    <mergeCell ref="P26:R26"/>
    <mergeCell ref="P27:R27"/>
    <mergeCell ref="P28:R28"/>
    <mergeCell ref="S24:X24"/>
    <mergeCell ref="I25:O25"/>
    <mergeCell ref="I26:O26"/>
    <mergeCell ref="I27:O27"/>
    <mergeCell ref="I28:O28"/>
    <mergeCell ref="I29:O29"/>
    <mergeCell ref="I33:L33"/>
    <mergeCell ref="N33:O33"/>
    <mergeCell ref="I34:L34"/>
    <mergeCell ref="N34:O34"/>
    <mergeCell ref="I31:O31"/>
    <mergeCell ref="I32:L32"/>
    <mergeCell ref="N32:O32"/>
    <mergeCell ref="I2:Z19"/>
    <mergeCell ref="S21:X21"/>
    <mergeCell ref="S22:X22"/>
    <mergeCell ref="S23:X23"/>
    <mergeCell ref="I22:O22"/>
    <mergeCell ref="I21:O21"/>
    <mergeCell ref="I23:O23"/>
    <mergeCell ref="P21:R21"/>
    <mergeCell ref="P22:R22"/>
    <mergeCell ref="P23:R23"/>
  </mergeCells>
  <hyperlinks>
    <hyperlink ref="A2" location="'1'!A1" display="1"/>
    <hyperlink ref="A3" location="'2'!A1" display="2"/>
    <hyperlink ref="A4" location="'3'!A1" display="3"/>
    <hyperlink ref="A5" location="'4'!A1" display="4"/>
    <hyperlink ref="A6" location="'5'!A1" display="5"/>
    <hyperlink ref="A7" location="'6'!A1" display="6"/>
    <hyperlink ref="A8" location="'7'!A1" display="7 "/>
    <hyperlink ref="A9" location="'8'!A1" display="8"/>
    <hyperlink ref="A10" location="'9'!A1" display="9"/>
    <hyperlink ref="A11" location="'10'!A1" display="10"/>
    <hyperlink ref="A12" location="'11'!A1" display="11"/>
    <hyperlink ref="A13" location="'12'!A1" display="12"/>
    <hyperlink ref="A14" location="'13'!A1" display="13"/>
    <hyperlink ref="A15" location="'14'!A1" display="14"/>
    <hyperlink ref="A16" location="'15'!A1" display="15"/>
    <hyperlink ref="A17" location="'16'!A1" display="16"/>
    <hyperlink ref="A18" location="'17'!A1" display="17"/>
    <hyperlink ref="A19" location="'18'!A1" display="18"/>
    <hyperlink ref="A20" location="'19'!A1" display="19"/>
    <hyperlink ref="A21" location="'20'!A1" display="20"/>
    <hyperlink ref="A22" location="'21'!A1" display="21"/>
    <hyperlink ref="A23" location="'22'!A1" display="22"/>
    <hyperlink ref="A24" location="'23'!A1" display="23"/>
    <hyperlink ref="A25" location="'24'!A1" display="24"/>
    <hyperlink ref="A27" location="'26'!A1" display="26"/>
    <hyperlink ref="A28" location="'27'!A1" display="27"/>
    <hyperlink ref="A29" location="'28'!A1" display="28 "/>
    <hyperlink ref="A30" location="'29'!A1" display="29"/>
    <hyperlink ref="A31" location="'30'!A1" display="30"/>
    <hyperlink ref="A32" location="'31'!A1" display="31"/>
    <hyperlink ref="A33" location="'32'!A1" display="32"/>
    <hyperlink ref="A34" location="'33'!A1" display="33"/>
    <hyperlink ref="A35" location="'34'!A1" display="34 "/>
    <hyperlink ref="A37" location="'36'!A1" display="36"/>
    <hyperlink ref="A38" location="'37'!A1" display="37"/>
    <hyperlink ref="A39" location="'38'!A1" display="38"/>
    <hyperlink ref="A40" location="'39'!A1" display="39"/>
    <hyperlink ref="A41" location="'40'!A1" display="40"/>
    <hyperlink ref="A42" location="'41'!A1" display="41"/>
    <hyperlink ref="A43" location="'42'!A1" display="42"/>
    <hyperlink ref="A44" location="'43'!A1" display="43"/>
    <hyperlink ref="A45" location="'44'!A1" display="44"/>
    <hyperlink ref="A46" location="'45'!A1" display="45"/>
    <hyperlink ref="A47" location="'46'!A1" display="46"/>
    <hyperlink ref="A48" location="'47'!A1" display="47"/>
    <hyperlink ref="A49" location="'48'!A1" display="48 "/>
    <hyperlink ref="A50" location="'49'!A1" display="49"/>
    <hyperlink ref="A51" location="'50'!A1" display="50"/>
    <hyperlink ref="A52" location="'51'!A1" display="51"/>
    <hyperlink ref="A55" location="'52'!A1" display="52"/>
    <hyperlink ref="A53" location="'53'!A1" display="53"/>
    <hyperlink ref="A54" location="'54'!A1" display="54"/>
    <hyperlink ref="A56" location="'55'!A1" display="55"/>
    <hyperlink ref="A57" location="'56'!A1" display="56"/>
    <hyperlink ref="A58" location="'57'!A1" display="57"/>
    <hyperlink ref="A59" location="'58'!A1" display="58"/>
    <hyperlink ref="A60" location="'59'!A1" display="59"/>
    <hyperlink ref="A61" location="'60'!A1" display="60"/>
    <hyperlink ref="A62" location="'61'!A1" display="61"/>
    <hyperlink ref="A63" location="'62'!A1" display="62"/>
    <hyperlink ref="A64" location="'63'!A1" display="63"/>
    <hyperlink ref="A65" location="'64'!A1" display="64"/>
    <hyperlink ref="A66" location="'65'!A1" display="65"/>
    <hyperlink ref="A67" location="'66'!A1" display="66"/>
    <hyperlink ref="A68" location="'67'!A1" display="67"/>
    <hyperlink ref="A69" location="'68'!A1" display="68"/>
    <hyperlink ref="A72" location="'71'!A1" display="71"/>
    <hyperlink ref="A73" location="'72'!A1" display="72"/>
    <hyperlink ref="A74" location="'73'!A1" display="73"/>
    <hyperlink ref="A75" location="'74'!A1" display="74"/>
    <hyperlink ref="A76" location="'75'!A1" display="75"/>
    <hyperlink ref="A77" location="'76'!A1" display="76"/>
    <hyperlink ref="A78" location="'77'!A1" display="77"/>
    <hyperlink ref="A79" location="'78'!A1" display="78"/>
    <hyperlink ref="A80" location="'79'!A1" display="79"/>
    <hyperlink ref="A81" location="'80'!A1" display="80"/>
    <hyperlink ref="A82" location="'81'!A1" display="81"/>
    <hyperlink ref="A83" location="'82'!A1" display="82"/>
    <hyperlink ref="A84" location="'83'!A1" display="83"/>
    <hyperlink ref="A85" location="'84'!A1" display="84"/>
    <hyperlink ref="A86" location="'85'!A1" display="85"/>
    <hyperlink ref="A87" location="'86'!A1" display="86"/>
    <hyperlink ref="A88" location="'87'!A1" display="87"/>
    <hyperlink ref="A89" location="'88'!A1" display="'88'!A1"/>
    <hyperlink ref="A90" location="'89'!A1" display="'89'!A1"/>
    <hyperlink ref="A91" location="'90'!A1" display="'90'!A1"/>
    <hyperlink ref="A92" location="'91'!A1" display="'91'!A1"/>
    <hyperlink ref="A93" location="'92'!A1" display="'92'!A1"/>
    <hyperlink ref="A94" location="'93'!A1" display="'93'!A1"/>
    <hyperlink ref="A95" location="'94'!A1" display="'94'!A1"/>
    <hyperlink ref="A96" location="'95'!A1" display="'95'!A1"/>
    <hyperlink ref="A97" location="'96'!A1" display="'96'!A1"/>
    <hyperlink ref="A98" location="'97'!A1" display="'97'!A1"/>
    <hyperlink ref="A99" location="'98'!A1" display="'98'!A1"/>
    <hyperlink ref="A100" location="'99'!A1" display="'99'!A1"/>
    <hyperlink ref="A101" location="'100'!A1" display="'100'!A1"/>
    <hyperlink ref="A102" location="'101'!A1" display="'101'!A1"/>
    <hyperlink ref="A103" location="'102'!A1" display="'102'!A1"/>
    <hyperlink ref="A104" location="'103.'!A1" display="'103.'!A1"/>
    <hyperlink ref="A105" location="'104.'!A1" display="'104.'!A1"/>
    <hyperlink ref="A106" location="'105.'!A1" display="'105.'!A1"/>
    <hyperlink ref="A107" location="'106.'!A1" display="'106.'!A1"/>
    <hyperlink ref="A108" location="'107'!A1" display="'107'!A1"/>
    <hyperlink ref="A109" location="'108'!A1" display="'108'!A1"/>
    <hyperlink ref="A110" location="'109'!A1" display="'109'!A1"/>
    <hyperlink ref="A111" location="'110'!A1" display="'110'!A1"/>
    <hyperlink ref="A112" location="'111.'!A1" display="'111.'!A1"/>
    <hyperlink ref="A113" location="'112'!A1" display="'112'!A1"/>
    <hyperlink ref="A114" location="'113'!A1" display="'113'!A1"/>
    <hyperlink ref="A115" location="'114'!A1" display="'114'!A1"/>
    <hyperlink ref="A116" location="'115'!A1" display="'115'!A1"/>
    <hyperlink ref="A117" location="'116'!A1" display="'116'!A1"/>
    <hyperlink ref="A118" location="'117'!A1" display="'117'!A1"/>
    <hyperlink ref="I21:X35" location="'ANA SAYFA'!A1" display="MAZERET DURUMU"/>
    <hyperlink ref="A119" location="'118'!A1" display="'118'!A1"/>
    <hyperlink ref="A120" location="'119'!A1" display="'119'!A1"/>
    <hyperlink ref="A70" location="'69'!A1" display="69"/>
    <hyperlink ref="A26" location="'25'!A1" display="25"/>
    <hyperlink ref="A36" location="'35'!A1" display="35"/>
    <hyperlink ref="A122" location="'119'!A1" display="'119'!A1"/>
    <hyperlink ref="A122" location="'121'!A1" display="'121'!A1"/>
    <hyperlink ref="A121" location="'120'!Yazdırma_Alanı" display="'120'!Yazdırma_Alanı"/>
    <hyperlink ref="I2:Z19" location="'ANA SAYFA'!A1" display="'ANA SAYFA'!A1"/>
    <hyperlink ref="A123" location="'122'!A1" display="'122'!A1"/>
    <hyperlink ref="A124" location="'123'!Yazdırma_Alanı" display="'123'!Yazdırma_Alanı"/>
    <hyperlink ref="A125" location="'124'!Yazdırma_Alanı" display="'124'!Yazdırma_Alanı"/>
    <hyperlink ref="A126" location="'125'!Yazdırma_Alanı" display="'125'!Yazdırma_Alanı"/>
    <hyperlink ref="A127" location="'126'!Yazdırma_Alanı" display="'126'!Yazdırma_Alanı"/>
    <hyperlink ref="A130" location="'129'!A1" display="'129'!A1"/>
    <hyperlink ref="A128" location="'127'!A1" display="'127'!A1"/>
    <hyperlink ref="A129" location="'128'!A1" display="'128'!A1"/>
    <hyperlink ref="A131" location="'130'!A1" display="'130'!A1"/>
    <hyperlink ref="A132" location="'131'!A1" display="'131'!A1"/>
    <hyperlink ref="A133" location="'132'!A1" display="'132'!A1"/>
    <hyperlink ref="A134" location="'133'!A1" display="'133'!A1"/>
    <hyperlink ref="A135" location="'134'!A1" display="'134'!A1"/>
    <hyperlink ref="A136" location="'135'!A1" display="'135'!A1"/>
    <hyperlink ref="A137" location="'136'!A1" display="'136'!A1"/>
    <hyperlink ref="A71" location="'70'!A1" display="70"/>
    <hyperlink ref="A138" location="'137'!A1" display="'137'!A1"/>
    <hyperlink ref="A139" location="'138'!A1" display="'138'!A1"/>
    <hyperlink ref="A140" location="'139'!A1" display="'139'!A1"/>
    <hyperlink ref="A141" location="'140'!A1" display="'140'!A1"/>
    <hyperlink ref="A142" location="'141'!A1" display="'141'!A1"/>
    <hyperlink ref="A143" location="'142'!A1" display="'142'!A1"/>
    <hyperlink ref="A144" location="'143'!A1" display="'143'!A1"/>
    <hyperlink ref="A145" location="'144'!A1" display="'144'!A1"/>
    <hyperlink ref="A146" location="'144'!A1" display="'144'!A1"/>
  </hyperlinks>
  <pageMargins left="0.7" right="0.7" top="0.75" bottom="0.75" header="0.3" footer="0.3"/>
  <pageSetup paperSize="9" scale="70" fitToHeight="0" orientation="portrait" horizontalDpi="300" verticalDpi="300" r:id="rId1"/>
  <colBreaks count="1" manualBreakCount="1">
    <brk id="7" max="1048575"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ayfa3"/>
  <dimension ref="A1:M45"/>
  <sheetViews>
    <sheetView topLeftCell="B1" workbookViewId="0">
      <pane ySplit="5" topLeftCell="A6" activePane="bottomLeft" state="frozen"/>
      <selection activeCell="B1" sqref="B1"/>
      <selection pane="bottomLeft" activeCell="K1" sqref="K1:L3"/>
    </sheetView>
  </sheetViews>
  <sheetFormatPr defaultColWidth="9.140625" defaultRowHeight="11.25" x14ac:dyDescent="0.15"/>
  <cols>
    <col min="1" max="1" width="4.28515625" style="30" hidden="1" customWidth="1"/>
    <col min="2" max="2" width="18.5703125" style="30" bestFit="1" customWidth="1"/>
    <col min="3" max="3" width="26.140625" style="62" bestFit="1" customWidth="1"/>
    <col min="4" max="4" width="26.5703125" style="62" bestFit="1" customWidth="1"/>
    <col min="5" max="6" width="9.140625" style="64" customWidth="1"/>
    <col min="7" max="7" width="20.140625" style="64" bestFit="1" customWidth="1"/>
    <col min="8" max="8" width="14" style="65" customWidth="1"/>
    <col min="9" max="9" width="12.5703125" style="65" bestFit="1" customWidth="1"/>
    <col min="10" max="10" width="3.85546875" style="65" customWidth="1"/>
    <col min="11" max="12" width="7.42578125" style="30" customWidth="1"/>
    <col min="13" max="16384" width="9.140625" style="30"/>
  </cols>
  <sheetData>
    <row r="1" spans="1:13" ht="16.5" customHeight="1" thickTop="1" x14ac:dyDescent="0.15">
      <c r="A1" s="28"/>
      <c r="B1" s="29" t="s">
        <v>135</v>
      </c>
      <c r="C1" s="149" t="str">
        <f>'ANA SAYFA'!B2</f>
        <v>ALİ AYDEMİR</v>
      </c>
      <c r="D1" s="1144" t="s">
        <v>136</v>
      </c>
      <c r="E1" s="1144"/>
      <c r="F1" s="1144"/>
      <c r="G1" s="1144"/>
      <c r="H1" s="1144"/>
      <c r="I1" s="1144"/>
      <c r="J1" s="28"/>
      <c r="K1" s="1142" t="s">
        <v>5</v>
      </c>
      <c r="L1" s="1142"/>
    </row>
    <row r="2" spans="1:13" ht="16.5" customHeight="1" x14ac:dyDescent="0.15">
      <c r="A2" s="28"/>
      <c r="B2" s="29" t="s">
        <v>137</v>
      </c>
      <c r="C2" s="150">
        <f>'ANA SAYFA'!D2</f>
        <v>41578181364</v>
      </c>
      <c r="D2" s="1144"/>
      <c r="E2" s="1144"/>
      <c r="F2" s="1144"/>
      <c r="G2" s="1144"/>
      <c r="H2" s="1144"/>
      <c r="I2" s="1144"/>
      <c r="J2" s="28"/>
      <c r="K2" s="1143"/>
      <c r="L2" s="1143"/>
    </row>
    <row r="3" spans="1:13" ht="16.5" customHeight="1" x14ac:dyDescent="0.15">
      <c r="A3" s="28"/>
      <c r="B3" s="29" t="s">
        <v>131</v>
      </c>
      <c r="C3" s="149" t="str">
        <f>'ANA SAYFA'!C2</f>
        <v>TIR-ÇEKİCİ ŞOFÖRÜ</v>
      </c>
      <c r="D3" s="1144"/>
      <c r="E3" s="1144"/>
      <c r="F3" s="1144"/>
      <c r="G3" s="1144"/>
      <c r="H3" s="1144"/>
      <c r="I3" s="1144"/>
      <c r="J3" s="28"/>
      <c r="K3" s="1143"/>
      <c r="L3" s="1143"/>
    </row>
    <row r="4" spans="1:13" ht="16.5" customHeight="1" x14ac:dyDescent="0.15">
      <c r="A4" s="28"/>
      <c r="B4" s="29" t="s">
        <v>120</v>
      </c>
      <c r="C4" s="31">
        <f>'ANA SAYFA'!E2</f>
        <v>43654</v>
      </c>
      <c r="D4" s="1144"/>
      <c r="E4" s="1144"/>
      <c r="F4" s="1144"/>
      <c r="G4" s="1144"/>
      <c r="H4" s="1144"/>
      <c r="I4" s="1144"/>
      <c r="J4" s="28"/>
    </row>
    <row r="5" spans="1:13" ht="16.5" customHeight="1" x14ac:dyDescent="0.15">
      <c r="A5" s="28"/>
      <c r="B5" s="29" t="s">
        <v>130</v>
      </c>
      <c r="C5" s="31">
        <f>'ANA SAYFA'!F2</f>
        <v>25651</v>
      </c>
      <c r="D5" s="1144"/>
      <c r="E5" s="1144"/>
      <c r="F5" s="1144"/>
      <c r="G5" s="1144"/>
      <c r="H5" s="1144"/>
      <c r="I5" s="1144"/>
      <c r="J5" s="28"/>
    </row>
    <row r="6" spans="1:13" ht="18.75" customHeight="1" x14ac:dyDescent="0.15">
      <c r="A6" s="1141" t="s">
        <v>136</v>
      </c>
      <c r="B6" s="1141"/>
      <c r="C6" s="1141"/>
      <c r="D6" s="1141"/>
      <c r="E6" s="1141"/>
      <c r="F6" s="1141"/>
      <c r="G6" s="1141"/>
      <c r="H6" s="1141"/>
      <c r="I6" s="1141"/>
      <c r="J6" s="32"/>
      <c r="K6" s="33"/>
      <c r="L6" s="33"/>
    </row>
    <row r="7" spans="1:13" s="33" customFormat="1" ht="33.75" customHeight="1" x14ac:dyDescent="0.2">
      <c r="B7" s="69" t="s">
        <v>0</v>
      </c>
      <c r="C7" s="70" t="s">
        <v>1</v>
      </c>
      <c r="D7" s="69" t="s">
        <v>2</v>
      </c>
      <c r="E7" s="71" t="s">
        <v>133</v>
      </c>
      <c r="F7" s="71" t="s">
        <v>4</v>
      </c>
      <c r="G7" s="71" t="s">
        <v>7</v>
      </c>
      <c r="H7" s="71" t="s">
        <v>6</v>
      </c>
      <c r="I7" s="71" t="s">
        <v>16</v>
      </c>
      <c r="J7" s="34"/>
    </row>
    <row r="8" spans="1:13" s="33" customFormat="1" ht="12.95" customHeight="1" x14ac:dyDescent="0.15">
      <c r="B8" s="35"/>
      <c r="C8" s="52">
        <v>43846</v>
      </c>
      <c r="D8" s="53">
        <v>43855</v>
      </c>
      <c r="E8" s="38">
        <v>0.33333333333333331</v>
      </c>
      <c r="F8" s="38">
        <v>0.33333333333333331</v>
      </c>
      <c r="G8" s="39" t="s">
        <v>129</v>
      </c>
      <c r="H8" s="45">
        <v>14</v>
      </c>
      <c r="I8" s="45">
        <v>2</v>
      </c>
      <c r="J8" s="40"/>
      <c r="K8" s="30"/>
      <c r="L8" s="30"/>
    </row>
    <row r="9" spans="1:13" ht="12.95" customHeight="1" x14ac:dyDescent="0.15">
      <c r="B9" s="42"/>
      <c r="C9" s="52">
        <v>43904</v>
      </c>
      <c r="D9" s="53">
        <v>43909</v>
      </c>
      <c r="E9" s="38">
        <v>0.33333333333333331</v>
      </c>
      <c r="F9" s="38">
        <v>0.33333333333333331</v>
      </c>
      <c r="G9" s="39" t="s">
        <v>146</v>
      </c>
      <c r="H9" s="45">
        <v>20</v>
      </c>
      <c r="I9" s="45">
        <v>3</v>
      </c>
      <c r="J9" s="40"/>
    </row>
    <row r="10" spans="1:13" ht="12.95" customHeight="1" x14ac:dyDescent="0.15">
      <c r="B10" s="43"/>
      <c r="C10" s="52">
        <v>43916</v>
      </c>
      <c r="D10" s="53">
        <v>43923</v>
      </c>
      <c r="E10" s="38">
        <v>0.33333333333333331</v>
      </c>
      <c r="F10" s="38">
        <v>0.33333333333333331</v>
      </c>
      <c r="G10" s="45" t="s">
        <v>134</v>
      </c>
      <c r="H10" s="45">
        <v>20</v>
      </c>
      <c r="I10" s="45">
        <v>2</v>
      </c>
      <c r="J10" s="46"/>
    </row>
    <row r="11" spans="1:13" ht="12.95" customHeight="1" x14ac:dyDescent="0.15">
      <c r="B11" s="47"/>
      <c r="C11" s="52">
        <v>44179</v>
      </c>
      <c r="D11" s="53">
        <v>44180</v>
      </c>
      <c r="E11" s="38">
        <v>0.33333333333333331</v>
      </c>
      <c r="F11" s="38">
        <v>0.33333333333333331</v>
      </c>
      <c r="G11" s="335" t="s">
        <v>433</v>
      </c>
      <c r="H11" s="68">
        <v>20</v>
      </c>
      <c r="I11" s="68">
        <v>4</v>
      </c>
      <c r="J11" s="49"/>
      <c r="M11" s="50"/>
    </row>
    <row r="12" spans="1:13" ht="12.95" customHeight="1" x14ac:dyDescent="0.15">
      <c r="B12" s="51"/>
      <c r="C12" s="52">
        <v>44223</v>
      </c>
      <c r="D12" s="53">
        <v>44225</v>
      </c>
      <c r="E12" s="38">
        <v>0.41666666666666669</v>
      </c>
      <c r="F12" s="38">
        <v>0.33333333333333331</v>
      </c>
      <c r="G12" s="538" t="s">
        <v>613</v>
      </c>
      <c r="H12" s="68">
        <v>20</v>
      </c>
      <c r="I12" s="68">
        <v>1</v>
      </c>
      <c r="J12" s="49"/>
    </row>
    <row r="13" spans="1:13" ht="12.95" customHeight="1" x14ac:dyDescent="0.15">
      <c r="B13" s="51"/>
      <c r="C13" s="36">
        <v>44279</v>
      </c>
      <c r="D13" s="44">
        <v>44284</v>
      </c>
      <c r="E13" s="38">
        <v>0.33333333333333331</v>
      </c>
      <c r="F13" s="38">
        <v>0.33333333333333331</v>
      </c>
      <c r="G13" s="48" t="s">
        <v>825</v>
      </c>
      <c r="H13" s="45">
        <v>20</v>
      </c>
      <c r="I13" s="45">
        <v>1</v>
      </c>
      <c r="J13" s="49"/>
    </row>
    <row r="14" spans="1:13" ht="12.95" customHeight="1" x14ac:dyDescent="0.15">
      <c r="B14" s="51"/>
      <c r="C14" s="36">
        <v>44349</v>
      </c>
      <c r="D14" s="44">
        <v>44351</v>
      </c>
      <c r="E14" s="38">
        <v>0.33333333333333331</v>
      </c>
      <c r="F14" s="38">
        <v>0.33333333333333331</v>
      </c>
      <c r="G14" s="48"/>
      <c r="H14" s="66"/>
      <c r="I14" s="66">
        <v>2</v>
      </c>
      <c r="J14" s="49"/>
    </row>
    <row r="15" spans="1:13" ht="12.95" customHeight="1" x14ac:dyDescent="0.15">
      <c r="B15" s="51"/>
      <c r="C15" s="36">
        <v>44445</v>
      </c>
      <c r="D15" s="37">
        <v>44448</v>
      </c>
      <c r="E15" s="38">
        <v>0.33333333333333331</v>
      </c>
      <c r="F15" s="38">
        <v>0.33333333333333331</v>
      </c>
      <c r="G15" s="48"/>
      <c r="H15" s="45"/>
      <c r="I15" s="45">
        <v>3</v>
      </c>
      <c r="J15" s="49"/>
    </row>
    <row r="16" spans="1:13" ht="12.95" customHeight="1" x14ac:dyDescent="0.15">
      <c r="B16" s="51"/>
      <c r="C16" s="36">
        <v>44519</v>
      </c>
      <c r="D16" s="37">
        <v>44520</v>
      </c>
      <c r="E16" s="38">
        <v>0.33333333333333331</v>
      </c>
      <c r="F16" s="38">
        <v>0.33333333333333331</v>
      </c>
      <c r="G16" s="48"/>
      <c r="H16" s="66"/>
      <c r="I16" s="66">
        <v>2</v>
      </c>
      <c r="J16" s="49"/>
    </row>
    <row r="17" spans="2:10" ht="12.95" customHeight="1" x14ac:dyDescent="0.15">
      <c r="B17" s="51"/>
      <c r="C17" s="36">
        <v>44746</v>
      </c>
      <c r="D17" s="37">
        <v>44757</v>
      </c>
      <c r="E17" s="38">
        <v>0.33333333333333331</v>
      </c>
      <c r="F17" s="38">
        <v>0.33333333333333331</v>
      </c>
      <c r="G17" s="48"/>
      <c r="H17" s="66"/>
      <c r="I17" s="66">
        <v>6</v>
      </c>
      <c r="J17" s="49"/>
    </row>
    <row r="18" spans="2:10" ht="12.95" customHeight="1" x14ac:dyDescent="0.15">
      <c r="B18" s="51"/>
      <c r="C18" s="36">
        <v>44861</v>
      </c>
      <c r="D18" s="37">
        <v>44865</v>
      </c>
      <c r="E18" s="38">
        <v>0.33333333333333331</v>
      </c>
      <c r="F18" s="38">
        <v>0.33333333333333331</v>
      </c>
      <c r="G18" s="48"/>
      <c r="H18" s="66"/>
      <c r="I18" s="66">
        <v>3</v>
      </c>
      <c r="J18" s="49"/>
    </row>
    <row r="19" spans="2:10" ht="12.95" customHeight="1" x14ac:dyDescent="0.15">
      <c r="B19" s="51"/>
      <c r="C19" s="52">
        <v>44985</v>
      </c>
      <c r="D19" s="53">
        <v>44988</v>
      </c>
      <c r="E19" s="54">
        <v>0.33333333333333331</v>
      </c>
      <c r="F19" s="54">
        <v>0.33333333333333331</v>
      </c>
      <c r="G19" s="48"/>
      <c r="H19" s="66"/>
      <c r="I19" s="66">
        <v>3</v>
      </c>
      <c r="J19" s="49"/>
    </row>
    <row r="20" spans="2:10" ht="12.95" customHeight="1" x14ac:dyDescent="0.15">
      <c r="B20" s="51"/>
      <c r="C20" s="52">
        <v>45101</v>
      </c>
      <c r="D20" s="53">
        <v>45110</v>
      </c>
      <c r="E20" s="54">
        <v>0.33333333333333331</v>
      </c>
      <c r="F20" s="54">
        <v>0.33333333333333331</v>
      </c>
      <c r="G20" s="48"/>
      <c r="H20" s="66"/>
      <c r="I20" s="66">
        <v>2</v>
      </c>
      <c r="J20" s="49"/>
    </row>
    <row r="21" spans="2:10" ht="12.95" customHeight="1" x14ac:dyDescent="0.15">
      <c r="B21" s="51"/>
      <c r="C21" s="52">
        <v>45141</v>
      </c>
      <c r="D21" s="53">
        <v>45154</v>
      </c>
      <c r="E21" s="54">
        <v>0.33333333333333331</v>
      </c>
      <c r="F21" s="54">
        <v>0.33333333333333331</v>
      </c>
      <c r="G21" s="48"/>
      <c r="H21" s="66"/>
      <c r="I21" s="66">
        <v>11</v>
      </c>
      <c r="J21" s="49"/>
    </row>
    <row r="22" spans="2:10" ht="12.95" customHeight="1" x14ac:dyDescent="0.15">
      <c r="B22" s="51"/>
      <c r="C22" s="52">
        <v>45229</v>
      </c>
      <c r="D22" s="53">
        <v>45236</v>
      </c>
      <c r="E22" s="54">
        <v>0.33333333333333331</v>
      </c>
      <c r="F22" s="54">
        <v>0.33333333333333331</v>
      </c>
      <c r="G22" s="48"/>
      <c r="H22" s="66"/>
      <c r="I22" s="66">
        <v>5</v>
      </c>
      <c r="J22" s="49"/>
    </row>
    <row r="23" spans="2:10" ht="12.95" customHeight="1" x14ac:dyDescent="0.15">
      <c r="B23" s="51"/>
      <c r="C23" s="52" t="s">
        <v>530</v>
      </c>
      <c r="D23" s="53" t="s">
        <v>529</v>
      </c>
      <c r="E23" s="54"/>
      <c r="F23" s="54"/>
      <c r="G23" s="48"/>
      <c r="H23" s="45"/>
      <c r="I23" s="66">
        <v>12</v>
      </c>
      <c r="J23" s="49"/>
    </row>
    <row r="24" spans="2:10" ht="12.95" customHeight="1" x14ac:dyDescent="0.15">
      <c r="B24" s="51"/>
      <c r="C24" s="52">
        <v>45624</v>
      </c>
      <c r="D24" s="53">
        <v>45628</v>
      </c>
      <c r="E24" s="54"/>
      <c r="F24" s="54"/>
      <c r="G24" s="48"/>
      <c r="H24" s="66"/>
      <c r="I24" s="66">
        <v>4</v>
      </c>
      <c r="J24" s="49"/>
    </row>
    <row r="25" spans="2:10" ht="12.95" customHeight="1" x14ac:dyDescent="0.15">
      <c r="B25" s="55"/>
      <c r="C25" s="52">
        <v>45633</v>
      </c>
      <c r="D25" s="56">
        <v>45635</v>
      </c>
      <c r="E25" s="57"/>
      <c r="F25" s="57"/>
      <c r="G25" s="48"/>
      <c r="H25" s="66"/>
      <c r="I25" s="66">
        <v>3</v>
      </c>
      <c r="J25" s="49"/>
    </row>
    <row r="26" spans="2:10" ht="12.95" customHeight="1" x14ac:dyDescent="0.15">
      <c r="B26" s="55"/>
      <c r="C26" s="52">
        <v>45667</v>
      </c>
      <c r="D26" s="56">
        <v>45675</v>
      </c>
      <c r="E26" s="57"/>
      <c r="F26" s="57"/>
      <c r="G26" s="48"/>
      <c r="H26" s="45"/>
      <c r="I26" s="66">
        <v>8</v>
      </c>
      <c r="J26" s="49"/>
    </row>
    <row r="27" spans="2:10" ht="12.95" customHeight="1" x14ac:dyDescent="0.15">
      <c r="B27" s="55"/>
      <c r="C27" s="58">
        <v>45880</v>
      </c>
      <c r="D27" s="56">
        <v>45894</v>
      </c>
      <c r="E27" s="57">
        <v>0.33333333333333331</v>
      </c>
      <c r="F27" s="57">
        <v>0.33333333333333331</v>
      </c>
      <c r="G27" s="48"/>
      <c r="H27" s="66"/>
      <c r="I27" s="66">
        <v>12</v>
      </c>
      <c r="J27" s="49"/>
    </row>
    <row r="28" spans="2:10" ht="12.95" customHeight="1" x14ac:dyDescent="0.15">
      <c r="B28" s="55"/>
      <c r="C28" s="58">
        <v>46199</v>
      </c>
      <c r="D28" s="56">
        <v>46200</v>
      </c>
      <c r="E28" s="57"/>
      <c r="F28" s="57"/>
      <c r="G28" s="48"/>
      <c r="H28" s="66"/>
      <c r="I28" s="66">
        <v>1</v>
      </c>
      <c r="J28" s="49"/>
    </row>
    <row r="29" spans="2:10" ht="12.95" customHeight="1" x14ac:dyDescent="0.15">
      <c r="B29" s="55"/>
      <c r="C29" s="58"/>
      <c r="D29" s="56"/>
      <c r="E29" s="57"/>
      <c r="F29" s="57"/>
      <c r="G29" s="48"/>
      <c r="H29" s="66"/>
      <c r="I29" s="66"/>
      <c r="J29" s="49"/>
    </row>
    <row r="30" spans="2:10" ht="12.95" customHeight="1" x14ac:dyDescent="0.15">
      <c r="B30" s="55"/>
      <c r="C30" s="58"/>
      <c r="D30" s="56"/>
      <c r="E30" s="57"/>
      <c r="F30" s="57"/>
      <c r="G30" s="48"/>
      <c r="H30" s="66"/>
      <c r="I30" s="66"/>
      <c r="J30" s="49"/>
    </row>
    <row r="31" spans="2:10" ht="12.95" customHeight="1" x14ac:dyDescent="0.15">
      <c r="B31" s="55"/>
      <c r="C31" s="58"/>
      <c r="D31" s="56"/>
      <c r="E31" s="57"/>
      <c r="F31" s="57"/>
      <c r="G31" s="48"/>
      <c r="H31" s="66"/>
      <c r="I31" s="66"/>
      <c r="J31" s="49"/>
    </row>
    <row r="32" spans="2:10" ht="12.95" customHeight="1" x14ac:dyDescent="0.15">
      <c r="B32" s="55"/>
      <c r="C32" s="58"/>
      <c r="D32" s="56"/>
      <c r="E32" s="57"/>
      <c r="F32" s="57"/>
      <c r="G32" s="48"/>
      <c r="H32" s="66"/>
      <c r="I32" s="66"/>
      <c r="J32" s="49"/>
    </row>
    <row r="33" spans="2:10" ht="12.95" customHeight="1" x14ac:dyDescent="0.15">
      <c r="B33" s="55"/>
      <c r="C33" s="58"/>
      <c r="D33" s="56"/>
      <c r="E33" s="57"/>
      <c r="F33" s="57"/>
      <c r="G33" s="48"/>
      <c r="H33" s="66"/>
      <c r="I33" s="66"/>
      <c r="J33" s="49"/>
    </row>
    <row r="34" spans="2:10" ht="12.95" customHeight="1" x14ac:dyDescent="0.15">
      <c r="B34" s="55"/>
      <c r="C34" s="58"/>
      <c r="D34" s="56"/>
      <c r="E34" s="57"/>
      <c r="F34" s="57"/>
      <c r="G34" s="48"/>
      <c r="H34" s="66"/>
      <c r="I34" s="66"/>
      <c r="J34" s="49"/>
    </row>
    <row r="35" spans="2:10" ht="12.95" customHeight="1" x14ac:dyDescent="0.15">
      <c r="B35" s="55"/>
      <c r="C35" s="58"/>
      <c r="D35" s="56"/>
      <c r="E35" s="57"/>
      <c r="F35" s="57"/>
      <c r="G35" s="48"/>
      <c r="H35" s="66"/>
      <c r="I35" s="66"/>
      <c r="J35" s="49"/>
    </row>
    <row r="36" spans="2:10" ht="12.95" customHeight="1" x14ac:dyDescent="0.15">
      <c r="B36" s="55"/>
      <c r="C36" s="58"/>
      <c r="D36" s="56"/>
      <c r="E36" s="57"/>
      <c r="F36" s="57"/>
      <c r="G36" s="48"/>
      <c r="H36" s="66"/>
      <c r="I36" s="66"/>
      <c r="J36" s="49"/>
    </row>
    <row r="37" spans="2:10" ht="12.95" customHeight="1" x14ac:dyDescent="0.15">
      <c r="B37" s="55"/>
      <c r="C37" s="58"/>
      <c r="D37" s="56"/>
      <c r="E37" s="57"/>
      <c r="F37" s="57"/>
      <c r="G37" s="48"/>
      <c r="H37" s="66"/>
      <c r="I37" s="66"/>
      <c r="J37" s="49"/>
    </row>
    <row r="38" spans="2:10" ht="12.95" customHeight="1" x14ac:dyDescent="0.15">
      <c r="B38" s="55"/>
      <c r="C38" s="58"/>
      <c r="D38" s="56"/>
      <c r="E38" s="57"/>
      <c r="F38" s="57"/>
      <c r="G38" s="48"/>
      <c r="H38" s="66"/>
      <c r="I38" s="66"/>
      <c r="J38" s="49"/>
    </row>
    <row r="39" spans="2:10" ht="12.95" customHeight="1" x14ac:dyDescent="0.15">
      <c r="B39" s="72"/>
      <c r="C39" s="73"/>
      <c r="D39" s="74"/>
      <c r="E39" s="75"/>
      <c r="F39" s="75"/>
      <c r="G39" s="76" t="s">
        <v>123</v>
      </c>
      <c r="H39" s="77">
        <f>SUM(H8:H38)</f>
        <v>114</v>
      </c>
      <c r="I39" s="76">
        <f>SUM(I8:I38)</f>
        <v>90</v>
      </c>
      <c r="J39" s="61"/>
    </row>
    <row r="40" spans="2:10" x14ac:dyDescent="0.15">
      <c r="C40" s="30"/>
      <c r="D40" s="30"/>
      <c r="E40" s="62"/>
      <c r="F40" s="62"/>
      <c r="G40" s="62"/>
      <c r="H40" s="63"/>
      <c r="I40" s="63"/>
      <c r="J40" s="63"/>
    </row>
    <row r="41" spans="2:10" ht="14.25" x14ac:dyDescent="0.2">
      <c r="C41" s="30"/>
      <c r="D41" s="30"/>
      <c r="E41" s="62"/>
      <c r="F41" s="62"/>
      <c r="G41" s="1140" t="s">
        <v>8</v>
      </c>
      <c r="H41" s="1140"/>
      <c r="I41" s="84">
        <f>H39-I39</f>
        <v>24</v>
      </c>
      <c r="J41" s="63"/>
    </row>
    <row r="42" spans="2:10" x14ac:dyDescent="0.15">
      <c r="C42" s="30"/>
      <c r="D42" s="30"/>
      <c r="E42" s="62"/>
      <c r="F42" s="62"/>
      <c r="G42" s="62"/>
      <c r="H42" s="63"/>
      <c r="I42" s="63"/>
      <c r="J42" s="63"/>
    </row>
    <row r="43" spans="2:10" x14ac:dyDescent="0.15">
      <c r="C43" s="30"/>
      <c r="D43" s="30"/>
      <c r="E43" s="62"/>
      <c r="F43" s="62"/>
      <c r="G43" s="62"/>
      <c r="H43" s="63"/>
      <c r="I43" s="63"/>
      <c r="J43" s="63"/>
    </row>
    <row r="44" spans="2:10" x14ac:dyDescent="0.15">
      <c r="C44" s="30"/>
      <c r="D44" s="30"/>
      <c r="E44" s="62"/>
      <c r="F44" s="62"/>
      <c r="G44" s="62"/>
      <c r="H44" s="63"/>
      <c r="I44" s="63"/>
      <c r="J44" s="63"/>
    </row>
    <row r="45" spans="2:10" x14ac:dyDescent="0.15">
      <c r="C45" s="30"/>
      <c r="D45" s="30"/>
      <c r="E45" s="62"/>
      <c r="F45" s="62"/>
      <c r="G45" s="62"/>
      <c r="H45" s="63"/>
      <c r="I45" s="63"/>
      <c r="J45" s="63"/>
    </row>
  </sheetData>
  <sortState ref="C8:F16">
    <sortCondition ref="C8"/>
  </sortState>
  <mergeCells count="4">
    <mergeCell ref="G41:H41"/>
    <mergeCell ref="A6:I6"/>
    <mergeCell ref="K1:L3"/>
    <mergeCell ref="D1:I5"/>
  </mergeCells>
  <hyperlinks>
    <hyperlink ref="K1:L3" location="'ANA SAYFA'!A1" display="Ana Sayfa"/>
  </hyperlinks>
  <pageMargins left="0.31" right="0.11" top="0.17" bottom="0.17" header="0.17" footer="0.17"/>
  <pageSetup paperSize="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
  <sheetViews>
    <sheetView workbookViewId="0">
      <selection activeCell="C1" sqref="C1:H5"/>
    </sheetView>
  </sheetViews>
  <sheetFormatPr defaultColWidth="9.140625" defaultRowHeight="12.75" x14ac:dyDescent="0.2"/>
  <cols>
    <col min="1" max="1" width="18.5703125" style="82" bestFit="1" customWidth="1"/>
    <col min="2" max="3" width="24.42578125" style="82" bestFit="1" customWidth="1"/>
    <col min="4" max="5" width="8.7109375" style="82" customWidth="1"/>
    <col min="6" max="6" width="20.140625" style="82" bestFit="1" customWidth="1"/>
    <col min="7" max="7" width="13.85546875" style="82" customWidth="1"/>
    <col min="8" max="8" width="12.5703125" style="82" bestFit="1" customWidth="1"/>
    <col min="9" max="9" width="9.140625" style="82"/>
    <col min="10" max="11" width="7.140625" style="82" customWidth="1"/>
    <col min="12" max="16384" width="9.140625" style="82"/>
  </cols>
  <sheetData>
    <row r="1" spans="1:11" x14ac:dyDescent="0.2">
      <c r="A1" s="29" t="s">
        <v>135</v>
      </c>
      <c r="B1" s="29" t="str">
        <f>'ANA SAYFA'!B3</f>
        <v xml:space="preserve">AHMET EMİN EFEOĞLU </v>
      </c>
      <c r="C1" s="1144" t="s">
        <v>136</v>
      </c>
      <c r="D1" s="1144"/>
      <c r="E1" s="1144"/>
      <c r="F1" s="1144"/>
      <c r="G1" s="1144"/>
      <c r="H1" s="1144"/>
      <c r="I1" s="28"/>
      <c r="J1" s="30"/>
      <c r="K1" s="30"/>
    </row>
    <row r="2" spans="1:11" x14ac:dyDescent="0.2">
      <c r="A2" s="29" t="s">
        <v>137</v>
      </c>
      <c r="B2" s="149">
        <f>'ANA SAYFA'!D3</f>
        <v>16702793522</v>
      </c>
      <c r="C2" s="1144"/>
      <c r="D2" s="1144"/>
      <c r="E2" s="1144"/>
      <c r="F2" s="1144"/>
      <c r="G2" s="1144"/>
      <c r="H2" s="1144"/>
      <c r="I2" s="28"/>
      <c r="J2" s="30"/>
      <c r="K2" s="30"/>
    </row>
    <row r="3" spans="1:11" x14ac:dyDescent="0.2">
      <c r="A3" s="29" t="s">
        <v>131</v>
      </c>
      <c r="B3" s="31" t="str">
        <f>'ANA SAYFA'!C3</f>
        <v>KAMYON ŞOFÖRÜ</v>
      </c>
      <c r="C3" s="1144"/>
      <c r="D3" s="1144"/>
      <c r="E3" s="1144"/>
      <c r="F3" s="1144"/>
      <c r="G3" s="1144"/>
      <c r="H3" s="1144"/>
      <c r="I3" s="28"/>
      <c r="J3" s="30"/>
      <c r="K3" s="30"/>
    </row>
    <row r="4" spans="1:11" x14ac:dyDescent="0.2">
      <c r="A4" s="29" t="s">
        <v>120</v>
      </c>
      <c r="B4" s="31">
        <f>'ANA SAYFA'!E3</f>
        <v>43281</v>
      </c>
      <c r="C4" s="1144"/>
      <c r="D4" s="1144"/>
      <c r="E4" s="1144"/>
      <c r="F4" s="1144"/>
      <c r="G4" s="1144"/>
      <c r="H4" s="1144"/>
      <c r="I4" s="28"/>
      <c r="J4" s="30"/>
      <c r="K4" s="30"/>
    </row>
    <row r="5" spans="1:11" ht="13.5" thickBot="1" x14ac:dyDescent="0.25">
      <c r="A5" s="29" t="s">
        <v>130</v>
      </c>
      <c r="B5" s="31">
        <f>'ANA SAYFA'!F3</f>
        <v>21886</v>
      </c>
      <c r="C5" s="1144"/>
      <c r="D5" s="1144"/>
      <c r="E5" s="1144"/>
      <c r="F5" s="1144"/>
      <c r="G5" s="1144"/>
      <c r="H5" s="1144"/>
      <c r="I5" s="28"/>
      <c r="J5" s="30"/>
      <c r="K5" s="30"/>
    </row>
    <row r="6" spans="1:11" ht="15.75" customHeight="1" x14ac:dyDescent="0.2">
      <c r="A6" s="1141" t="s">
        <v>136</v>
      </c>
      <c r="B6" s="1141"/>
      <c r="C6" s="1141"/>
      <c r="D6" s="1141"/>
      <c r="E6" s="1141"/>
      <c r="F6" s="1141"/>
      <c r="G6" s="1141"/>
      <c r="H6" s="1141"/>
      <c r="I6" s="32"/>
      <c r="J6" s="1145" t="s">
        <v>5</v>
      </c>
      <c r="K6" s="1146"/>
    </row>
    <row r="7" spans="1:11" ht="42.75" thickBot="1" x14ac:dyDescent="0.25">
      <c r="A7" s="69" t="s">
        <v>0</v>
      </c>
      <c r="B7" s="70" t="s">
        <v>1</v>
      </c>
      <c r="C7" s="69" t="s">
        <v>2</v>
      </c>
      <c r="D7" s="71" t="s">
        <v>133</v>
      </c>
      <c r="E7" s="71" t="s">
        <v>4</v>
      </c>
      <c r="F7" s="71" t="s">
        <v>7</v>
      </c>
      <c r="G7" s="71" t="s">
        <v>6</v>
      </c>
      <c r="H7" s="71" t="s">
        <v>16</v>
      </c>
      <c r="I7" s="34"/>
      <c r="J7" s="1147"/>
      <c r="K7" s="1148"/>
    </row>
    <row r="8" spans="1:11" ht="12.75" customHeight="1" x14ac:dyDescent="0.2">
      <c r="A8" s="35"/>
      <c r="B8" s="36">
        <v>43393</v>
      </c>
      <c r="C8" s="37">
        <v>43394</v>
      </c>
      <c r="D8" s="38">
        <v>0.33333333333333331</v>
      </c>
      <c r="E8" s="38">
        <v>0.33333333333333331</v>
      </c>
      <c r="F8" s="313" t="s">
        <v>64</v>
      </c>
      <c r="G8" s="313">
        <v>20</v>
      </c>
      <c r="H8" s="313">
        <v>1</v>
      </c>
      <c r="I8" s="40"/>
      <c r="J8" s="41"/>
      <c r="K8" s="41"/>
    </row>
    <row r="9" spans="1:11" ht="12.75" customHeight="1" x14ac:dyDescent="0.2">
      <c r="A9" s="42"/>
      <c r="B9" s="36">
        <v>43414</v>
      </c>
      <c r="C9" s="37">
        <v>43415</v>
      </c>
      <c r="D9" s="38">
        <v>0.5</v>
      </c>
      <c r="E9" s="38">
        <v>0.33333333333333331</v>
      </c>
      <c r="F9" s="313" t="s">
        <v>142</v>
      </c>
      <c r="G9" s="313">
        <v>20</v>
      </c>
      <c r="H9" s="313">
        <v>0.5</v>
      </c>
      <c r="I9" s="40"/>
      <c r="J9" s="30"/>
      <c r="K9" s="30"/>
    </row>
    <row r="10" spans="1:11" ht="12.75" customHeight="1" x14ac:dyDescent="0.2">
      <c r="A10" s="43"/>
      <c r="B10" s="36">
        <v>43419</v>
      </c>
      <c r="C10" s="44">
        <v>43421</v>
      </c>
      <c r="D10" s="38">
        <v>0.33333333333333331</v>
      </c>
      <c r="E10" s="38">
        <v>0.33333333333333331</v>
      </c>
      <c r="F10" s="313" t="s">
        <v>143</v>
      </c>
      <c r="G10" s="313">
        <v>20</v>
      </c>
      <c r="H10" s="313">
        <v>2</v>
      </c>
      <c r="I10" s="46"/>
      <c r="J10" s="30"/>
      <c r="K10" s="30"/>
    </row>
    <row r="11" spans="1:11" ht="12.75" customHeight="1" x14ac:dyDescent="0.2">
      <c r="A11" s="47"/>
      <c r="B11" s="52" t="s">
        <v>144</v>
      </c>
      <c r="C11" s="53" t="s">
        <v>145</v>
      </c>
      <c r="D11" s="38">
        <v>0.33333333333333331</v>
      </c>
      <c r="E11" s="38">
        <v>0.33333333333333331</v>
      </c>
      <c r="F11" s="438" t="s">
        <v>469</v>
      </c>
      <c r="G11" s="66">
        <v>20</v>
      </c>
      <c r="H11" s="68">
        <v>1</v>
      </c>
      <c r="I11" s="49"/>
      <c r="J11" s="30"/>
      <c r="K11" s="30"/>
    </row>
    <row r="12" spans="1:11" ht="12.75" customHeight="1" x14ac:dyDescent="0.2">
      <c r="A12" s="51"/>
      <c r="B12" s="52"/>
      <c r="C12" s="53"/>
      <c r="D12" s="38"/>
      <c r="E12" s="38"/>
      <c r="F12" s="515" t="s">
        <v>614</v>
      </c>
      <c r="G12" s="66">
        <v>20</v>
      </c>
      <c r="H12" s="68"/>
      <c r="I12" s="49"/>
      <c r="J12" s="30"/>
      <c r="K12" s="30"/>
    </row>
    <row r="13" spans="1:11" ht="12.75" customHeight="1" x14ac:dyDescent="0.2">
      <c r="A13" s="51"/>
      <c r="B13" s="36"/>
      <c r="C13" s="44"/>
      <c r="D13" s="38"/>
      <c r="E13" s="38"/>
      <c r="F13" s="66"/>
      <c r="G13" s="66"/>
      <c r="H13" s="313"/>
      <c r="I13" s="49"/>
      <c r="J13" s="30"/>
      <c r="K13" s="30"/>
    </row>
    <row r="14" spans="1:11" ht="12.75" customHeight="1" x14ac:dyDescent="0.2">
      <c r="A14" s="51"/>
      <c r="B14" s="36"/>
      <c r="C14" s="44"/>
      <c r="D14" s="38"/>
      <c r="E14" s="38"/>
      <c r="F14" s="66"/>
      <c r="G14" s="66"/>
      <c r="H14" s="66"/>
      <c r="I14" s="49"/>
      <c r="J14" s="30"/>
      <c r="K14" s="30"/>
    </row>
    <row r="15" spans="1:11" ht="12.75" customHeight="1" x14ac:dyDescent="0.2">
      <c r="A15" s="51"/>
      <c r="B15" s="36"/>
      <c r="C15" s="37"/>
      <c r="D15" s="38"/>
      <c r="E15" s="38"/>
      <c r="F15" s="66"/>
      <c r="G15" s="66"/>
      <c r="H15" s="313"/>
      <c r="I15" s="49"/>
      <c r="J15" s="30"/>
      <c r="K15" s="30"/>
    </row>
    <row r="16" spans="1:11" ht="12.75" customHeight="1" x14ac:dyDescent="0.2">
      <c r="A16" s="51"/>
      <c r="B16" s="36"/>
      <c r="C16" s="37"/>
      <c r="D16" s="38"/>
      <c r="E16" s="38"/>
      <c r="F16" s="66"/>
      <c r="G16" s="66"/>
      <c r="H16" s="66"/>
      <c r="I16" s="49"/>
      <c r="J16" s="30"/>
      <c r="K16" s="30"/>
    </row>
    <row r="17" spans="1:11" ht="12.75" customHeight="1" x14ac:dyDescent="0.2">
      <c r="A17" s="51"/>
      <c r="B17" s="52"/>
      <c r="C17" s="53"/>
      <c r="D17" s="54"/>
      <c r="E17" s="54"/>
      <c r="F17" s="66"/>
      <c r="G17" s="66"/>
      <c r="H17" s="66"/>
      <c r="I17" s="49"/>
      <c r="J17" s="30"/>
      <c r="K17" s="30"/>
    </row>
    <row r="18" spans="1:11" ht="12.75" customHeight="1" x14ac:dyDescent="0.2">
      <c r="A18" s="51"/>
      <c r="B18" s="52"/>
      <c r="C18" s="53"/>
      <c r="D18" s="54"/>
      <c r="E18" s="54"/>
      <c r="F18" s="66"/>
      <c r="G18" s="66"/>
      <c r="H18" s="66"/>
      <c r="I18" s="49"/>
      <c r="J18" s="30"/>
      <c r="K18" s="30"/>
    </row>
    <row r="19" spans="1:11" ht="12.75" customHeight="1" x14ac:dyDescent="0.2">
      <c r="A19" s="51"/>
      <c r="B19" s="52"/>
      <c r="C19" s="53"/>
      <c r="D19" s="54"/>
      <c r="E19" s="54"/>
      <c r="F19" s="66"/>
      <c r="G19" s="66"/>
      <c r="H19" s="66"/>
      <c r="I19" s="49"/>
      <c r="J19" s="30"/>
      <c r="K19" s="30"/>
    </row>
    <row r="20" spans="1:11" ht="12.75" customHeight="1" x14ac:dyDescent="0.2">
      <c r="A20" s="51"/>
      <c r="B20" s="52"/>
      <c r="C20" s="53"/>
      <c r="D20" s="54"/>
      <c r="E20" s="54"/>
      <c r="F20" s="66"/>
      <c r="G20" s="66"/>
      <c r="H20" s="313"/>
      <c r="I20" s="49"/>
      <c r="J20" s="30"/>
      <c r="K20" s="30"/>
    </row>
    <row r="21" spans="1:11" ht="12.75" customHeight="1" x14ac:dyDescent="0.2">
      <c r="A21" s="51"/>
      <c r="B21" s="52"/>
      <c r="C21" s="53"/>
      <c r="D21" s="54"/>
      <c r="E21" s="54"/>
      <c r="F21" s="66"/>
      <c r="G21" s="66"/>
      <c r="H21" s="313"/>
      <c r="I21" s="49"/>
      <c r="J21" s="30"/>
      <c r="K21" s="30"/>
    </row>
    <row r="22" spans="1:11" ht="12.75" customHeight="1" x14ac:dyDescent="0.2">
      <c r="A22" s="51"/>
      <c r="B22" s="52"/>
      <c r="C22" s="53"/>
      <c r="D22" s="54"/>
      <c r="E22" s="54"/>
      <c r="F22" s="66"/>
      <c r="G22" s="66"/>
      <c r="H22" s="66"/>
      <c r="I22" s="49"/>
      <c r="J22" s="30"/>
      <c r="K22" s="30"/>
    </row>
    <row r="23" spans="1:11" ht="12.75" customHeight="1" x14ac:dyDescent="0.2">
      <c r="A23" s="55"/>
      <c r="B23" s="52"/>
      <c r="C23" s="56"/>
      <c r="D23" s="57"/>
      <c r="E23" s="57"/>
      <c r="F23" s="66"/>
      <c r="G23" s="66"/>
      <c r="H23" s="66"/>
      <c r="I23" s="49"/>
      <c r="J23" s="30"/>
      <c r="K23" s="30"/>
    </row>
    <row r="24" spans="1:11" ht="12.75" customHeight="1" x14ac:dyDescent="0.2">
      <c r="A24" s="55"/>
      <c r="B24" s="52"/>
      <c r="C24" s="56"/>
      <c r="D24" s="57"/>
      <c r="E24" s="57"/>
      <c r="F24" s="66"/>
      <c r="G24" s="66"/>
      <c r="H24" s="313"/>
      <c r="I24" s="49"/>
      <c r="J24" s="30"/>
      <c r="K24" s="30"/>
    </row>
    <row r="25" spans="1:11" ht="12.75" customHeight="1" x14ac:dyDescent="0.2">
      <c r="A25" s="47"/>
      <c r="B25" s="58"/>
      <c r="C25" s="56"/>
      <c r="D25" s="57"/>
      <c r="E25" s="57"/>
      <c r="F25" s="67"/>
      <c r="G25" s="67"/>
      <c r="H25" s="313"/>
      <c r="I25" s="60"/>
      <c r="J25" s="30"/>
      <c r="K25" s="30"/>
    </row>
    <row r="26" spans="1:11" ht="12.75" customHeight="1" x14ac:dyDescent="0.2">
      <c r="A26" s="55"/>
      <c r="B26" s="58"/>
      <c r="C26" s="56"/>
      <c r="D26" s="57"/>
      <c r="E26" s="57"/>
      <c r="F26" s="66"/>
      <c r="G26" s="66"/>
      <c r="H26" s="66"/>
      <c r="I26" s="49"/>
      <c r="J26" s="30"/>
      <c r="K26" s="30"/>
    </row>
    <row r="27" spans="1:11" ht="12.75" customHeight="1" x14ac:dyDescent="0.2">
      <c r="A27" s="55"/>
      <c r="B27" s="58"/>
      <c r="C27" s="56"/>
      <c r="D27" s="57"/>
      <c r="E27" s="57"/>
      <c r="F27" s="66"/>
      <c r="G27" s="66"/>
      <c r="H27" s="66"/>
      <c r="I27" s="49"/>
      <c r="J27" s="30"/>
      <c r="K27" s="30"/>
    </row>
    <row r="28" spans="1:11" ht="12.75" customHeight="1" x14ac:dyDescent="0.2">
      <c r="A28" s="55"/>
      <c r="B28" s="58"/>
      <c r="C28" s="56"/>
      <c r="D28" s="57"/>
      <c r="E28" s="57"/>
      <c r="F28" s="66"/>
      <c r="G28" s="66"/>
      <c r="H28" s="66"/>
      <c r="I28" s="49"/>
      <c r="J28" s="30"/>
      <c r="K28" s="30"/>
    </row>
    <row r="29" spans="1:11" ht="12.75" customHeight="1" x14ac:dyDescent="0.2">
      <c r="A29" s="55"/>
      <c r="B29" s="58"/>
      <c r="C29" s="56"/>
      <c r="D29" s="57"/>
      <c r="E29" s="57"/>
      <c r="F29" s="66"/>
      <c r="G29" s="66"/>
      <c r="H29" s="66"/>
      <c r="I29" s="49"/>
      <c r="J29" s="30"/>
      <c r="K29" s="30"/>
    </row>
    <row r="30" spans="1:11" ht="12.75" customHeight="1" x14ac:dyDescent="0.2">
      <c r="A30" s="55"/>
      <c r="B30" s="58"/>
      <c r="C30" s="56"/>
      <c r="D30" s="57"/>
      <c r="E30" s="57"/>
      <c r="F30" s="66"/>
      <c r="G30" s="66"/>
      <c r="H30" s="66"/>
      <c r="I30" s="49"/>
      <c r="J30" s="30"/>
      <c r="K30" s="30"/>
    </row>
    <row r="31" spans="1:11" ht="12.75" customHeight="1" x14ac:dyDescent="0.2">
      <c r="A31" s="55"/>
      <c r="B31" s="58"/>
      <c r="C31" s="56"/>
      <c r="D31" s="57"/>
      <c r="E31" s="57"/>
      <c r="F31" s="66"/>
      <c r="G31" s="66"/>
      <c r="H31" s="66"/>
      <c r="I31" s="49"/>
      <c r="J31" s="30"/>
      <c r="K31" s="30"/>
    </row>
    <row r="32" spans="1:11" ht="12.75" customHeight="1" x14ac:dyDescent="0.2">
      <c r="A32" s="55"/>
      <c r="B32" s="58"/>
      <c r="C32" s="56"/>
      <c r="D32" s="57"/>
      <c r="E32" s="57"/>
      <c r="F32" s="66"/>
      <c r="G32" s="66"/>
      <c r="H32" s="66"/>
      <c r="I32" s="49"/>
      <c r="J32" s="30"/>
      <c r="K32" s="30"/>
    </row>
    <row r="33" spans="1:11" ht="12.75" customHeight="1" x14ac:dyDescent="0.2">
      <c r="A33" s="55"/>
      <c r="B33" s="58"/>
      <c r="C33" s="56"/>
      <c r="D33" s="57"/>
      <c r="E33" s="57"/>
      <c r="F33" s="66"/>
      <c r="G33" s="66"/>
      <c r="H33" s="66"/>
      <c r="I33" s="49"/>
      <c r="J33" s="30"/>
      <c r="K33" s="30"/>
    </row>
    <row r="34" spans="1:11" ht="12.75" customHeight="1" x14ac:dyDescent="0.2">
      <c r="A34" s="55"/>
      <c r="B34" s="58"/>
      <c r="C34" s="56"/>
      <c r="D34" s="57"/>
      <c r="E34" s="57"/>
      <c r="F34" s="66"/>
      <c r="G34" s="66"/>
      <c r="H34" s="66"/>
      <c r="I34" s="49"/>
      <c r="J34" s="30"/>
      <c r="K34" s="30"/>
    </row>
    <row r="35" spans="1:11" ht="12.75" customHeight="1" x14ac:dyDescent="0.2">
      <c r="A35" s="55"/>
      <c r="B35" s="58"/>
      <c r="C35" s="56"/>
      <c r="D35" s="57"/>
      <c r="E35" s="57"/>
      <c r="F35" s="66"/>
      <c r="G35" s="66"/>
      <c r="H35" s="66"/>
      <c r="I35" s="49"/>
      <c r="J35" s="30"/>
      <c r="K35" s="30"/>
    </row>
    <row r="36" spans="1:11" ht="12.75" customHeight="1" x14ac:dyDescent="0.2">
      <c r="A36" s="55"/>
      <c r="B36" s="58"/>
      <c r="C36" s="56"/>
      <c r="D36" s="57"/>
      <c r="E36" s="57"/>
      <c r="F36" s="66"/>
      <c r="G36" s="66"/>
      <c r="H36" s="66"/>
      <c r="I36" s="49"/>
      <c r="J36" s="30"/>
      <c r="K36" s="30"/>
    </row>
    <row r="37" spans="1:11" ht="12.75" customHeight="1" x14ac:dyDescent="0.2">
      <c r="A37" s="55"/>
      <c r="B37" s="58"/>
      <c r="C37" s="56"/>
      <c r="D37" s="57"/>
      <c r="E37" s="57"/>
      <c r="F37" s="66"/>
      <c r="G37" s="66"/>
      <c r="H37" s="66"/>
      <c r="I37" s="49"/>
      <c r="J37" s="30"/>
      <c r="K37" s="30"/>
    </row>
    <row r="38" spans="1:11" ht="12.75" customHeight="1" x14ac:dyDescent="0.2">
      <c r="A38" s="72"/>
      <c r="B38" s="73"/>
      <c r="C38" s="74"/>
      <c r="D38" s="75"/>
      <c r="E38" s="75"/>
      <c r="F38" s="314" t="s">
        <v>123</v>
      </c>
      <c r="G38" s="77">
        <f>SUM(G8:G37)</f>
        <v>100</v>
      </c>
      <c r="H38" s="77">
        <f>SUM(H8:H37)</f>
        <v>4.5</v>
      </c>
      <c r="I38" s="61"/>
      <c r="J38" s="30"/>
      <c r="K38" s="30"/>
    </row>
    <row r="39" spans="1:11" x14ac:dyDescent="0.2">
      <c r="A39" s="30"/>
      <c r="B39" s="30"/>
      <c r="C39" s="30"/>
      <c r="D39" s="62"/>
      <c r="E39" s="62"/>
      <c r="F39" s="62"/>
      <c r="G39" s="63"/>
      <c r="H39" s="63"/>
      <c r="I39" s="63"/>
      <c r="J39" s="30"/>
      <c r="K39" s="30"/>
    </row>
    <row r="40" spans="1:11" ht="14.25" x14ac:dyDescent="0.2">
      <c r="A40" s="30"/>
      <c r="B40" s="30"/>
      <c r="C40" s="30"/>
      <c r="D40" s="62"/>
      <c r="E40" s="62"/>
      <c r="F40" s="1140" t="s">
        <v>8</v>
      </c>
      <c r="G40" s="1140"/>
      <c r="H40" s="84">
        <f>G38-H38</f>
        <v>95.5</v>
      </c>
      <c r="I40" s="63"/>
      <c r="J40" s="30"/>
      <c r="K40" s="30"/>
    </row>
  </sheetData>
  <mergeCells count="4">
    <mergeCell ref="A6:H6"/>
    <mergeCell ref="J6:K7"/>
    <mergeCell ref="F40:G40"/>
    <mergeCell ref="C1:H5"/>
  </mergeCells>
  <hyperlinks>
    <hyperlink ref="J6:K7" location="'ANA SAYFA'!A1" display="AnaSayfa"/>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73"/>
  <sheetViews>
    <sheetView zoomScaleNormal="100" workbookViewId="0">
      <pane ySplit="7" topLeftCell="A44" activePane="bottomLeft" state="frozen"/>
      <selection pane="bottomLeft" activeCell="J6" sqref="J6:K7"/>
    </sheetView>
  </sheetViews>
  <sheetFormatPr defaultColWidth="9.140625" defaultRowHeight="12.75" x14ac:dyDescent="0.2"/>
  <cols>
    <col min="1" max="1" width="18.5703125" style="82" bestFit="1" customWidth="1"/>
    <col min="2" max="3" width="28.7109375" style="82" bestFit="1" customWidth="1"/>
    <col min="4" max="5" width="9" style="82" customWidth="1"/>
    <col min="6" max="6" width="18.5703125" style="82" customWidth="1"/>
    <col min="7" max="7" width="14.7109375" style="82" customWidth="1"/>
    <col min="8" max="8" width="12.5703125" style="82" bestFit="1" customWidth="1"/>
    <col min="9" max="9" width="9.140625" style="82"/>
    <col min="10" max="11" width="7.140625" style="82" customWidth="1"/>
    <col min="12" max="12" width="11.28515625" style="82" bestFit="1" customWidth="1"/>
    <col min="13" max="16384" width="9.140625" style="82"/>
  </cols>
  <sheetData>
    <row r="1" spans="1:13" x14ac:dyDescent="0.2">
      <c r="A1" s="29" t="s">
        <v>135</v>
      </c>
      <c r="B1" s="29" t="s">
        <v>147</v>
      </c>
      <c r="C1" s="1144" t="s">
        <v>136</v>
      </c>
      <c r="D1" s="1144"/>
      <c r="E1" s="1144"/>
      <c r="F1" s="1144"/>
      <c r="G1" s="1144"/>
      <c r="H1" s="1144"/>
      <c r="I1" s="28"/>
      <c r="J1" s="30"/>
      <c r="K1" s="30"/>
    </row>
    <row r="2" spans="1:13" x14ac:dyDescent="0.2">
      <c r="A2" s="29" t="s">
        <v>137</v>
      </c>
      <c r="B2" s="29">
        <v>67282150540</v>
      </c>
      <c r="C2" s="1144"/>
      <c r="D2" s="1144"/>
      <c r="E2" s="1144"/>
      <c r="F2" s="1144"/>
      <c r="G2" s="1144"/>
      <c r="H2" s="1144"/>
      <c r="I2" s="28"/>
      <c r="J2" s="30"/>
      <c r="K2" s="30"/>
    </row>
    <row r="3" spans="1:13" x14ac:dyDescent="0.2">
      <c r="A3" s="29" t="s">
        <v>131</v>
      </c>
      <c r="B3" s="29" t="s">
        <v>148</v>
      </c>
      <c r="C3" s="1144"/>
      <c r="D3" s="1144"/>
      <c r="E3" s="1144"/>
      <c r="F3" s="1144"/>
      <c r="G3" s="1144"/>
      <c r="H3" s="1144"/>
      <c r="I3" s="28"/>
      <c r="J3" s="30"/>
      <c r="K3" s="30"/>
    </row>
    <row r="4" spans="1:13" x14ac:dyDescent="0.2">
      <c r="A4" s="29" t="s">
        <v>120</v>
      </c>
      <c r="B4" s="83">
        <v>41075</v>
      </c>
      <c r="C4" s="1144"/>
      <c r="D4" s="1144"/>
      <c r="E4" s="1144"/>
      <c r="F4" s="1144"/>
      <c r="G4" s="1144"/>
      <c r="H4" s="1144"/>
      <c r="I4" s="28"/>
      <c r="J4" s="30"/>
      <c r="K4" s="30"/>
    </row>
    <row r="5" spans="1:13" ht="13.5" thickBot="1" x14ac:dyDescent="0.25">
      <c r="A5" s="29" t="s">
        <v>130</v>
      </c>
      <c r="B5" s="31">
        <v>24899</v>
      </c>
      <c r="C5" s="1144"/>
      <c r="D5" s="1144"/>
      <c r="E5" s="1144"/>
      <c r="F5" s="1144"/>
      <c r="G5" s="1144"/>
      <c r="H5" s="1144"/>
      <c r="I5" s="28"/>
      <c r="J5" s="30"/>
      <c r="K5" s="30"/>
    </row>
    <row r="6" spans="1:13" ht="15.75" customHeight="1" thickTop="1" x14ac:dyDescent="0.2">
      <c r="A6" s="1141" t="s">
        <v>136</v>
      </c>
      <c r="B6" s="1141"/>
      <c r="C6" s="1141"/>
      <c r="D6" s="1141"/>
      <c r="E6" s="1141"/>
      <c r="F6" s="1141"/>
      <c r="G6" s="1141"/>
      <c r="H6" s="1141"/>
      <c r="I6" s="32"/>
      <c r="J6" s="1149" t="s">
        <v>5</v>
      </c>
      <c r="K6" s="1150"/>
      <c r="L6" s="522">
        <v>45898</v>
      </c>
      <c r="M6" s="82" t="s">
        <v>897</v>
      </c>
    </row>
    <row r="7" spans="1:13" ht="32.25" thickBot="1" x14ac:dyDescent="0.25">
      <c r="A7" s="559" t="s">
        <v>0</v>
      </c>
      <c r="B7" s="70" t="s">
        <v>1</v>
      </c>
      <c r="C7" s="559" t="s">
        <v>2</v>
      </c>
      <c r="D7" s="71" t="s">
        <v>133</v>
      </c>
      <c r="E7" s="71" t="s">
        <v>4</v>
      </c>
      <c r="F7" s="71" t="s">
        <v>7</v>
      </c>
      <c r="G7" s="71" t="s">
        <v>6</v>
      </c>
      <c r="H7" s="71" t="s">
        <v>16</v>
      </c>
      <c r="I7" s="34"/>
      <c r="J7" s="1151"/>
      <c r="K7" s="1152"/>
      <c r="L7" s="503">
        <v>45899</v>
      </c>
      <c r="M7" s="82" t="s">
        <v>873</v>
      </c>
    </row>
    <row r="8" spans="1:13" ht="12.75" customHeight="1" thickTop="1" x14ac:dyDescent="0.2">
      <c r="B8" s="560">
        <v>41263</v>
      </c>
      <c r="C8" s="37">
        <v>41267</v>
      </c>
      <c r="D8" s="38">
        <v>0.54166666666666663</v>
      </c>
      <c r="E8" s="38">
        <v>0.33333333333333331</v>
      </c>
      <c r="F8" s="79" t="s">
        <v>10</v>
      </c>
      <c r="G8" s="558">
        <v>14</v>
      </c>
      <c r="H8" s="39">
        <v>3</v>
      </c>
      <c r="I8" s="49"/>
      <c r="J8" s="30"/>
      <c r="K8" s="30"/>
      <c r="L8" s="503">
        <v>45898</v>
      </c>
      <c r="M8" s="30" t="s">
        <v>765</v>
      </c>
    </row>
    <row r="9" spans="1:13" ht="12.75" customHeight="1" x14ac:dyDescent="0.2">
      <c r="A9" s="51"/>
      <c r="B9" s="560">
        <v>41282</v>
      </c>
      <c r="C9" s="37">
        <v>41283</v>
      </c>
      <c r="D9" s="57">
        <v>0.33333333333333331</v>
      </c>
      <c r="E9" s="57">
        <v>0.33333333333333331</v>
      </c>
      <c r="F9" s="78" t="s">
        <v>11</v>
      </c>
      <c r="G9" s="558">
        <v>14</v>
      </c>
      <c r="H9" s="39">
        <v>1</v>
      </c>
      <c r="I9" s="49"/>
    </row>
    <row r="10" spans="1:13" ht="12.75" customHeight="1" x14ac:dyDescent="0.2">
      <c r="A10" s="51"/>
      <c r="B10" s="560">
        <v>41313</v>
      </c>
      <c r="C10" s="44">
        <v>41314</v>
      </c>
      <c r="D10" s="86">
        <v>0.54166666666666663</v>
      </c>
      <c r="E10" s="86">
        <v>0.33333333333333331</v>
      </c>
      <c r="F10" s="79" t="s">
        <v>19</v>
      </c>
      <c r="G10" s="558">
        <v>14</v>
      </c>
      <c r="H10" s="558">
        <v>0.5</v>
      </c>
      <c r="I10" s="49"/>
      <c r="J10" s="30"/>
      <c r="K10" s="30"/>
    </row>
    <row r="11" spans="1:13" ht="12.75" customHeight="1" x14ac:dyDescent="0.2">
      <c r="A11" s="51"/>
      <c r="B11" s="560">
        <v>41341</v>
      </c>
      <c r="C11" s="44">
        <v>41342</v>
      </c>
      <c r="D11" s="57">
        <v>0.54166666666666663</v>
      </c>
      <c r="E11" s="57">
        <v>0.33333333333333331</v>
      </c>
      <c r="F11" s="81" t="s">
        <v>21</v>
      </c>
      <c r="G11" s="66">
        <v>14</v>
      </c>
      <c r="H11" s="558">
        <v>0.5</v>
      </c>
      <c r="I11" s="49"/>
      <c r="J11" s="30"/>
      <c r="K11" s="30"/>
    </row>
    <row r="12" spans="1:13" ht="12.75" customHeight="1" x14ac:dyDescent="0.2">
      <c r="A12" s="51"/>
      <c r="B12" s="52">
        <v>41372</v>
      </c>
      <c r="C12" s="53">
        <v>41342</v>
      </c>
      <c r="D12" s="54">
        <v>0.58333333333333337</v>
      </c>
      <c r="E12" s="54">
        <v>0.3125</v>
      </c>
      <c r="F12" s="81" t="s">
        <v>35</v>
      </c>
      <c r="G12" s="66">
        <v>14</v>
      </c>
      <c r="H12" s="558">
        <v>0.5</v>
      </c>
      <c r="I12" s="49"/>
      <c r="J12" s="30"/>
      <c r="K12" s="30"/>
    </row>
    <row r="13" spans="1:13" ht="12.75" customHeight="1" x14ac:dyDescent="0.2">
      <c r="A13" s="51"/>
      <c r="B13" s="52">
        <v>41401</v>
      </c>
      <c r="C13" s="53">
        <v>41402</v>
      </c>
      <c r="D13" s="54">
        <v>0.5</v>
      </c>
      <c r="E13" s="54">
        <v>0.3125</v>
      </c>
      <c r="F13" s="81" t="s">
        <v>46</v>
      </c>
      <c r="G13" s="66">
        <v>20</v>
      </c>
      <c r="H13" s="558">
        <v>0.5</v>
      </c>
      <c r="I13" s="49"/>
      <c r="J13" s="30"/>
      <c r="K13" s="30"/>
    </row>
    <row r="14" spans="1:13" ht="12.75" customHeight="1" x14ac:dyDescent="0.2">
      <c r="A14" s="51"/>
      <c r="B14" s="52">
        <v>41409</v>
      </c>
      <c r="C14" s="53">
        <v>41410</v>
      </c>
      <c r="D14" s="54">
        <v>0.54166666666666663</v>
      </c>
      <c r="E14" s="54">
        <v>0.3125</v>
      </c>
      <c r="F14" s="81" t="s">
        <v>53</v>
      </c>
      <c r="G14" s="66">
        <v>20</v>
      </c>
      <c r="H14" s="558">
        <v>0.5</v>
      </c>
      <c r="I14" s="49"/>
      <c r="J14" s="30"/>
      <c r="K14" s="30"/>
    </row>
    <row r="15" spans="1:13" ht="12.75" customHeight="1" x14ac:dyDescent="0.2">
      <c r="A15" s="43"/>
      <c r="B15" s="52">
        <v>41435</v>
      </c>
      <c r="C15" s="53">
        <v>41436</v>
      </c>
      <c r="D15" s="54">
        <v>0.45833333333333331</v>
      </c>
      <c r="E15" s="54">
        <v>0.3125</v>
      </c>
      <c r="F15" s="81" t="s">
        <v>74</v>
      </c>
      <c r="G15" s="66">
        <v>20</v>
      </c>
      <c r="H15" s="558">
        <v>0.5</v>
      </c>
      <c r="I15" s="49"/>
      <c r="J15" s="30"/>
      <c r="K15" s="30"/>
    </row>
    <row r="16" spans="1:13" ht="12.75" customHeight="1" x14ac:dyDescent="0.2">
      <c r="A16" s="47"/>
      <c r="B16" s="52">
        <v>41453</v>
      </c>
      <c r="C16" s="53">
        <v>41454</v>
      </c>
      <c r="D16" s="54">
        <v>0.5625</v>
      </c>
      <c r="E16" s="54">
        <v>0.3125</v>
      </c>
      <c r="F16" s="81" t="s">
        <v>80</v>
      </c>
      <c r="G16" s="66">
        <v>20</v>
      </c>
      <c r="H16" s="558">
        <v>0.5</v>
      </c>
      <c r="I16" s="49"/>
      <c r="J16" s="30"/>
      <c r="K16" s="30"/>
    </row>
    <row r="17" spans="1:11" ht="12.75" customHeight="1" x14ac:dyDescent="0.2">
      <c r="A17" s="42"/>
      <c r="B17" s="52">
        <v>41549</v>
      </c>
      <c r="C17" s="53">
        <v>41550</v>
      </c>
      <c r="D17" s="54">
        <v>0.60416666666666663</v>
      </c>
      <c r="E17" s="54">
        <v>0.33333333333333331</v>
      </c>
      <c r="F17" s="81" t="s">
        <v>154</v>
      </c>
      <c r="G17" s="558">
        <v>20</v>
      </c>
      <c r="H17" s="558">
        <v>0.5</v>
      </c>
      <c r="I17" s="46"/>
      <c r="J17" s="30"/>
      <c r="K17" s="30"/>
    </row>
    <row r="18" spans="1:11" ht="12.75" customHeight="1" x14ac:dyDescent="0.2">
      <c r="A18" s="51"/>
      <c r="B18" s="52">
        <v>41691</v>
      </c>
      <c r="C18" s="53">
        <v>41327</v>
      </c>
      <c r="D18" s="54">
        <v>0.5625</v>
      </c>
      <c r="E18" s="54">
        <v>0.33333333333333331</v>
      </c>
      <c r="F18" s="81" t="s">
        <v>467</v>
      </c>
      <c r="G18" s="558">
        <v>20</v>
      </c>
      <c r="H18" s="558">
        <v>0.5</v>
      </c>
      <c r="I18" s="40"/>
      <c r="J18" s="30"/>
      <c r="K18" s="30"/>
    </row>
    <row r="19" spans="1:11" ht="12.75" customHeight="1" x14ac:dyDescent="0.2">
      <c r="A19" s="51"/>
      <c r="B19" s="52">
        <v>41768</v>
      </c>
      <c r="C19" s="53">
        <v>41770</v>
      </c>
      <c r="D19" s="54">
        <v>0.58333333333333337</v>
      </c>
      <c r="E19" s="54">
        <v>0.33333333333333331</v>
      </c>
      <c r="F19" s="81" t="s">
        <v>615</v>
      </c>
      <c r="G19" s="558">
        <v>20</v>
      </c>
      <c r="H19" s="558">
        <v>1.5</v>
      </c>
      <c r="I19" s="40"/>
      <c r="J19" s="41"/>
      <c r="K19" s="41"/>
    </row>
    <row r="20" spans="1:11" ht="12.75" customHeight="1" x14ac:dyDescent="0.2">
      <c r="A20" s="51"/>
      <c r="B20" s="52">
        <v>42116</v>
      </c>
      <c r="C20" s="53">
        <v>42117</v>
      </c>
      <c r="D20" s="54">
        <v>0.61249999999999993</v>
      </c>
      <c r="E20" s="54">
        <v>0.33333333333333331</v>
      </c>
      <c r="F20" s="698" t="s">
        <v>826</v>
      </c>
      <c r="G20" s="558">
        <v>20</v>
      </c>
      <c r="H20" s="558">
        <v>0.5</v>
      </c>
      <c r="I20" s="49"/>
      <c r="J20" s="30"/>
      <c r="K20" s="30"/>
    </row>
    <row r="21" spans="1:11" ht="12.75" customHeight="1" x14ac:dyDescent="0.2">
      <c r="A21" s="51"/>
      <c r="B21" s="52">
        <v>43225</v>
      </c>
      <c r="C21" s="53">
        <v>43226</v>
      </c>
      <c r="D21" s="54">
        <v>0.33333333333333331</v>
      </c>
      <c r="E21" s="54">
        <v>0.33333333333333331</v>
      </c>
      <c r="F21" s="48"/>
      <c r="G21" s="558"/>
      <c r="H21" s="558">
        <v>1</v>
      </c>
      <c r="I21" s="49"/>
      <c r="J21" s="30"/>
      <c r="K21" s="30"/>
    </row>
    <row r="22" spans="1:11" ht="12.75" customHeight="1" x14ac:dyDescent="0.2">
      <c r="A22" s="51"/>
      <c r="B22" s="52">
        <v>43357</v>
      </c>
      <c r="C22" s="53">
        <v>43358</v>
      </c>
      <c r="D22" s="54">
        <v>0.33333333333333331</v>
      </c>
      <c r="E22" s="54">
        <v>0.33333333333333331</v>
      </c>
      <c r="F22" s="48"/>
      <c r="G22" s="66"/>
      <c r="H22" s="558">
        <v>1</v>
      </c>
      <c r="I22" s="49"/>
      <c r="J22" s="30"/>
      <c r="K22" s="30"/>
    </row>
    <row r="23" spans="1:11" ht="12.75" customHeight="1" x14ac:dyDescent="0.2">
      <c r="A23" s="55"/>
      <c r="B23" s="52">
        <v>43297</v>
      </c>
      <c r="C23" s="53">
        <v>43298</v>
      </c>
      <c r="D23" s="54">
        <v>0.58333333333333337</v>
      </c>
      <c r="E23" s="54">
        <v>0.33333333333333331</v>
      </c>
      <c r="F23" s="48"/>
      <c r="G23" s="66"/>
      <c r="H23" s="558">
        <v>0.5</v>
      </c>
      <c r="I23" s="49"/>
      <c r="J23" s="30"/>
      <c r="K23" s="30"/>
    </row>
    <row r="24" spans="1:11" ht="12.75" customHeight="1" x14ac:dyDescent="0.2">
      <c r="A24" s="55"/>
      <c r="B24" s="58">
        <v>43368</v>
      </c>
      <c r="C24" s="56">
        <v>43372</v>
      </c>
      <c r="D24" s="57">
        <v>0.33333333333333331</v>
      </c>
      <c r="E24" s="54">
        <v>0.33333333333333331</v>
      </c>
      <c r="F24" s="48"/>
      <c r="G24" s="558"/>
      <c r="H24" s="66">
        <v>5</v>
      </c>
      <c r="I24" s="49"/>
      <c r="J24" s="30"/>
      <c r="K24" s="30"/>
    </row>
    <row r="25" spans="1:11" ht="12.75" customHeight="1" x14ac:dyDescent="0.2">
      <c r="A25" s="47"/>
      <c r="B25" s="58">
        <v>43424</v>
      </c>
      <c r="C25" s="56">
        <v>43425</v>
      </c>
      <c r="D25" s="57">
        <v>0.33333333333333331</v>
      </c>
      <c r="E25" s="57">
        <v>0.33333333333333331</v>
      </c>
      <c r="F25" s="59"/>
      <c r="G25" s="558"/>
      <c r="H25" s="66">
        <v>1</v>
      </c>
      <c r="I25" s="60"/>
      <c r="J25" s="30"/>
      <c r="K25" s="30"/>
    </row>
    <row r="26" spans="1:11" ht="12.75" customHeight="1" x14ac:dyDescent="0.2">
      <c r="A26" s="55"/>
      <c r="B26" s="58">
        <v>43431</v>
      </c>
      <c r="C26" s="56">
        <v>43433</v>
      </c>
      <c r="D26" s="57">
        <v>0.33333333333333331</v>
      </c>
      <c r="E26" s="57">
        <v>0.33333333333333331</v>
      </c>
      <c r="F26" s="48"/>
      <c r="G26" s="66"/>
      <c r="H26" s="66">
        <v>2</v>
      </c>
      <c r="I26" s="49"/>
      <c r="J26" s="30"/>
      <c r="K26" s="30"/>
    </row>
    <row r="27" spans="1:11" ht="12.75" customHeight="1" x14ac:dyDescent="0.2">
      <c r="A27" s="55"/>
      <c r="B27" s="58">
        <v>43501</v>
      </c>
      <c r="C27" s="56">
        <v>43507</v>
      </c>
      <c r="D27" s="57">
        <v>0.33333333333333331</v>
      </c>
      <c r="E27" s="57">
        <v>0.33333333333333331</v>
      </c>
      <c r="F27" s="48"/>
      <c r="G27" s="66"/>
      <c r="H27" s="66">
        <v>6</v>
      </c>
      <c r="I27" s="49"/>
      <c r="J27" s="30"/>
      <c r="K27" s="30"/>
    </row>
    <row r="28" spans="1:11" ht="12.75" customHeight="1" x14ac:dyDescent="0.2">
      <c r="A28" s="55"/>
      <c r="B28" s="58">
        <v>43535</v>
      </c>
      <c r="C28" s="56">
        <v>43539</v>
      </c>
      <c r="D28" s="57">
        <v>0.33333333333333331</v>
      </c>
      <c r="E28" s="57">
        <v>0.33333333333333331</v>
      </c>
      <c r="F28" s="48"/>
      <c r="G28" s="66"/>
      <c r="H28" s="66">
        <v>4</v>
      </c>
      <c r="I28" s="49"/>
      <c r="J28" s="30"/>
      <c r="K28" s="30"/>
    </row>
    <row r="29" spans="1:11" ht="12.75" customHeight="1" x14ac:dyDescent="0.2">
      <c r="A29" s="55"/>
      <c r="B29" s="58">
        <v>43571</v>
      </c>
      <c r="C29" s="56">
        <v>43572</v>
      </c>
      <c r="D29" s="57">
        <v>0.33333333333333331</v>
      </c>
      <c r="E29" s="57">
        <v>0.33333333333333331</v>
      </c>
      <c r="F29" s="48"/>
      <c r="G29" s="66"/>
      <c r="H29" s="66">
        <v>1</v>
      </c>
      <c r="I29" s="49"/>
      <c r="J29" s="30"/>
      <c r="K29" s="30"/>
    </row>
    <row r="30" spans="1:11" ht="12.75" customHeight="1" x14ac:dyDescent="0.2">
      <c r="A30" s="55"/>
      <c r="B30" s="58">
        <v>43603</v>
      </c>
      <c r="C30" s="56">
        <v>43604</v>
      </c>
      <c r="D30" s="57">
        <v>0.33333333333333331</v>
      </c>
      <c r="E30" s="57">
        <v>0.33333333333333331</v>
      </c>
      <c r="F30" s="48"/>
      <c r="G30" s="66"/>
      <c r="H30" s="66">
        <v>1</v>
      </c>
      <c r="I30" s="49"/>
      <c r="J30" s="30"/>
      <c r="K30" s="30"/>
    </row>
    <row r="31" spans="1:11" ht="12.75" customHeight="1" x14ac:dyDescent="0.2">
      <c r="A31" s="55"/>
      <c r="B31" s="58">
        <v>43721</v>
      </c>
      <c r="C31" s="56">
        <v>43722</v>
      </c>
      <c r="D31" s="57">
        <v>0.33333333333333331</v>
      </c>
      <c r="E31" s="57">
        <v>0.33333333333333331</v>
      </c>
      <c r="F31" s="48"/>
      <c r="G31" s="66"/>
      <c r="H31" s="66">
        <v>1</v>
      </c>
      <c r="I31" s="49"/>
      <c r="J31" s="30"/>
      <c r="K31" s="30"/>
    </row>
    <row r="32" spans="1:11" ht="12.75" customHeight="1" x14ac:dyDescent="0.2">
      <c r="A32" s="55"/>
      <c r="B32" s="58">
        <v>43754</v>
      </c>
      <c r="C32" s="56">
        <v>43756</v>
      </c>
      <c r="D32" s="57">
        <v>0.33333333333333331</v>
      </c>
      <c r="E32" s="57">
        <v>0.33333333333333331</v>
      </c>
      <c r="F32" s="48"/>
      <c r="G32" s="66"/>
      <c r="H32" s="66">
        <v>2</v>
      </c>
      <c r="I32" s="49"/>
      <c r="J32" s="30"/>
      <c r="K32" s="30"/>
    </row>
    <row r="33" spans="1:11" ht="12.75" customHeight="1" x14ac:dyDescent="0.2">
      <c r="A33" s="55"/>
      <c r="B33" s="58">
        <v>43770</v>
      </c>
      <c r="C33" s="56">
        <v>43771</v>
      </c>
      <c r="D33" s="57">
        <v>0.33333333333333331</v>
      </c>
      <c r="E33" s="57">
        <v>0.33333333333333331</v>
      </c>
      <c r="F33" s="48"/>
      <c r="G33" s="66"/>
      <c r="H33" s="66">
        <v>1</v>
      </c>
      <c r="I33" s="49"/>
      <c r="J33" s="30"/>
      <c r="K33" s="30"/>
    </row>
    <row r="34" spans="1:11" ht="12.75" customHeight="1" x14ac:dyDescent="0.2">
      <c r="A34" s="55"/>
      <c r="B34" s="58">
        <v>43830</v>
      </c>
      <c r="C34" s="56">
        <v>43844</v>
      </c>
      <c r="D34" s="57">
        <v>0.33333333333333331</v>
      </c>
      <c r="E34" s="57">
        <v>0.33333333333333331</v>
      </c>
      <c r="F34" s="48"/>
      <c r="G34" s="66"/>
      <c r="H34" s="66">
        <v>13</v>
      </c>
      <c r="I34" s="49"/>
      <c r="J34" s="30"/>
      <c r="K34" s="30"/>
    </row>
    <row r="35" spans="1:11" ht="12.75" customHeight="1" x14ac:dyDescent="0.2">
      <c r="A35" s="55"/>
      <c r="B35" s="58">
        <v>43855</v>
      </c>
      <c r="C35" s="56">
        <v>43857</v>
      </c>
      <c r="D35" s="57">
        <v>0.33333333333333331</v>
      </c>
      <c r="E35" s="57">
        <v>0.33333333333333331</v>
      </c>
      <c r="F35" s="48"/>
      <c r="G35" s="66"/>
      <c r="H35" s="66">
        <v>1</v>
      </c>
      <c r="I35" s="49"/>
      <c r="J35" s="30"/>
      <c r="K35" s="30"/>
    </row>
    <row r="36" spans="1:11" ht="12.75" customHeight="1" x14ac:dyDescent="0.2">
      <c r="A36" s="55"/>
      <c r="B36" s="58">
        <v>43869</v>
      </c>
      <c r="C36" s="56">
        <v>43871</v>
      </c>
      <c r="D36" s="57">
        <v>0.33333333333333331</v>
      </c>
      <c r="E36" s="57">
        <v>0.33333333333333331</v>
      </c>
      <c r="F36" s="48"/>
      <c r="G36" s="66"/>
      <c r="H36" s="66">
        <v>1</v>
      </c>
      <c r="I36" s="49"/>
      <c r="J36" s="30"/>
      <c r="K36" s="30"/>
    </row>
    <row r="37" spans="1:11" ht="12.75" customHeight="1" x14ac:dyDescent="0.2">
      <c r="A37" s="55"/>
      <c r="B37" s="58">
        <v>44035</v>
      </c>
      <c r="C37" s="56">
        <v>44037</v>
      </c>
      <c r="D37" s="57">
        <v>0.33333333333333331</v>
      </c>
      <c r="E37" s="57">
        <v>0.33333333333333331</v>
      </c>
      <c r="F37" s="48"/>
      <c r="G37" s="66"/>
      <c r="H37" s="66">
        <v>2</v>
      </c>
      <c r="I37" s="49"/>
      <c r="J37" s="30"/>
      <c r="K37" s="30"/>
    </row>
    <row r="38" spans="1:11" ht="12.75" customHeight="1" x14ac:dyDescent="0.2">
      <c r="A38" s="55"/>
      <c r="B38" s="58">
        <v>44072</v>
      </c>
      <c r="C38" s="56">
        <v>44072</v>
      </c>
      <c r="D38" s="57">
        <v>0.33333333333333331</v>
      </c>
      <c r="E38" s="57">
        <v>0.75</v>
      </c>
      <c r="F38" s="48"/>
      <c r="G38" s="66"/>
      <c r="H38" s="66">
        <v>1</v>
      </c>
      <c r="I38" s="49"/>
      <c r="J38" s="30"/>
      <c r="K38" s="30"/>
    </row>
    <row r="39" spans="1:11" ht="12.75" customHeight="1" x14ac:dyDescent="0.2">
      <c r="A39" s="55"/>
      <c r="B39" s="58">
        <v>44210</v>
      </c>
      <c r="C39" s="56">
        <v>44212</v>
      </c>
      <c r="D39" s="57">
        <v>0.5</v>
      </c>
      <c r="E39" s="57">
        <v>0.33333333333333331</v>
      </c>
      <c r="F39" s="48"/>
      <c r="G39" s="66"/>
      <c r="H39" s="68">
        <v>2.5</v>
      </c>
      <c r="I39" s="49"/>
      <c r="J39" s="30"/>
      <c r="K39" s="30"/>
    </row>
    <row r="40" spans="1:11" ht="12.75" customHeight="1" x14ac:dyDescent="0.2">
      <c r="A40" s="55"/>
      <c r="B40" s="58">
        <v>44242</v>
      </c>
      <c r="C40" s="56">
        <v>44249</v>
      </c>
      <c r="D40" s="57" t="s">
        <v>17</v>
      </c>
      <c r="E40" s="57">
        <v>0.33333333333333331</v>
      </c>
      <c r="F40" s="48"/>
      <c r="G40" s="66"/>
      <c r="H40" s="68">
        <v>6</v>
      </c>
      <c r="I40" s="49"/>
      <c r="J40" s="30"/>
      <c r="K40" s="30"/>
    </row>
    <row r="41" spans="1:11" ht="12.75" customHeight="1" x14ac:dyDescent="0.2">
      <c r="A41" s="55"/>
      <c r="B41" s="58">
        <v>44278</v>
      </c>
      <c r="C41" s="56">
        <v>44279</v>
      </c>
      <c r="D41" s="57">
        <v>0.33333333333333331</v>
      </c>
      <c r="E41" s="57">
        <v>0.33333333333333331</v>
      </c>
      <c r="F41" s="48"/>
      <c r="G41" s="66"/>
      <c r="H41" s="68">
        <v>1</v>
      </c>
      <c r="I41" s="49"/>
      <c r="J41" s="30"/>
      <c r="K41" s="30"/>
    </row>
    <row r="42" spans="1:11" ht="12.75" customHeight="1" x14ac:dyDescent="0.2">
      <c r="A42" s="55"/>
      <c r="B42" s="58">
        <v>44279</v>
      </c>
      <c r="C42" s="56">
        <v>44281</v>
      </c>
      <c r="D42" s="57">
        <v>0.33333333333333331</v>
      </c>
      <c r="E42" s="57">
        <v>0.33333333333333331</v>
      </c>
      <c r="F42" s="48"/>
      <c r="G42" s="66"/>
      <c r="H42" s="68">
        <v>2</v>
      </c>
      <c r="I42" s="49"/>
      <c r="J42" s="30"/>
      <c r="K42" s="30"/>
    </row>
    <row r="43" spans="1:11" ht="12.75" customHeight="1" x14ac:dyDescent="0.2">
      <c r="A43" s="55"/>
      <c r="B43" s="58">
        <v>44225</v>
      </c>
      <c r="C43" s="56">
        <v>44287</v>
      </c>
      <c r="D43" s="57">
        <v>0.33333333333333331</v>
      </c>
      <c r="E43" s="57">
        <v>0.33333333333333331</v>
      </c>
      <c r="F43" s="48"/>
      <c r="G43" s="66"/>
      <c r="H43" s="68">
        <v>3</v>
      </c>
      <c r="I43" s="49"/>
      <c r="J43" s="30"/>
      <c r="K43" s="30"/>
    </row>
    <row r="44" spans="1:11" ht="12.75" customHeight="1" x14ac:dyDescent="0.2">
      <c r="A44" s="55"/>
      <c r="B44" s="58">
        <v>44389</v>
      </c>
      <c r="C44" s="56">
        <v>44394</v>
      </c>
      <c r="D44" s="57">
        <v>0.33333333333333331</v>
      </c>
      <c r="E44" s="57">
        <v>0.33333333333333331</v>
      </c>
      <c r="F44" s="48"/>
      <c r="G44" s="66"/>
      <c r="H44" s="68">
        <v>5</v>
      </c>
      <c r="I44" s="49"/>
      <c r="J44" s="30"/>
      <c r="K44" s="30"/>
    </row>
    <row r="45" spans="1:11" ht="12.75" customHeight="1" x14ac:dyDescent="0.2">
      <c r="A45" s="55"/>
      <c r="B45" s="58">
        <v>44544</v>
      </c>
      <c r="C45" s="56">
        <v>44548</v>
      </c>
      <c r="D45" s="57">
        <v>0.33333333333333331</v>
      </c>
      <c r="E45" s="57">
        <v>0.75</v>
      </c>
      <c r="F45" s="48"/>
      <c r="G45" s="66"/>
      <c r="H45" s="68">
        <v>5</v>
      </c>
      <c r="I45" s="49"/>
      <c r="J45" s="30"/>
      <c r="K45" s="30"/>
    </row>
    <row r="46" spans="1:11" ht="12.75" customHeight="1" x14ac:dyDescent="0.2">
      <c r="A46" s="55"/>
      <c r="B46" s="58">
        <v>44587</v>
      </c>
      <c r="C46" s="56">
        <v>44590</v>
      </c>
      <c r="D46" s="57">
        <v>0.33333333333333331</v>
      </c>
      <c r="E46" s="57">
        <v>0.33333333333333331</v>
      </c>
      <c r="F46" s="48"/>
      <c r="G46" s="66"/>
      <c r="H46" s="68">
        <v>3</v>
      </c>
      <c r="I46" s="49"/>
      <c r="J46" s="30"/>
      <c r="K46" s="30"/>
    </row>
    <row r="47" spans="1:11" ht="12.75" customHeight="1" x14ac:dyDescent="0.2">
      <c r="A47" s="55"/>
      <c r="B47" s="58">
        <v>44595</v>
      </c>
      <c r="C47" s="56">
        <v>44596</v>
      </c>
      <c r="D47" s="57">
        <v>0.33333333333333331</v>
      </c>
      <c r="E47" s="57">
        <v>0.33333333333333331</v>
      </c>
      <c r="F47" s="48"/>
      <c r="G47" s="66"/>
      <c r="H47" s="68">
        <v>1</v>
      </c>
      <c r="I47" s="49"/>
      <c r="J47" s="30"/>
      <c r="K47" s="30"/>
    </row>
    <row r="48" spans="1:11" ht="12.75" customHeight="1" x14ac:dyDescent="0.2">
      <c r="A48" s="55"/>
      <c r="B48" s="58">
        <v>44616</v>
      </c>
      <c r="C48" s="56">
        <v>44618</v>
      </c>
      <c r="D48" s="57">
        <v>0.33333333333333331</v>
      </c>
      <c r="E48" s="57">
        <v>0.33333333333333331</v>
      </c>
      <c r="F48" s="48"/>
      <c r="G48" s="66"/>
      <c r="H48" s="68">
        <v>3</v>
      </c>
      <c r="I48" s="49"/>
      <c r="J48" s="30"/>
      <c r="K48" s="30"/>
    </row>
    <row r="49" spans="1:11" ht="12.75" customHeight="1" x14ac:dyDescent="0.2">
      <c r="A49" s="55"/>
      <c r="B49" s="58">
        <v>44634</v>
      </c>
      <c r="C49" s="56">
        <v>44641</v>
      </c>
      <c r="D49" s="57">
        <v>0.33333333333333331</v>
      </c>
      <c r="E49" s="57">
        <v>0.33333333333333331</v>
      </c>
      <c r="F49" s="48"/>
      <c r="G49" s="66"/>
      <c r="H49" s="68">
        <v>7</v>
      </c>
      <c r="I49" s="49"/>
      <c r="J49" s="30"/>
      <c r="K49" s="30"/>
    </row>
    <row r="50" spans="1:11" ht="12.75" customHeight="1" x14ac:dyDescent="0.2">
      <c r="A50" s="55"/>
      <c r="B50" s="58">
        <v>45016</v>
      </c>
      <c r="C50" s="56">
        <v>45040</v>
      </c>
      <c r="D50" s="57">
        <v>0.33333333333333331</v>
      </c>
      <c r="E50" s="57">
        <v>0.33333333333333331</v>
      </c>
      <c r="F50" s="48"/>
      <c r="G50" s="66"/>
      <c r="H50" s="66">
        <v>19</v>
      </c>
      <c r="I50" s="49"/>
      <c r="J50" s="30"/>
      <c r="K50" s="30"/>
    </row>
    <row r="51" spans="1:11" ht="12.75" customHeight="1" x14ac:dyDescent="0.2">
      <c r="A51" s="55"/>
      <c r="B51" s="58">
        <v>45239</v>
      </c>
      <c r="C51" s="56">
        <v>45240</v>
      </c>
      <c r="D51" s="57">
        <v>0.33333333333333331</v>
      </c>
      <c r="E51" s="57">
        <v>0.33333333333333331</v>
      </c>
      <c r="F51" s="48"/>
      <c r="G51" s="66"/>
      <c r="H51" s="66">
        <v>1</v>
      </c>
      <c r="I51" s="49"/>
      <c r="J51" s="30"/>
      <c r="K51" s="30"/>
    </row>
    <row r="52" spans="1:11" ht="12.75" customHeight="1" x14ac:dyDescent="0.2">
      <c r="A52" s="55"/>
      <c r="B52" s="142">
        <v>45266</v>
      </c>
      <c r="C52" s="143">
        <v>45273</v>
      </c>
      <c r="D52" s="57">
        <v>0.33333333333333331</v>
      </c>
      <c r="E52" s="57">
        <v>0.33333333333333331</v>
      </c>
      <c r="F52" s="48"/>
      <c r="G52" s="66"/>
      <c r="H52" s="66">
        <v>6</v>
      </c>
      <c r="I52" s="49"/>
      <c r="J52" s="30"/>
      <c r="K52" s="30"/>
    </row>
    <row r="53" spans="1:11" ht="12.75" customHeight="1" x14ac:dyDescent="0.2">
      <c r="A53" s="55"/>
      <c r="B53" s="142">
        <v>45276</v>
      </c>
      <c r="C53" s="143">
        <v>45279</v>
      </c>
      <c r="D53" s="57">
        <v>0.33333333333333331</v>
      </c>
      <c r="E53" s="57">
        <v>0.33333333333333331</v>
      </c>
      <c r="F53" s="48"/>
      <c r="G53" s="66"/>
      <c r="H53" s="66">
        <v>2</v>
      </c>
      <c r="I53" s="49"/>
      <c r="J53" s="30"/>
      <c r="K53" s="30"/>
    </row>
    <row r="54" spans="1:11" ht="12.75" customHeight="1" x14ac:dyDescent="0.2">
      <c r="A54" s="55"/>
      <c r="B54" s="142">
        <v>45285</v>
      </c>
      <c r="C54" s="143">
        <v>45286</v>
      </c>
      <c r="D54" s="57">
        <v>0.33333333333333331</v>
      </c>
      <c r="E54" s="57">
        <v>0.33333333333333331</v>
      </c>
      <c r="F54" s="48"/>
      <c r="G54" s="66"/>
      <c r="H54" s="66">
        <v>1</v>
      </c>
      <c r="I54" s="49"/>
      <c r="J54" s="30"/>
      <c r="K54" s="30"/>
    </row>
    <row r="55" spans="1:11" ht="12.75" customHeight="1" x14ac:dyDescent="0.2">
      <c r="A55" s="55"/>
      <c r="B55" s="142">
        <v>45359</v>
      </c>
      <c r="C55" s="143">
        <v>45362</v>
      </c>
      <c r="D55" s="57">
        <v>0.33333333333333331</v>
      </c>
      <c r="E55" s="57">
        <v>0.33333333333333331</v>
      </c>
      <c r="F55" s="48"/>
      <c r="G55" s="66"/>
      <c r="H55" s="66">
        <v>2</v>
      </c>
      <c r="I55" s="49"/>
      <c r="J55" s="30"/>
      <c r="K55" s="30"/>
    </row>
    <row r="56" spans="1:11" ht="12.75" customHeight="1" x14ac:dyDescent="0.2">
      <c r="A56" s="55"/>
      <c r="B56" s="142" t="s">
        <v>528</v>
      </c>
      <c r="C56" s="143" t="s">
        <v>529</v>
      </c>
      <c r="D56" s="57">
        <v>0.33333333333333331</v>
      </c>
      <c r="E56" s="57">
        <v>0.33333333333333331</v>
      </c>
      <c r="F56" s="48"/>
      <c r="G56" s="66"/>
      <c r="H56" s="296">
        <v>1.5</v>
      </c>
      <c r="I56" s="49"/>
      <c r="J56" s="30"/>
      <c r="K56" s="30"/>
    </row>
    <row r="57" spans="1:11" ht="12.75" customHeight="1" x14ac:dyDescent="0.2">
      <c r="A57" s="55"/>
      <c r="B57" s="142" t="s">
        <v>534</v>
      </c>
      <c r="C57" s="142" t="s">
        <v>534</v>
      </c>
      <c r="D57" s="57">
        <v>0.33333333333333331</v>
      </c>
      <c r="E57" s="57">
        <v>0.33333333333333331</v>
      </c>
      <c r="F57" s="48"/>
      <c r="G57" s="66"/>
      <c r="H57" s="66">
        <v>1</v>
      </c>
      <c r="I57" s="49"/>
      <c r="J57" s="30"/>
      <c r="K57" s="30"/>
    </row>
    <row r="58" spans="1:11" ht="12.75" customHeight="1" x14ac:dyDescent="0.2">
      <c r="A58" s="489"/>
      <c r="B58" s="142">
        <v>45449</v>
      </c>
      <c r="C58" s="143">
        <v>45467</v>
      </c>
      <c r="D58" s="57">
        <v>0.33333333333333331</v>
      </c>
      <c r="E58" s="57">
        <v>0.33333333333333331</v>
      </c>
      <c r="F58" s="48"/>
      <c r="G58" s="66"/>
      <c r="H58" s="66">
        <v>11</v>
      </c>
      <c r="I58" s="49"/>
      <c r="J58" s="30"/>
      <c r="K58" s="30"/>
    </row>
    <row r="59" spans="1:11" ht="12.75" customHeight="1" x14ac:dyDescent="0.2">
      <c r="A59" s="489"/>
      <c r="B59" s="142">
        <v>45528</v>
      </c>
      <c r="C59" s="143">
        <v>45646</v>
      </c>
      <c r="D59" s="57">
        <v>0.33333333333333331</v>
      </c>
      <c r="E59" s="57">
        <v>0.33333333333333331</v>
      </c>
      <c r="F59" s="48"/>
      <c r="G59" s="66"/>
      <c r="H59" s="66">
        <v>1</v>
      </c>
      <c r="I59" s="49"/>
      <c r="J59" s="30"/>
      <c r="K59" s="30"/>
    </row>
    <row r="60" spans="1:11" ht="12.75" customHeight="1" x14ac:dyDescent="0.2">
      <c r="A60" s="489"/>
      <c r="B60" s="142">
        <v>45694</v>
      </c>
      <c r="C60" s="143">
        <v>45696</v>
      </c>
      <c r="D60" s="57">
        <v>0.33333333333333331</v>
      </c>
      <c r="E60" s="57">
        <v>0.33333333333333331</v>
      </c>
      <c r="F60" s="48"/>
      <c r="G60" s="66"/>
      <c r="H60" s="66">
        <v>3</v>
      </c>
      <c r="I60" s="49"/>
      <c r="J60" s="30"/>
      <c r="K60" s="30"/>
    </row>
    <row r="61" spans="1:11" ht="12.75" customHeight="1" x14ac:dyDescent="0.2">
      <c r="A61" s="489"/>
      <c r="B61" s="142">
        <v>45882</v>
      </c>
      <c r="C61" s="143">
        <v>45894</v>
      </c>
      <c r="D61" s="144">
        <v>0.33333333333333331</v>
      </c>
      <c r="E61" s="144">
        <v>0.33333333333333331</v>
      </c>
      <c r="F61" s="48"/>
      <c r="G61" s="66"/>
      <c r="H61" s="66">
        <v>10</v>
      </c>
      <c r="I61" s="49"/>
      <c r="J61" s="30"/>
      <c r="K61" s="30"/>
    </row>
    <row r="62" spans="1:11" ht="12.75" customHeight="1" x14ac:dyDescent="0.2">
      <c r="A62" s="489"/>
      <c r="B62" s="142">
        <v>46104</v>
      </c>
      <c r="C62" s="143">
        <v>46105</v>
      </c>
      <c r="D62" s="144"/>
      <c r="E62" s="144"/>
      <c r="F62" s="48"/>
      <c r="G62" s="66"/>
      <c r="H62" s="66">
        <v>1</v>
      </c>
      <c r="I62" s="49"/>
      <c r="J62" s="30"/>
      <c r="K62" s="30"/>
    </row>
    <row r="63" spans="1:11" ht="12.75" customHeight="1" x14ac:dyDescent="0.2">
      <c r="A63" s="489"/>
      <c r="B63" s="142"/>
      <c r="C63" s="143"/>
      <c r="D63" s="144"/>
      <c r="E63" s="144"/>
      <c r="F63" s="48"/>
      <c r="G63" s="66"/>
      <c r="H63" s="66"/>
      <c r="I63" s="49"/>
      <c r="J63" s="30"/>
      <c r="K63" s="30"/>
    </row>
    <row r="64" spans="1:11" ht="12.75" customHeight="1" x14ac:dyDescent="0.2">
      <c r="A64" s="489"/>
      <c r="B64" s="142"/>
      <c r="C64" s="143"/>
      <c r="D64" s="144"/>
      <c r="E64" s="144"/>
      <c r="F64" s="48"/>
      <c r="G64" s="66"/>
      <c r="H64" s="66"/>
      <c r="I64" s="49"/>
      <c r="J64" s="30"/>
      <c r="K64" s="30"/>
    </row>
    <row r="65" spans="1:11" ht="12.75" customHeight="1" x14ac:dyDescent="0.2">
      <c r="A65" s="489"/>
      <c r="B65" s="142"/>
      <c r="C65" s="143"/>
      <c r="D65" s="144"/>
      <c r="E65" s="144"/>
      <c r="F65" s="48"/>
      <c r="G65" s="66"/>
      <c r="H65" s="66"/>
      <c r="I65" s="49"/>
      <c r="J65" s="30"/>
      <c r="K65" s="30"/>
    </row>
    <row r="66" spans="1:11" ht="12.75" customHeight="1" x14ac:dyDescent="0.2">
      <c r="A66" s="489"/>
      <c r="B66" s="142"/>
      <c r="C66" s="143"/>
      <c r="D66" s="144"/>
      <c r="E66" s="144"/>
      <c r="F66" s="48"/>
      <c r="G66" s="66"/>
      <c r="H66" s="66"/>
      <c r="I66" s="49"/>
      <c r="J66" s="30"/>
      <c r="K66" s="30"/>
    </row>
    <row r="67" spans="1:11" ht="12.75" customHeight="1" x14ac:dyDescent="0.2">
      <c r="A67" s="489"/>
      <c r="B67" s="142"/>
      <c r="C67" s="143"/>
      <c r="D67" s="144"/>
      <c r="E67" s="144"/>
      <c r="F67" s="48"/>
      <c r="G67" s="66"/>
      <c r="H67" s="66"/>
      <c r="I67" s="49"/>
      <c r="J67" s="30"/>
      <c r="K67" s="30"/>
    </row>
    <row r="68" spans="1:11" ht="12.75" customHeight="1" x14ac:dyDescent="0.2">
      <c r="A68" s="489"/>
      <c r="B68" s="142"/>
      <c r="C68" s="143"/>
      <c r="D68" s="144"/>
      <c r="E68" s="144"/>
      <c r="F68" s="48"/>
      <c r="G68" s="66"/>
      <c r="H68" s="66"/>
      <c r="I68" s="49"/>
      <c r="J68" s="30"/>
      <c r="K68" s="30"/>
    </row>
    <row r="69" spans="1:11" ht="12.75" customHeight="1" x14ac:dyDescent="0.2">
      <c r="A69" s="489"/>
      <c r="B69" s="142"/>
      <c r="C69" s="143"/>
      <c r="D69" s="144"/>
      <c r="E69" s="144"/>
      <c r="F69" s="48"/>
      <c r="G69" s="66"/>
      <c r="H69" s="66"/>
      <c r="I69" s="49"/>
      <c r="J69" s="30"/>
      <c r="K69" s="30"/>
    </row>
    <row r="70" spans="1:11" ht="12.75" customHeight="1" x14ac:dyDescent="0.2">
      <c r="A70" s="55"/>
      <c r="B70" s="58"/>
      <c r="C70" s="56"/>
      <c r="D70" s="57"/>
      <c r="E70" s="57"/>
      <c r="F70" s="48"/>
      <c r="G70" s="66"/>
      <c r="H70" s="66"/>
      <c r="I70" s="49"/>
      <c r="J70" s="30"/>
      <c r="K70" s="30"/>
    </row>
    <row r="71" spans="1:11" ht="12.75" customHeight="1" x14ac:dyDescent="0.2">
      <c r="A71" s="72"/>
      <c r="B71" s="73"/>
      <c r="C71" s="74"/>
      <c r="D71" s="75"/>
      <c r="E71" s="75"/>
      <c r="F71" s="562" t="s">
        <v>123</v>
      </c>
      <c r="G71" s="77">
        <f>SUM(G8:G70)</f>
        <v>230</v>
      </c>
      <c r="H71" s="77">
        <f>SUM(H8:H70)</f>
        <v>153</v>
      </c>
      <c r="I71" s="61"/>
      <c r="J71" s="30"/>
      <c r="K71" s="30"/>
    </row>
    <row r="72" spans="1:11" x14ac:dyDescent="0.2">
      <c r="A72" s="30"/>
      <c r="B72" s="30"/>
      <c r="C72" s="30"/>
      <c r="D72" s="62"/>
      <c r="E72" s="62"/>
      <c r="F72" s="62"/>
      <c r="G72" s="63"/>
      <c r="H72" s="63"/>
      <c r="I72" s="63"/>
      <c r="J72" s="30"/>
      <c r="K72" s="30"/>
    </row>
    <row r="73" spans="1:11" ht="14.25" x14ac:dyDescent="0.2">
      <c r="A73" s="30"/>
      <c r="B73" s="30"/>
      <c r="C73" s="30"/>
      <c r="D73" s="62"/>
      <c r="E73" s="62"/>
      <c r="F73" s="1153" t="s">
        <v>8</v>
      </c>
      <c r="G73" s="1154"/>
      <c r="H73" s="84">
        <f>G71-H71</f>
        <v>77</v>
      </c>
      <c r="I73" s="63"/>
      <c r="J73" s="30"/>
      <c r="K73" s="30"/>
    </row>
  </sheetData>
  <mergeCells count="4">
    <mergeCell ref="A6:H6"/>
    <mergeCell ref="J6:K7"/>
    <mergeCell ref="F73:G73"/>
    <mergeCell ref="C1:H5"/>
  </mergeCells>
  <hyperlinks>
    <hyperlink ref="J6:K7" location="'ANA SAYFA'!A1" display="AnaSayfa"/>
  </hyperlinks>
  <pageMargins left="0.7" right="0.7" top="0.75" bottom="0.75" header="0.3" footer="0.3"/>
  <pageSetup paperSize="9" scale="66"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5"/>
  <sheetViews>
    <sheetView zoomScaleNormal="100" workbookViewId="0">
      <selection activeCell="J1" sqref="J1:J4"/>
    </sheetView>
  </sheetViews>
  <sheetFormatPr defaultColWidth="9.140625" defaultRowHeight="12" x14ac:dyDescent="0.2"/>
  <cols>
    <col min="1" max="1" width="18.5703125" style="98" bestFit="1" customWidth="1"/>
    <col min="2" max="3" width="26.5703125" style="98" bestFit="1" customWidth="1"/>
    <col min="4" max="5" width="9.5703125" style="98" customWidth="1"/>
    <col min="6" max="6" width="20.140625" style="98" bestFit="1" customWidth="1"/>
    <col min="7" max="7" width="15.28515625" style="98" bestFit="1" customWidth="1"/>
    <col min="8" max="8" width="12.5703125" style="98" bestFit="1" customWidth="1"/>
    <col min="9" max="9" width="4" style="98" customWidth="1"/>
    <col min="10" max="10" width="11.85546875" style="98" customWidth="1"/>
    <col min="11" max="11" width="7.140625" style="98" customWidth="1"/>
    <col min="12" max="16384" width="9.140625" style="98"/>
  </cols>
  <sheetData>
    <row r="1" spans="1:11" ht="12" customHeight="1" x14ac:dyDescent="0.2">
      <c r="A1" s="29" t="s">
        <v>135</v>
      </c>
      <c r="B1" s="149" t="str">
        <f>'ANA SAYFA'!B5</f>
        <v>BAYRAM CAN YILMAZ</v>
      </c>
      <c r="C1" s="1156" t="s">
        <v>136</v>
      </c>
      <c r="D1" s="1156"/>
      <c r="E1" s="1156"/>
      <c r="F1" s="1156"/>
      <c r="G1" s="1156"/>
      <c r="H1" s="1156"/>
      <c r="I1" s="28"/>
      <c r="J1" s="1157" t="s">
        <v>712</v>
      </c>
      <c r="K1" s="30"/>
    </row>
    <row r="2" spans="1:11" ht="12" customHeight="1" x14ac:dyDescent="0.2">
      <c r="A2" s="29" t="s">
        <v>137</v>
      </c>
      <c r="B2" s="150">
        <f>'ANA SAYFA'!D5</f>
        <v>31268318552</v>
      </c>
      <c r="C2" s="1156"/>
      <c r="D2" s="1156"/>
      <c r="E2" s="1156"/>
      <c r="F2" s="1156"/>
      <c r="G2" s="1156"/>
      <c r="H2" s="1156"/>
      <c r="I2" s="28"/>
      <c r="J2" s="1158"/>
      <c r="K2" s="30"/>
    </row>
    <row r="3" spans="1:11" ht="12" customHeight="1" x14ac:dyDescent="0.2">
      <c r="A3" s="29" t="s">
        <v>131</v>
      </c>
      <c r="B3" s="149" t="str">
        <f>'ANA SAYFA'!C5</f>
        <v>TIR-ÇEKİCİ ŞOFÖRÜ</v>
      </c>
      <c r="C3" s="1156"/>
      <c r="D3" s="1156"/>
      <c r="E3" s="1156"/>
      <c r="F3" s="1156"/>
      <c r="G3" s="1156"/>
      <c r="H3" s="1156"/>
      <c r="I3" s="28"/>
      <c r="J3" s="1158"/>
      <c r="K3" s="30"/>
    </row>
    <row r="4" spans="1:11" ht="12.75" thickBot="1" x14ac:dyDescent="0.25">
      <c r="A4" s="29" t="s">
        <v>120</v>
      </c>
      <c r="B4" s="31">
        <f>'ANA SAYFA'!E5</f>
        <v>46078</v>
      </c>
      <c r="C4" s="1156"/>
      <c r="D4" s="1156"/>
      <c r="E4" s="1156"/>
      <c r="F4" s="1156"/>
      <c r="G4" s="1156"/>
      <c r="H4" s="1156"/>
      <c r="I4" s="28"/>
      <c r="J4" s="1159"/>
      <c r="K4" s="30"/>
    </row>
    <row r="5" spans="1:11" x14ac:dyDescent="0.2">
      <c r="A5" s="29" t="s">
        <v>130</v>
      </c>
      <c r="B5" s="31">
        <f>'ANA SAYFA'!F5</f>
        <v>36392</v>
      </c>
      <c r="C5" s="1156"/>
      <c r="D5" s="1156"/>
      <c r="E5" s="1156"/>
      <c r="F5" s="1156"/>
      <c r="G5" s="1156"/>
      <c r="H5" s="1156"/>
      <c r="I5" s="28"/>
    </row>
    <row r="6" spans="1:11" ht="33.75" x14ac:dyDescent="0.2">
      <c r="A6" s="99" t="s">
        <v>0</v>
      </c>
      <c r="B6" s="100" t="s">
        <v>1</v>
      </c>
      <c r="C6" s="99" t="s">
        <v>2</v>
      </c>
      <c r="D6" s="101" t="s">
        <v>133</v>
      </c>
      <c r="E6" s="101" t="s">
        <v>4</v>
      </c>
      <c r="F6" s="101" t="s">
        <v>7</v>
      </c>
      <c r="G6" s="101" t="s">
        <v>6</v>
      </c>
      <c r="H6" s="71" t="s">
        <v>16</v>
      </c>
      <c r="I6" s="34"/>
    </row>
    <row r="7" spans="1:11" ht="14.25" customHeight="1" x14ac:dyDescent="0.2">
      <c r="A7" s="35"/>
      <c r="B7" s="52">
        <v>46099</v>
      </c>
      <c r="C7" s="52">
        <v>46100</v>
      </c>
      <c r="D7" s="38"/>
      <c r="E7" s="38"/>
      <c r="F7" s="39"/>
      <c r="G7" s="106"/>
      <c r="H7" s="105">
        <v>1</v>
      </c>
      <c r="I7" s="40"/>
      <c r="J7" s="41"/>
      <c r="K7" s="41"/>
    </row>
    <row r="8" spans="1:11" ht="14.25" customHeight="1" x14ac:dyDescent="0.2">
      <c r="A8" s="42"/>
      <c r="B8" s="52"/>
      <c r="C8" s="53"/>
      <c r="D8" s="38"/>
      <c r="E8" s="38"/>
      <c r="F8" s="39"/>
      <c r="G8" s="106"/>
      <c r="H8" s="105"/>
      <c r="I8" s="40"/>
      <c r="J8" s="30"/>
      <c r="K8" s="30"/>
    </row>
    <row r="9" spans="1:11" ht="14.25" customHeight="1" x14ac:dyDescent="0.2">
      <c r="A9" s="51"/>
      <c r="B9" s="52"/>
      <c r="C9" s="53"/>
      <c r="D9" s="38"/>
      <c r="E9" s="38"/>
      <c r="F9" s="48"/>
      <c r="G9" s="66"/>
      <c r="H9" s="105"/>
      <c r="I9" s="46"/>
      <c r="J9" s="30"/>
      <c r="K9" s="30"/>
    </row>
    <row r="10" spans="1:11" ht="14.25" customHeight="1" x14ac:dyDescent="0.2">
      <c r="A10" s="51"/>
      <c r="B10" s="36"/>
      <c r="C10" s="37"/>
      <c r="D10" s="38"/>
      <c r="E10" s="38"/>
      <c r="F10" s="48"/>
      <c r="G10" s="691"/>
      <c r="H10" s="691"/>
      <c r="I10" s="49"/>
      <c r="J10" s="30"/>
      <c r="K10" s="30"/>
    </row>
    <row r="11" spans="1:11" ht="14.25" customHeight="1" x14ac:dyDescent="0.2">
      <c r="A11" s="51"/>
      <c r="B11" s="36"/>
      <c r="C11" s="37"/>
      <c r="D11" s="676"/>
      <c r="E11" s="676"/>
      <c r="F11" s="48"/>
      <c r="G11" s="703"/>
      <c r="H11" s="105"/>
      <c r="I11" s="49"/>
      <c r="J11" s="30"/>
      <c r="K11" s="30"/>
    </row>
    <row r="12" spans="1:11" ht="14.25" customHeight="1" x14ac:dyDescent="0.2">
      <c r="A12" s="51"/>
      <c r="B12" s="52"/>
      <c r="C12" s="53"/>
      <c r="D12" s="54"/>
      <c r="E12" s="54"/>
      <c r="F12" s="48"/>
      <c r="G12" s="66"/>
      <c r="H12" s="66"/>
      <c r="I12" s="49"/>
      <c r="J12" s="30"/>
      <c r="K12" s="30"/>
    </row>
    <row r="13" spans="1:11" ht="14.25" customHeight="1" x14ac:dyDescent="0.2">
      <c r="A13" s="51"/>
      <c r="B13" s="52"/>
      <c r="C13" s="53"/>
      <c r="D13" s="54"/>
      <c r="E13" s="54"/>
      <c r="F13" s="48"/>
      <c r="G13" s="66"/>
      <c r="H13" s="66"/>
      <c r="I13" s="49"/>
      <c r="J13" s="30"/>
      <c r="K13" s="30"/>
    </row>
    <row r="14" spans="1:11" ht="14.25" customHeight="1" x14ac:dyDescent="0.2">
      <c r="A14" s="51"/>
      <c r="B14" s="52"/>
      <c r="C14" s="53"/>
      <c r="D14" s="54"/>
      <c r="E14" s="54"/>
      <c r="F14" s="48"/>
      <c r="G14" s="66"/>
      <c r="H14" s="66"/>
      <c r="I14" s="49"/>
      <c r="J14" s="30"/>
      <c r="K14" s="30"/>
    </row>
    <row r="15" spans="1:11" ht="14.25" customHeight="1" x14ac:dyDescent="0.2">
      <c r="A15" s="51"/>
      <c r="B15" s="52"/>
      <c r="C15" s="53"/>
      <c r="D15" s="54"/>
      <c r="E15" s="54"/>
      <c r="F15" s="48"/>
      <c r="G15" s="106"/>
      <c r="H15" s="66"/>
      <c r="I15" s="49"/>
      <c r="J15" s="30"/>
      <c r="K15" s="30"/>
    </row>
    <row r="16" spans="1:11" ht="14.25" customHeight="1" x14ac:dyDescent="0.2">
      <c r="A16" s="51"/>
      <c r="B16" s="52"/>
      <c r="C16" s="53"/>
      <c r="D16" s="54"/>
      <c r="E16" s="54"/>
      <c r="F16" s="48"/>
      <c r="G16" s="106"/>
      <c r="H16" s="66"/>
      <c r="I16" s="49"/>
      <c r="J16" s="30"/>
      <c r="K16" s="30"/>
    </row>
    <row r="17" spans="1:11" ht="14.25" customHeight="1" x14ac:dyDescent="0.2">
      <c r="A17" s="51"/>
      <c r="B17" s="52"/>
      <c r="C17" s="53"/>
      <c r="D17" s="54"/>
      <c r="E17" s="54"/>
      <c r="F17" s="48"/>
      <c r="G17" s="66"/>
      <c r="H17" s="66"/>
      <c r="I17" s="49"/>
      <c r="J17" s="30"/>
      <c r="K17" s="30"/>
    </row>
    <row r="18" spans="1:11" ht="14.25" customHeight="1" x14ac:dyDescent="0.2">
      <c r="A18" s="55"/>
      <c r="B18" s="52"/>
      <c r="C18" s="56"/>
      <c r="D18" s="57"/>
      <c r="E18" s="57"/>
      <c r="F18" s="48"/>
      <c r="G18" s="66"/>
      <c r="H18" s="66"/>
      <c r="I18" s="49"/>
      <c r="J18" s="30"/>
      <c r="K18" s="30"/>
    </row>
    <row r="19" spans="1:11" ht="14.25" customHeight="1" x14ac:dyDescent="0.2">
      <c r="A19" s="55"/>
      <c r="B19" s="52"/>
      <c r="C19" s="56"/>
      <c r="D19" s="57"/>
      <c r="E19" s="57"/>
      <c r="F19" s="48"/>
      <c r="G19" s="106"/>
      <c r="H19" s="66"/>
      <c r="I19" s="49"/>
      <c r="J19" s="30"/>
      <c r="K19" s="30"/>
    </row>
    <row r="20" spans="1:11" ht="14.25" customHeight="1" x14ac:dyDescent="0.2">
      <c r="A20" s="47"/>
      <c r="B20" s="58"/>
      <c r="C20" s="56"/>
      <c r="D20" s="57"/>
      <c r="E20" s="57"/>
      <c r="F20" s="59"/>
      <c r="G20" s="106"/>
      <c r="H20" s="66"/>
      <c r="I20" s="49"/>
      <c r="J20" s="30"/>
      <c r="K20" s="30"/>
    </row>
    <row r="21" spans="1:11" ht="14.25" customHeight="1" x14ac:dyDescent="0.2">
      <c r="A21" s="55"/>
      <c r="B21" s="58"/>
      <c r="C21" s="56"/>
      <c r="D21" s="57"/>
      <c r="E21" s="57"/>
      <c r="F21" s="48"/>
      <c r="G21" s="66"/>
      <c r="H21" s="66"/>
      <c r="I21" s="49"/>
      <c r="J21" s="30"/>
      <c r="K21" s="30"/>
    </row>
    <row r="22" spans="1:11" ht="14.25" customHeight="1" x14ac:dyDescent="0.2">
      <c r="A22" s="55"/>
      <c r="B22" s="58"/>
      <c r="C22" s="56"/>
      <c r="D22" s="57"/>
      <c r="E22" s="57"/>
      <c r="F22" s="48"/>
      <c r="G22" s="66"/>
      <c r="H22" s="66"/>
      <c r="I22" s="49"/>
      <c r="J22" s="30"/>
      <c r="K22" s="30"/>
    </row>
    <row r="23" spans="1:11" ht="14.25" customHeight="1" x14ac:dyDescent="0.2">
      <c r="A23" s="55"/>
      <c r="B23" s="58"/>
      <c r="C23" s="56"/>
      <c r="D23" s="57"/>
      <c r="E23" s="57"/>
      <c r="F23" s="48"/>
      <c r="G23" s="66"/>
      <c r="H23" s="66"/>
      <c r="I23" s="49"/>
      <c r="J23" s="30"/>
      <c r="K23" s="30"/>
    </row>
    <row r="24" spans="1:11" ht="14.25" customHeight="1" x14ac:dyDescent="0.2">
      <c r="A24" s="55"/>
      <c r="B24" s="58"/>
      <c r="C24" s="56"/>
      <c r="D24" s="57"/>
      <c r="E24" s="57"/>
      <c r="F24" s="48"/>
      <c r="G24" s="66"/>
      <c r="H24" s="67"/>
      <c r="I24" s="60"/>
      <c r="J24" s="30"/>
      <c r="K24" s="30"/>
    </row>
    <row r="25" spans="1:11" ht="14.25" customHeight="1" x14ac:dyDescent="0.2">
      <c r="A25" s="55"/>
      <c r="B25" s="58"/>
      <c r="C25" s="56"/>
      <c r="D25" s="57"/>
      <c r="E25" s="57"/>
      <c r="F25" s="48"/>
      <c r="G25" s="66"/>
      <c r="H25" s="66"/>
      <c r="I25" s="49"/>
      <c r="J25" s="30"/>
      <c r="K25" s="30"/>
    </row>
    <row r="26" spans="1:11" ht="14.25" customHeight="1" x14ac:dyDescent="0.2">
      <c r="A26" s="55"/>
      <c r="B26" s="58"/>
      <c r="C26" s="56"/>
      <c r="D26" s="57"/>
      <c r="E26" s="57"/>
      <c r="F26" s="48"/>
      <c r="G26" s="66"/>
      <c r="H26" s="66"/>
      <c r="I26" s="49"/>
      <c r="J26" s="30"/>
      <c r="K26" s="30"/>
    </row>
    <row r="27" spans="1:11" ht="14.25" customHeight="1" x14ac:dyDescent="0.2">
      <c r="A27" s="55"/>
      <c r="B27" s="58"/>
      <c r="C27" s="56"/>
      <c r="D27" s="57"/>
      <c r="E27" s="57"/>
      <c r="F27" s="48"/>
      <c r="G27" s="66"/>
      <c r="H27" s="66"/>
      <c r="I27" s="49"/>
      <c r="J27" s="30"/>
      <c r="K27" s="30"/>
    </row>
    <row r="28" spans="1:11" ht="14.25" customHeight="1" x14ac:dyDescent="0.2">
      <c r="A28" s="55"/>
      <c r="B28" s="58"/>
      <c r="C28" s="56"/>
      <c r="D28" s="57"/>
      <c r="E28" s="57"/>
      <c r="F28" s="48"/>
      <c r="G28" s="66"/>
      <c r="H28" s="66"/>
      <c r="I28" s="49"/>
      <c r="J28" s="30"/>
      <c r="K28" s="30"/>
    </row>
    <row r="29" spans="1:11" ht="14.25" customHeight="1" x14ac:dyDescent="0.2">
      <c r="A29" s="55"/>
      <c r="B29" s="58"/>
      <c r="C29" s="56"/>
      <c r="D29" s="57"/>
      <c r="E29" s="57"/>
      <c r="F29" s="48"/>
      <c r="G29" s="66"/>
      <c r="H29" s="66"/>
      <c r="I29" s="49"/>
      <c r="J29" s="30"/>
      <c r="K29" s="30"/>
    </row>
    <row r="30" spans="1:11" ht="14.25" customHeight="1" x14ac:dyDescent="0.2">
      <c r="A30" s="55"/>
      <c r="B30" s="58"/>
      <c r="C30" s="56"/>
      <c r="D30" s="57"/>
      <c r="E30" s="57"/>
      <c r="F30" s="48"/>
      <c r="G30" s="66"/>
      <c r="H30" s="66"/>
      <c r="I30" s="49"/>
      <c r="J30" s="30"/>
      <c r="K30" s="30"/>
    </row>
    <row r="31" spans="1:11" ht="14.25" customHeight="1" x14ac:dyDescent="0.2">
      <c r="A31" s="55"/>
      <c r="B31" s="58"/>
      <c r="C31" s="56"/>
      <c r="D31" s="57"/>
      <c r="E31" s="57"/>
      <c r="F31" s="48"/>
      <c r="G31" s="66"/>
      <c r="H31" s="66"/>
      <c r="I31" s="49"/>
      <c r="J31" s="30"/>
      <c r="K31" s="30"/>
    </row>
    <row r="32" spans="1:11" ht="14.25" customHeight="1" x14ac:dyDescent="0.2">
      <c r="A32" s="55"/>
      <c r="B32" s="58"/>
      <c r="C32" s="56"/>
      <c r="D32" s="57"/>
      <c r="E32" s="57"/>
      <c r="F32" s="48"/>
      <c r="G32" s="66"/>
      <c r="H32" s="66"/>
      <c r="I32" s="49"/>
      <c r="J32" s="30"/>
      <c r="K32" s="30"/>
    </row>
    <row r="33" spans="1:11" ht="14.25" customHeight="1" x14ac:dyDescent="0.2">
      <c r="A33" s="72"/>
      <c r="B33" s="73"/>
      <c r="C33" s="74"/>
      <c r="D33" s="75"/>
      <c r="E33" s="75"/>
      <c r="F33" s="102" t="s">
        <v>123</v>
      </c>
      <c r="G33" s="102">
        <f>SUM(G7:G32)</f>
        <v>0</v>
      </c>
      <c r="H33" s="80">
        <f>SUM(H7:H32)</f>
        <v>1</v>
      </c>
      <c r="I33" s="49"/>
      <c r="J33" s="30"/>
      <c r="K33" s="30"/>
    </row>
    <row r="34" spans="1:11" ht="14.25" customHeight="1" x14ac:dyDescent="0.2">
      <c r="A34" s="30"/>
      <c r="B34" s="30"/>
      <c r="C34" s="30"/>
      <c r="D34" s="62"/>
      <c r="E34" s="62"/>
      <c r="F34" s="628"/>
      <c r="G34" s="629"/>
      <c r="H34" s="630"/>
      <c r="I34" s="49"/>
      <c r="J34" s="30"/>
      <c r="K34" s="30"/>
    </row>
    <row r="35" spans="1:11" ht="14.25" customHeight="1" x14ac:dyDescent="0.2">
      <c r="A35" s="30"/>
      <c r="B35" s="30"/>
      <c r="C35" s="30"/>
      <c r="D35" s="62"/>
      <c r="E35" s="62"/>
      <c r="F35" s="1155" t="s">
        <v>8</v>
      </c>
      <c r="G35" s="1155"/>
      <c r="H35" s="80">
        <f>G33-H33</f>
        <v>-1</v>
      </c>
      <c r="I35" s="49"/>
      <c r="J35" s="30"/>
      <c r="K35" s="30"/>
    </row>
  </sheetData>
  <sortState ref="B7:J13">
    <sortCondition ref="B7"/>
  </sortState>
  <mergeCells count="3">
    <mergeCell ref="F35:G35"/>
    <mergeCell ref="C1:H5"/>
    <mergeCell ref="J1:J4"/>
  </mergeCells>
  <hyperlinks>
    <hyperlink ref="J1:J3" location="'ANA SAYFA'!A1" display="ANA SAYFA"/>
  </hyperlinks>
  <pageMargins left="0.91" right="0.12" top="0.31" bottom="0.75" header="0.3" footer="0.3"/>
  <pageSetup paperSize="9" scale="67"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
  <sheetViews>
    <sheetView workbookViewId="0">
      <pane ySplit="7" topLeftCell="A8" activePane="bottomLeft" state="frozen"/>
      <selection pane="bottomLeft" activeCell="J6" sqref="J6:K7"/>
    </sheetView>
  </sheetViews>
  <sheetFormatPr defaultRowHeight="12.75" x14ac:dyDescent="0.2"/>
  <cols>
    <col min="1" max="1" width="18.28515625" customWidth="1"/>
    <col min="2" max="2" width="26.5703125" bestFit="1" customWidth="1"/>
    <col min="3" max="3" width="26.140625" bestFit="1" customWidth="1"/>
    <col min="4" max="5" width="8.85546875" customWidth="1"/>
    <col min="6" max="6" width="24.140625" customWidth="1"/>
    <col min="7" max="7" width="14.42578125" customWidth="1"/>
    <col min="8" max="8" width="12.28515625" customWidth="1"/>
  </cols>
  <sheetData>
    <row r="1" spans="1:11" x14ac:dyDescent="0.2">
      <c r="A1" s="29" t="s">
        <v>135</v>
      </c>
      <c r="B1" s="149" t="str">
        <f>'ANA SAYFA'!B6</f>
        <v>AVNİ ÖZGÜR</v>
      </c>
      <c r="C1" s="1156" t="s">
        <v>136</v>
      </c>
      <c r="D1" s="1156"/>
      <c r="E1" s="1156"/>
      <c r="F1" s="1156"/>
      <c r="G1" s="1156"/>
      <c r="H1" s="1156"/>
      <c r="I1" s="28"/>
      <c r="J1" s="30"/>
      <c r="K1" s="30"/>
    </row>
    <row r="2" spans="1:11" x14ac:dyDescent="0.2">
      <c r="A2" s="29" t="s">
        <v>137</v>
      </c>
      <c r="B2" s="150">
        <f>'ANA SAYFA'!D6</f>
        <v>23270269090</v>
      </c>
      <c r="C2" s="1156"/>
      <c r="D2" s="1156"/>
      <c r="E2" s="1156"/>
      <c r="F2" s="1156"/>
      <c r="G2" s="1156"/>
      <c r="H2" s="1156"/>
      <c r="I2" s="28"/>
      <c r="J2" s="30"/>
      <c r="K2" s="30"/>
    </row>
    <row r="3" spans="1:11" x14ac:dyDescent="0.2">
      <c r="A3" s="29" t="s">
        <v>131</v>
      </c>
      <c r="B3" s="31" t="str">
        <f>'ANA SAYFA'!C6</f>
        <v>TIR-ÇEKİCİ ŞOFÖRÜ</v>
      </c>
      <c r="C3" s="1156"/>
      <c r="D3" s="1156"/>
      <c r="E3" s="1156"/>
      <c r="F3" s="1156"/>
      <c r="G3" s="1156"/>
      <c r="H3" s="1156"/>
      <c r="I3" s="28"/>
      <c r="J3" s="30"/>
      <c r="K3" s="30"/>
    </row>
    <row r="4" spans="1:11" x14ac:dyDescent="0.2">
      <c r="A4" s="29" t="s">
        <v>120</v>
      </c>
      <c r="B4" s="31">
        <f>'ANA SAYFA'!E6</f>
        <v>44355</v>
      </c>
      <c r="C4" s="1156"/>
      <c r="D4" s="1156"/>
      <c r="E4" s="1156"/>
      <c r="F4" s="1156"/>
      <c r="G4" s="1156"/>
      <c r="H4" s="1156"/>
      <c r="I4" s="28"/>
      <c r="J4" s="30"/>
      <c r="K4" s="30"/>
    </row>
    <row r="5" spans="1:11" ht="13.5" thickBot="1" x14ac:dyDescent="0.25">
      <c r="A5" s="29" t="s">
        <v>130</v>
      </c>
      <c r="B5" s="31">
        <f>'ANA SAYFA'!F6</f>
        <v>24001</v>
      </c>
      <c r="C5" s="1156"/>
      <c r="D5" s="1156"/>
      <c r="E5" s="1156"/>
      <c r="F5" s="1156"/>
      <c r="G5" s="1156"/>
      <c r="H5" s="1156"/>
      <c r="I5" s="28"/>
      <c r="J5" s="30"/>
      <c r="K5" s="30"/>
    </row>
    <row r="6" spans="1:11" ht="13.5" thickTop="1" x14ac:dyDescent="0.2">
      <c r="A6" s="1141" t="s">
        <v>136</v>
      </c>
      <c r="B6" s="1141"/>
      <c r="C6" s="1141"/>
      <c r="D6" s="1141"/>
      <c r="E6" s="1141"/>
      <c r="F6" s="1141"/>
      <c r="G6" s="1141"/>
      <c r="H6" s="1141"/>
      <c r="I6" s="32"/>
      <c r="J6" s="1160" t="s">
        <v>5</v>
      </c>
      <c r="K6" s="1161"/>
    </row>
    <row r="7" spans="1:11" ht="32.25" thickBot="1" x14ac:dyDescent="0.25">
      <c r="A7" s="69" t="s">
        <v>0</v>
      </c>
      <c r="B7" s="70" t="s">
        <v>1</v>
      </c>
      <c r="C7" s="69" t="s">
        <v>2</v>
      </c>
      <c r="D7" s="71" t="s">
        <v>133</v>
      </c>
      <c r="E7" s="71" t="s">
        <v>4</v>
      </c>
      <c r="F7" s="71" t="s">
        <v>7</v>
      </c>
      <c r="G7" s="71" t="s">
        <v>6</v>
      </c>
      <c r="H7" s="71" t="s">
        <v>16</v>
      </c>
      <c r="I7" s="34"/>
      <c r="J7" s="1162"/>
      <c r="K7" s="1163"/>
    </row>
    <row r="8" spans="1:11" ht="12.75" customHeight="1" thickTop="1" x14ac:dyDescent="0.2">
      <c r="A8" s="35"/>
      <c r="B8" s="52">
        <v>44526</v>
      </c>
      <c r="C8" s="53">
        <v>44527</v>
      </c>
      <c r="D8" s="38">
        <v>0.33333333333333331</v>
      </c>
      <c r="E8" s="38">
        <v>0.33333333333333331</v>
      </c>
      <c r="F8" s="677" t="s">
        <v>336</v>
      </c>
      <c r="G8" s="944">
        <v>20</v>
      </c>
      <c r="H8" s="558">
        <v>1</v>
      </c>
      <c r="I8" s="40"/>
      <c r="J8" s="41"/>
      <c r="K8" s="41"/>
    </row>
    <row r="9" spans="1:11" ht="13.9" customHeight="1" x14ac:dyDescent="0.2">
      <c r="A9" s="42"/>
      <c r="B9" s="52">
        <v>45052</v>
      </c>
      <c r="C9" s="53">
        <v>45054</v>
      </c>
      <c r="D9" s="38">
        <v>0.33333333333333331</v>
      </c>
      <c r="E9" s="38">
        <v>0.33333333333333331</v>
      </c>
      <c r="F9" s="677" t="s">
        <v>709</v>
      </c>
      <c r="G9" s="944">
        <v>20</v>
      </c>
      <c r="H9" s="558">
        <v>1</v>
      </c>
      <c r="I9" s="40"/>
      <c r="J9" s="30"/>
      <c r="K9" s="30"/>
    </row>
    <row r="10" spans="1:11" ht="13.9" customHeight="1" x14ac:dyDescent="0.2">
      <c r="A10" s="42"/>
      <c r="B10" s="52">
        <v>45157</v>
      </c>
      <c r="C10" s="53">
        <v>45159</v>
      </c>
      <c r="D10" s="38">
        <v>0.33333333333333331</v>
      </c>
      <c r="E10" s="38">
        <v>0.33333333333333331</v>
      </c>
      <c r="F10" s="677" t="s">
        <v>710</v>
      </c>
      <c r="G10" s="944">
        <v>20</v>
      </c>
      <c r="H10" s="558">
        <v>1</v>
      </c>
      <c r="I10" s="40"/>
      <c r="J10" s="30"/>
      <c r="K10" s="30"/>
    </row>
    <row r="11" spans="1:11" x14ac:dyDescent="0.2">
      <c r="A11" s="47"/>
      <c r="B11" s="52">
        <v>45248</v>
      </c>
      <c r="C11" s="53">
        <v>45250</v>
      </c>
      <c r="D11" s="38">
        <v>0.33333333333333331</v>
      </c>
      <c r="E11" s="38">
        <v>0.33333333333333331</v>
      </c>
      <c r="F11" s="677" t="s">
        <v>840</v>
      </c>
      <c r="G11" s="944">
        <v>20</v>
      </c>
      <c r="H11" s="558">
        <v>1</v>
      </c>
      <c r="I11" s="49"/>
      <c r="J11" s="30"/>
      <c r="K11" s="30"/>
    </row>
    <row r="12" spans="1:11" x14ac:dyDescent="0.2">
      <c r="A12" s="51"/>
      <c r="B12" s="52">
        <v>45356</v>
      </c>
      <c r="C12" s="53">
        <v>45369</v>
      </c>
      <c r="D12" s="38">
        <v>0.33333333333333331</v>
      </c>
      <c r="E12" s="38">
        <v>0.33333333333333331</v>
      </c>
      <c r="F12" s="691" t="s">
        <v>1035</v>
      </c>
      <c r="G12" s="944">
        <v>20</v>
      </c>
      <c r="H12" s="66">
        <v>11</v>
      </c>
      <c r="I12" s="49"/>
      <c r="J12" s="30"/>
      <c r="K12" s="30"/>
    </row>
    <row r="13" spans="1:11" x14ac:dyDescent="0.2">
      <c r="A13" s="51"/>
      <c r="B13" s="36" t="s">
        <v>533</v>
      </c>
      <c r="C13" s="44">
        <v>45456</v>
      </c>
      <c r="D13" s="38">
        <v>0.33333333333333331</v>
      </c>
      <c r="E13" s="38">
        <v>0.33333333333333331</v>
      </c>
      <c r="F13" s="691"/>
      <c r="G13" s="944"/>
      <c r="H13" s="66">
        <v>15</v>
      </c>
      <c r="I13" s="49"/>
      <c r="J13" s="30"/>
      <c r="K13" s="30"/>
    </row>
    <row r="14" spans="1:11" x14ac:dyDescent="0.2">
      <c r="A14" s="51"/>
      <c r="B14" s="36">
        <v>45535</v>
      </c>
      <c r="C14" s="510">
        <v>45535</v>
      </c>
      <c r="D14" s="38">
        <v>0.33333333333333331</v>
      </c>
      <c r="E14" s="38">
        <v>0.33333333333333331</v>
      </c>
      <c r="F14" s="691"/>
      <c r="G14" s="944"/>
      <c r="H14" s="66">
        <v>1</v>
      </c>
      <c r="I14" s="49"/>
      <c r="J14" s="30"/>
      <c r="K14" s="30"/>
    </row>
    <row r="15" spans="1:11" x14ac:dyDescent="0.2">
      <c r="A15" s="51"/>
      <c r="B15" s="36">
        <v>45677</v>
      </c>
      <c r="C15" s="37">
        <v>45677</v>
      </c>
      <c r="D15" s="38">
        <v>0.33333333333333331</v>
      </c>
      <c r="E15" s="38">
        <v>0.33333333333333331</v>
      </c>
      <c r="F15" s="691"/>
      <c r="G15" s="502"/>
      <c r="H15" s="66">
        <v>1</v>
      </c>
      <c r="I15" s="49"/>
      <c r="J15" s="30"/>
      <c r="K15" s="30"/>
    </row>
    <row r="16" spans="1:11" x14ac:dyDescent="0.2">
      <c r="A16" s="51"/>
      <c r="B16" s="36">
        <v>45790</v>
      </c>
      <c r="C16" s="37">
        <v>45791</v>
      </c>
      <c r="D16" s="38">
        <v>0.33333333333333331</v>
      </c>
      <c r="E16" s="38">
        <v>0.33333333333333331</v>
      </c>
      <c r="F16" s="691"/>
      <c r="G16" s="66"/>
      <c r="H16" s="66">
        <v>2</v>
      </c>
      <c r="I16" s="49"/>
      <c r="J16" s="30"/>
      <c r="K16" s="30"/>
    </row>
    <row r="17" spans="1:11" x14ac:dyDescent="0.2">
      <c r="A17" s="51"/>
      <c r="B17" s="52">
        <v>45878</v>
      </c>
      <c r="C17" s="53">
        <v>45880</v>
      </c>
      <c r="D17" s="676">
        <v>0.33333333333333331</v>
      </c>
      <c r="E17" s="676">
        <v>0.33333333333333331</v>
      </c>
      <c r="F17" s="48"/>
      <c r="G17" s="66"/>
      <c r="H17" s="80">
        <v>0.5</v>
      </c>
      <c r="I17" s="49"/>
      <c r="J17" s="30"/>
      <c r="K17" s="30"/>
    </row>
    <row r="18" spans="1:11" x14ac:dyDescent="0.2">
      <c r="A18" s="51"/>
      <c r="B18" s="52">
        <v>45887</v>
      </c>
      <c r="C18" s="53">
        <v>45894</v>
      </c>
      <c r="D18" s="54">
        <v>0.33333333333333331</v>
      </c>
      <c r="E18" s="54">
        <v>0.33333333333333331</v>
      </c>
      <c r="F18" s="48"/>
      <c r="G18" s="66"/>
      <c r="H18" s="691">
        <v>6</v>
      </c>
      <c r="I18" s="49"/>
      <c r="J18" s="30"/>
      <c r="K18" s="30"/>
    </row>
    <row r="19" spans="1:11" x14ac:dyDescent="0.2">
      <c r="A19" s="51"/>
      <c r="B19" s="52">
        <v>45908</v>
      </c>
      <c r="C19" s="53">
        <v>45922</v>
      </c>
      <c r="D19" s="54">
        <v>0.33333333333333331</v>
      </c>
      <c r="E19" s="54">
        <v>0.33333333333333331</v>
      </c>
      <c r="F19" s="48"/>
      <c r="G19" s="66"/>
      <c r="H19" s="691">
        <v>12</v>
      </c>
      <c r="I19" s="49"/>
      <c r="J19" s="30"/>
      <c r="K19" s="30"/>
    </row>
    <row r="20" spans="1:11" x14ac:dyDescent="0.2">
      <c r="A20" s="51"/>
      <c r="B20" s="52">
        <v>45964</v>
      </c>
      <c r="C20" s="53">
        <v>45976</v>
      </c>
      <c r="D20" s="54">
        <v>0.54166666666666663</v>
      </c>
      <c r="E20" s="54">
        <v>0.33333333333333331</v>
      </c>
      <c r="F20" s="48"/>
      <c r="G20" s="45"/>
      <c r="H20" s="691">
        <v>11.5</v>
      </c>
      <c r="I20" s="49"/>
      <c r="J20" s="30"/>
      <c r="K20" s="30"/>
    </row>
    <row r="21" spans="1:11" x14ac:dyDescent="0.2">
      <c r="A21" s="51"/>
      <c r="B21" s="52">
        <v>46191</v>
      </c>
      <c r="C21" s="53">
        <v>46192</v>
      </c>
      <c r="D21" s="54"/>
      <c r="E21" s="54"/>
      <c r="F21" s="48"/>
      <c r="G21" s="45"/>
      <c r="H21" s="691">
        <v>1</v>
      </c>
      <c r="I21" s="49"/>
      <c r="J21" s="30"/>
      <c r="K21" s="30"/>
    </row>
    <row r="22" spans="1:11" x14ac:dyDescent="0.2">
      <c r="A22" s="51"/>
      <c r="B22" s="52">
        <v>46195</v>
      </c>
      <c r="C22" s="53">
        <v>46197</v>
      </c>
      <c r="D22" s="54"/>
      <c r="E22" s="54"/>
      <c r="F22" s="48"/>
      <c r="G22" s="66"/>
      <c r="H22" s="691">
        <v>2</v>
      </c>
      <c r="I22" s="49"/>
      <c r="J22" s="30"/>
      <c r="K22" s="30"/>
    </row>
    <row r="23" spans="1:11" x14ac:dyDescent="0.2">
      <c r="A23" s="55"/>
      <c r="B23" s="52">
        <v>46202</v>
      </c>
      <c r="C23" s="56">
        <v>46203</v>
      </c>
      <c r="D23" s="57"/>
      <c r="E23" s="57"/>
      <c r="F23" s="48"/>
      <c r="G23" s="66"/>
      <c r="H23" s="691">
        <v>1</v>
      </c>
      <c r="I23" s="49"/>
      <c r="J23" s="30"/>
      <c r="K23" s="30"/>
    </row>
    <row r="24" spans="1:11" x14ac:dyDescent="0.2">
      <c r="A24" s="55"/>
      <c r="B24" s="52"/>
      <c r="C24" s="56"/>
      <c r="D24" s="57"/>
      <c r="E24" s="57"/>
      <c r="F24" s="48"/>
      <c r="G24" s="45"/>
      <c r="H24" s="691"/>
      <c r="I24" s="49"/>
      <c r="J24" s="30"/>
      <c r="K24" s="30"/>
    </row>
    <row r="25" spans="1:11" x14ac:dyDescent="0.2">
      <c r="A25" s="47"/>
      <c r="B25" s="58"/>
      <c r="C25" s="56"/>
      <c r="D25" s="57"/>
      <c r="E25" s="57"/>
      <c r="F25" s="59"/>
      <c r="G25" s="45"/>
      <c r="H25" s="691"/>
      <c r="I25" s="60"/>
      <c r="J25" s="30"/>
      <c r="K25" s="30"/>
    </row>
    <row r="26" spans="1:11" x14ac:dyDescent="0.2">
      <c r="A26" s="55"/>
      <c r="B26" s="58"/>
      <c r="C26" s="56"/>
      <c r="D26" s="57"/>
      <c r="E26" s="57"/>
      <c r="F26" s="48"/>
      <c r="G26" s="66"/>
      <c r="H26" s="691"/>
      <c r="I26" s="49"/>
      <c r="J26" s="30"/>
      <c r="K26" s="30"/>
    </row>
    <row r="27" spans="1:11" x14ac:dyDescent="0.2">
      <c r="A27" s="55"/>
      <c r="B27" s="58"/>
      <c r="C27" s="56"/>
      <c r="D27" s="57"/>
      <c r="E27" s="57"/>
      <c r="F27" s="48"/>
      <c r="G27" s="66"/>
      <c r="H27" s="691"/>
      <c r="I27" s="49"/>
      <c r="J27" s="30"/>
      <c r="K27" s="30"/>
    </row>
    <row r="28" spans="1:11" x14ac:dyDescent="0.2">
      <c r="A28" s="55"/>
      <c r="B28" s="58"/>
      <c r="C28" s="56"/>
      <c r="D28" s="57"/>
      <c r="E28" s="57"/>
      <c r="F28" s="48"/>
      <c r="G28" s="66"/>
      <c r="H28" s="691"/>
      <c r="I28" s="49"/>
      <c r="J28" s="30"/>
      <c r="K28" s="30"/>
    </row>
    <row r="29" spans="1:11" x14ac:dyDescent="0.2">
      <c r="A29" s="55"/>
      <c r="B29" s="58"/>
      <c r="C29" s="56"/>
      <c r="D29" s="57"/>
      <c r="E29" s="57"/>
      <c r="F29" s="48"/>
      <c r="G29" s="66"/>
      <c r="H29" s="691"/>
      <c r="I29" s="49"/>
      <c r="J29" s="30"/>
      <c r="K29" s="30"/>
    </row>
    <row r="30" spans="1:11" x14ac:dyDescent="0.2">
      <c r="A30" s="55"/>
      <c r="B30" s="58"/>
      <c r="C30" s="56"/>
      <c r="D30" s="57"/>
      <c r="E30" s="57"/>
      <c r="F30" s="48"/>
      <c r="G30" s="66"/>
      <c r="H30" s="691"/>
      <c r="I30" s="49"/>
      <c r="J30" s="30"/>
      <c r="K30" s="30"/>
    </row>
    <row r="31" spans="1:11" x14ac:dyDescent="0.2">
      <c r="A31" s="55"/>
      <c r="B31" s="58"/>
      <c r="C31" s="56"/>
      <c r="D31" s="57"/>
      <c r="E31" s="57"/>
      <c r="F31" s="48"/>
      <c r="G31" s="66"/>
      <c r="H31" s="691"/>
      <c r="I31" s="49"/>
      <c r="J31" s="30"/>
      <c r="K31" s="30"/>
    </row>
    <row r="32" spans="1:11" x14ac:dyDescent="0.2">
      <c r="A32" s="55"/>
      <c r="B32" s="58"/>
      <c r="C32" s="56"/>
      <c r="D32" s="57"/>
      <c r="E32" s="57"/>
      <c r="F32" s="48"/>
      <c r="G32" s="66"/>
      <c r="H32" s="691"/>
      <c r="I32" s="49"/>
      <c r="J32" s="30"/>
      <c r="K32" s="30"/>
    </row>
    <row r="33" spans="1:11" x14ac:dyDescent="0.2">
      <c r="A33" s="55"/>
      <c r="B33" s="58"/>
      <c r="C33" s="56"/>
      <c r="D33" s="57"/>
      <c r="E33" s="57"/>
      <c r="F33" s="48"/>
      <c r="G33" s="66"/>
      <c r="H33" s="691"/>
      <c r="I33" s="49"/>
      <c r="J33" s="30"/>
      <c r="K33" s="30"/>
    </row>
    <row r="34" spans="1:11" x14ac:dyDescent="0.2">
      <c r="A34" s="55"/>
      <c r="B34" s="58"/>
      <c r="C34" s="56"/>
      <c r="D34" s="57"/>
      <c r="E34" s="57"/>
      <c r="F34" s="48"/>
      <c r="G34" s="66"/>
      <c r="H34" s="691"/>
      <c r="I34" s="49"/>
      <c r="J34" s="30"/>
      <c r="K34" s="30"/>
    </row>
    <row r="35" spans="1:11" x14ac:dyDescent="0.2">
      <c r="A35" s="55"/>
      <c r="B35" s="58"/>
      <c r="C35" s="56"/>
      <c r="D35" s="57"/>
      <c r="E35" s="57"/>
      <c r="F35" s="48"/>
      <c r="G35" s="66"/>
      <c r="H35" s="691"/>
      <c r="I35" s="49"/>
      <c r="J35" s="30"/>
      <c r="K35" s="30"/>
    </row>
    <row r="36" spans="1:11" x14ac:dyDescent="0.2">
      <c r="A36" s="55"/>
      <c r="B36" s="58"/>
      <c r="C36" s="56"/>
      <c r="D36" s="57"/>
      <c r="E36" s="57"/>
      <c r="F36" s="48"/>
      <c r="G36" s="66"/>
      <c r="H36" s="691"/>
      <c r="I36" s="49"/>
      <c r="J36" s="30"/>
      <c r="K36" s="30"/>
    </row>
    <row r="37" spans="1:11" x14ac:dyDescent="0.2">
      <c r="A37" s="55"/>
      <c r="B37" s="58"/>
      <c r="C37" s="56"/>
      <c r="D37" s="57"/>
      <c r="E37" s="57"/>
      <c r="F37" s="48"/>
      <c r="G37" s="66"/>
      <c r="H37" s="691"/>
      <c r="I37" s="49"/>
      <c r="J37" s="30"/>
      <c r="K37" s="30"/>
    </row>
    <row r="38" spans="1:11" x14ac:dyDescent="0.2">
      <c r="A38" s="72"/>
      <c r="B38" s="73"/>
      <c r="C38" s="74"/>
      <c r="D38" s="75"/>
      <c r="E38" s="75"/>
      <c r="F38" s="76" t="s">
        <v>123</v>
      </c>
      <c r="G38" s="108">
        <f>SUM(G8:G37)</f>
        <v>100</v>
      </c>
      <c r="H38" s="697">
        <f>SUM(H8:H37)</f>
        <v>68</v>
      </c>
      <c r="I38" s="61"/>
      <c r="J38" s="30"/>
      <c r="K38" s="30"/>
    </row>
    <row r="39" spans="1:11" x14ac:dyDescent="0.2">
      <c r="A39" s="30"/>
      <c r="B39" s="30"/>
      <c r="C39" s="30"/>
      <c r="D39" s="62"/>
      <c r="E39" s="62"/>
      <c r="F39" s="62"/>
      <c r="G39" s="63"/>
      <c r="H39" s="63"/>
      <c r="I39" s="63"/>
      <c r="J39" s="30"/>
      <c r="K39" s="30"/>
    </row>
    <row r="40" spans="1:11" ht="14.25" x14ac:dyDescent="0.2">
      <c r="A40" s="30"/>
      <c r="B40" s="30"/>
      <c r="C40" s="30"/>
      <c r="D40" s="62"/>
      <c r="E40" s="62"/>
      <c r="F40" s="1140" t="s">
        <v>8</v>
      </c>
      <c r="G40" s="1140"/>
      <c r="H40" s="701">
        <f>G38-H38</f>
        <v>32</v>
      </c>
      <c r="I40" s="63"/>
      <c r="J40" s="30"/>
      <c r="K40" s="30"/>
    </row>
  </sheetData>
  <mergeCells count="4">
    <mergeCell ref="A6:H6"/>
    <mergeCell ref="J6:K7"/>
    <mergeCell ref="F40:G40"/>
    <mergeCell ref="C1:H5"/>
  </mergeCells>
  <hyperlinks>
    <hyperlink ref="J6:K7" location="'ANA SAYFA'!A1" display="AnaSayfa"/>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
  <sheetViews>
    <sheetView workbookViewId="0">
      <pane ySplit="7" topLeftCell="A8" activePane="bottomLeft" state="frozen"/>
      <selection pane="bottomLeft" activeCell="J6" sqref="J6:K7"/>
    </sheetView>
  </sheetViews>
  <sheetFormatPr defaultRowHeight="12.75" x14ac:dyDescent="0.2"/>
  <cols>
    <col min="1" max="1" width="18.140625" customWidth="1"/>
    <col min="2" max="2" width="26.7109375" bestFit="1" customWidth="1"/>
    <col min="3" max="3" width="27.42578125" bestFit="1" customWidth="1"/>
    <col min="4" max="5" width="9.28515625" bestFit="1" customWidth="1"/>
    <col min="6" max="6" width="24.28515625" bestFit="1" customWidth="1"/>
    <col min="7" max="7" width="14" customWidth="1"/>
    <col min="8" max="8" width="15.140625" customWidth="1"/>
  </cols>
  <sheetData>
    <row r="1" spans="1:11" ht="14.25" customHeight="1" x14ac:dyDescent="0.2">
      <c r="A1" s="669" t="s">
        <v>135</v>
      </c>
      <c r="B1" s="149" t="str">
        <f>'ANA SAYFA'!B7</f>
        <v xml:space="preserve">BEKİR BAHAR </v>
      </c>
      <c r="C1" s="1144" t="s">
        <v>136</v>
      </c>
      <c r="D1" s="1144"/>
      <c r="E1" s="1144"/>
      <c r="F1" s="1144"/>
      <c r="G1" s="1144"/>
      <c r="H1" s="1144"/>
      <c r="I1" s="28"/>
      <c r="J1" s="30"/>
      <c r="K1" s="30"/>
    </row>
    <row r="2" spans="1:11" ht="14.25" customHeight="1" x14ac:dyDescent="0.2">
      <c r="A2" s="669" t="s">
        <v>137</v>
      </c>
      <c r="B2" s="150">
        <f>'ANA SAYFA'!D7</f>
        <v>11517017542</v>
      </c>
      <c r="C2" s="1144"/>
      <c r="D2" s="1144"/>
      <c r="E2" s="1144"/>
      <c r="F2" s="1144"/>
      <c r="G2" s="1144"/>
      <c r="H2" s="1144"/>
      <c r="I2" s="28"/>
      <c r="J2" s="30"/>
      <c r="K2" s="30"/>
    </row>
    <row r="3" spans="1:11" ht="14.25" customHeight="1" x14ac:dyDescent="0.2">
      <c r="A3" s="669" t="s">
        <v>131</v>
      </c>
      <c r="B3" s="149" t="str">
        <f>'ANA SAYFA'!C7</f>
        <v>MUHASEBE ŞEFİ</v>
      </c>
      <c r="C3" s="1144"/>
      <c r="D3" s="1144"/>
      <c r="E3" s="1144"/>
      <c r="F3" s="1144"/>
      <c r="G3" s="1144"/>
      <c r="H3" s="1144"/>
      <c r="I3" s="28"/>
      <c r="J3" s="30"/>
      <c r="K3" s="30"/>
    </row>
    <row r="4" spans="1:11" ht="14.25" customHeight="1" x14ac:dyDescent="0.2">
      <c r="A4" s="669" t="s">
        <v>120</v>
      </c>
      <c r="B4" s="700">
        <f>'ANA SAYFA'!E7</f>
        <v>41288</v>
      </c>
      <c r="C4" s="1144"/>
      <c r="D4" s="1144"/>
      <c r="E4" s="1144"/>
      <c r="F4" s="1144"/>
      <c r="G4" s="1144"/>
      <c r="H4" s="1144"/>
      <c r="I4" s="28"/>
      <c r="J4" s="30"/>
      <c r="K4" s="30"/>
    </row>
    <row r="5" spans="1:11" ht="14.25" customHeight="1" thickBot="1" x14ac:dyDescent="0.25">
      <c r="A5" s="669" t="s">
        <v>130</v>
      </c>
      <c r="B5" s="31">
        <f>'ANA SAYFA'!F7</f>
        <v>30225</v>
      </c>
      <c r="C5" s="1144"/>
      <c r="D5" s="1144"/>
      <c r="E5" s="1144"/>
      <c r="F5" s="1144"/>
      <c r="G5" s="1144"/>
      <c r="H5" s="1144"/>
      <c r="I5" s="28"/>
      <c r="J5" s="30"/>
      <c r="K5" s="30"/>
    </row>
    <row r="6" spans="1:11" ht="14.25" customHeight="1" x14ac:dyDescent="0.2">
      <c r="A6" s="1141" t="s">
        <v>136</v>
      </c>
      <c r="B6" s="1141"/>
      <c r="C6" s="1141"/>
      <c r="D6" s="1141"/>
      <c r="E6" s="1141"/>
      <c r="F6" s="1141"/>
      <c r="G6" s="1141"/>
      <c r="H6" s="1141"/>
      <c r="I6" s="32"/>
      <c r="J6" s="1145" t="s">
        <v>5</v>
      </c>
      <c r="K6" s="1146"/>
    </row>
    <row r="7" spans="1:11" ht="32.25" thickBot="1" x14ac:dyDescent="0.25">
      <c r="A7" s="1033" t="s">
        <v>0</v>
      </c>
      <c r="B7" s="694" t="s">
        <v>1</v>
      </c>
      <c r="C7" s="1033" t="s">
        <v>2</v>
      </c>
      <c r="D7" s="695" t="s">
        <v>133</v>
      </c>
      <c r="E7" s="695" t="s">
        <v>4</v>
      </c>
      <c r="F7" s="695" t="s">
        <v>7</v>
      </c>
      <c r="G7" s="695" t="s">
        <v>6</v>
      </c>
      <c r="H7" s="695" t="s">
        <v>16</v>
      </c>
      <c r="I7" s="34"/>
      <c r="J7" s="1147"/>
      <c r="K7" s="1148"/>
    </row>
    <row r="8" spans="1:11" x14ac:dyDescent="0.2">
      <c r="A8" s="717"/>
      <c r="B8" s="729">
        <v>42296</v>
      </c>
      <c r="C8" s="730">
        <v>42310</v>
      </c>
      <c r="D8" s="735">
        <v>0.33333333333333331</v>
      </c>
      <c r="E8" s="735">
        <v>0.33333333333333331</v>
      </c>
      <c r="F8" s="261" t="s">
        <v>163</v>
      </c>
      <c r="G8" s="731">
        <v>14</v>
      </c>
      <c r="H8" s="749">
        <v>11</v>
      </c>
      <c r="I8" s="49"/>
      <c r="J8" s="30"/>
      <c r="K8" s="30"/>
    </row>
    <row r="9" spans="1:11" x14ac:dyDescent="0.2">
      <c r="A9" s="719"/>
      <c r="B9" s="729">
        <v>42559</v>
      </c>
      <c r="C9" s="732">
        <v>42562</v>
      </c>
      <c r="D9" s="735">
        <v>0.33333333333333331</v>
      </c>
      <c r="E9" s="735">
        <v>0.33333333333333331</v>
      </c>
      <c r="F9" s="261" t="s">
        <v>164</v>
      </c>
      <c r="G9" s="731">
        <v>14</v>
      </c>
      <c r="H9" s="731">
        <v>2</v>
      </c>
      <c r="I9" s="49"/>
      <c r="J9" s="30"/>
      <c r="K9" s="30"/>
    </row>
    <row r="10" spans="1:11" ht="12.75" customHeight="1" x14ac:dyDescent="0.2">
      <c r="A10" s="719"/>
      <c r="B10" s="729" t="s">
        <v>173</v>
      </c>
      <c r="C10" s="732" t="s">
        <v>172</v>
      </c>
      <c r="D10" s="735">
        <v>0.33333333333333331</v>
      </c>
      <c r="E10" s="735">
        <v>0.33333333333333331</v>
      </c>
      <c r="F10" s="260" t="s">
        <v>169</v>
      </c>
      <c r="G10" s="731">
        <v>14</v>
      </c>
      <c r="H10" s="731">
        <v>3</v>
      </c>
      <c r="I10" s="49"/>
      <c r="J10" s="30"/>
      <c r="K10" s="30"/>
    </row>
    <row r="11" spans="1:11" ht="12.75" customHeight="1" x14ac:dyDescent="0.2">
      <c r="A11" s="724"/>
      <c r="B11" s="729">
        <v>42662</v>
      </c>
      <c r="C11" s="730">
        <v>42676</v>
      </c>
      <c r="D11" s="735">
        <v>0.33333333333333331</v>
      </c>
      <c r="E11" s="735">
        <v>0.33333333333333331</v>
      </c>
      <c r="F11" s="253" t="s">
        <v>165</v>
      </c>
      <c r="G11" s="723">
        <v>14</v>
      </c>
      <c r="H11" s="749">
        <v>11</v>
      </c>
      <c r="I11" s="49"/>
      <c r="J11" s="30"/>
      <c r="K11" s="30"/>
    </row>
    <row r="12" spans="1:11" x14ac:dyDescent="0.2">
      <c r="A12" s="734"/>
      <c r="B12" s="729">
        <v>42700</v>
      </c>
      <c r="C12" s="732">
        <v>42702</v>
      </c>
      <c r="D12" s="735">
        <v>0.33333333333333331</v>
      </c>
      <c r="E12" s="735">
        <v>0.33333333333333331</v>
      </c>
      <c r="F12" s="253" t="s">
        <v>166</v>
      </c>
      <c r="G12" s="723">
        <v>14</v>
      </c>
      <c r="H12" s="731">
        <v>1</v>
      </c>
      <c r="I12" s="49"/>
      <c r="J12" s="30"/>
      <c r="K12" s="30"/>
    </row>
    <row r="13" spans="1:11" x14ac:dyDescent="0.2">
      <c r="A13" s="753"/>
      <c r="B13" s="760">
        <v>42909</v>
      </c>
      <c r="C13" s="761">
        <v>42919</v>
      </c>
      <c r="D13" s="735">
        <v>0.33333333333333331</v>
      </c>
      <c r="E13" s="735">
        <v>0.33333333333333331</v>
      </c>
      <c r="F13" s="253" t="s">
        <v>167</v>
      </c>
      <c r="G13" s="723">
        <v>20</v>
      </c>
      <c r="H13" s="723">
        <v>5</v>
      </c>
      <c r="I13" s="49"/>
      <c r="J13" s="30"/>
      <c r="K13" s="30"/>
    </row>
    <row r="14" spans="1:11" x14ac:dyDescent="0.2">
      <c r="A14" s="753"/>
      <c r="B14" s="760" t="s">
        <v>157</v>
      </c>
      <c r="C14" s="761" t="s">
        <v>158</v>
      </c>
      <c r="D14" s="735">
        <v>0.33333333333333331</v>
      </c>
      <c r="E14" s="735">
        <v>0.33333333333333331</v>
      </c>
      <c r="F14" s="253" t="s">
        <v>168</v>
      </c>
      <c r="G14" s="723">
        <v>20</v>
      </c>
      <c r="H14" s="723">
        <v>10</v>
      </c>
      <c r="I14" s="49"/>
      <c r="J14" s="30"/>
      <c r="K14" s="30"/>
    </row>
    <row r="15" spans="1:11" x14ac:dyDescent="0.2">
      <c r="A15" s="725"/>
      <c r="B15" s="720">
        <v>43325</v>
      </c>
      <c r="C15" s="721">
        <v>43339</v>
      </c>
      <c r="D15" s="735">
        <v>0.33333333333333331</v>
      </c>
      <c r="E15" s="735">
        <v>0.33333333333333331</v>
      </c>
      <c r="F15" s="253" t="s">
        <v>966</v>
      </c>
      <c r="G15" s="723">
        <v>20</v>
      </c>
      <c r="H15" s="723">
        <v>6</v>
      </c>
      <c r="I15" s="49"/>
      <c r="J15" s="30"/>
      <c r="K15" s="30"/>
    </row>
    <row r="16" spans="1:11" x14ac:dyDescent="0.2">
      <c r="A16" s="725"/>
      <c r="B16" s="720">
        <v>43431</v>
      </c>
      <c r="C16" s="721">
        <v>43432</v>
      </c>
      <c r="D16" s="722">
        <v>0.33333333333333331</v>
      </c>
      <c r="E16" s="722">
        <v>0.33333333333333331</v>
      </c>
      <c r="F16" s="253" t="s">
        <v>967</v>
      </c>
      <c r="G16" s="723">
        <v>20</v>
      </c>
      <c r="H16" s="723">
        <v>1</v>
      </c>
      <c r="I16" s="49"/>
      <c r="J16" s="30"/>
      <c r="K16" s="30"/>
    </row>
    <row r="17" spans="1:11" x14ac:dyDescent="0.2">
      <c r="A17" s="725"/>
      <c r="B17" s="720">
        <v>43465</v>
      </c>
      <c r="C17" s="721">
        <v>43472</v>
      </c>
      <c r="D17" s="722">
        <v>0.33333333333333331</v>
      </c>
      <c r="E17" s="722">
        <v>0.33333333333333331</v>
      </c>
      <c r="F17" s="253" t="s">
        <v>968</v>
      </c>
      <c r="G17" s="723">
        <v>20</v>
      </c>
      <c r="H17" s="723">
        <v>6</v>
      </c>
      <c r="I17" s="49"/>
      <c r="J17" s="30"/>
      <c r="K17" s="30"/>
    </row>
    <row r="18" spans="1:11" x14ac:dyDescent="0.2">
      <c r="A18" s="725"/>
      <c r="B18" s="720">
        <v>43582</v>
      </c>
      <c r="C18" s="721">
        <v>43584</v>
      </c>
      <c r="D18" s="722">
        <v>0.33333333333333331</v>
      </c>
      <c r="E18" s="722">
        <v>0.33333333333333331</v>
      </c>
      <c r="F18" s="253" t="s">
        <v>969</v>
      </c>
      <c r="G18" s="723">
        <v>20</v>
      </c>
      <c r="H18" s="723">
        <v>1</v>
      </c>
      <c r="I18" s="49"/>
      <c r="J18" s="30"/>
      <c r="K18" s="30"/>
    </row>
    <row r="19" spans="1:11" x14ac:dyDescent="0.2">
      <c r="A19" s="725"/>
      <c r="B19" s="720">
        <v>43623</v>
      </c>
      <c r="C19" s="721">
        <v>43626</v>
      </c>
      <c r="D19" s="722">
        <v>0.33333333333333331</v>
      </c>
      <c r="E19" s="722">
        <v>0.33333333333333331</v>
      </c>
      <c r="F19" s="253" t="s">
        <v>674</v>
      </c>
      <c r="G19" s="731">
        <v>20</v>
      </c>
      <c r="H19" s="723">
        <v>2</v>
      </c>
      <c r="I19" s="46"/>
      <c r="J19" s="30"/>
      <c r="K19" s="30"/>
    </row>
    <row r="20" spans="1:11" x14ac:dyDescent="0.2">
      <c r="A20" s="725"/>
      <c r="B20" s="720" t="s">
        <v>159</v>
      </c>
      <c r="C20" s="721" t="s">
        <v>160</v>
      </c>
      <c r="D20" s="722">
        <v>0.33333333333333331</v>
      </c>
      <c r="E20" s="722">
        <v>0.33333333333333331</v>
      </c>
      <c r="F20" s="253" t="s">
        <v>945</v>
      </c>
      <c r="G20" s="731">
        <v>20</v>
      </c>
      <c r="H20" s="723">
        <v>2</v>
      </c>
      <c r="I20" s="46"/>
      <c r="J20" s="30"/>
      <c r="K20" s="30"/>
    </row>
    <row r="21" spans="1:11" x14ac:dyDescent="0.2">
      <c r="A21" s="725"/>
      <c r="B21" s="720">
        <v>44613</v>
      </c>
      <c r="C21" s="721" t="s">
        <v>156</v>
      </c>
      <c r="D21" s="722">
        <v>0.33333333333333331</v>
      </c>
      <c r="E21" s="722">
        <v>0.33333333333333331</v>
      </c>
      <c r="F21" s="78"/>
      <c r="G21" s="731"/>
      <c r="H21" s="723">
        <v>4</v>
      </c>
      <c r="I21" s="40"/>
      <c r="J21" s="30"/>
      <c r="K21" s="30"/>
    </row>
    <row r="22" spans="1:11" x14ac:dyDescent="0.2">
      <c r="A22" s="725"/>
      <c r="B22" s="720" t="s">
        <v>170</v>
      </c>
      <c r="C22" s="721" t="s">
        <v>171</v>
      </c>
      <c r="D22" s="722">
        <v>0.33333333333333331</v>
      </c>
      <c r="E22" s="722">
        <v>0.33333333333333331</v>
      </c>
      <c r="F22" s="78"/>
      <c r="G22" s="731"/>
      <c r="H22" s="723">
        <v>5</v>
      </c>
      <c r="I22" s="40"/>
      <c r="J22" s="30"/>
      <c r="K22" s="30"/>
    </row>
    <row r="23" spans="1:11" x14ac:dyDescent="0.2">
      <c r="A23" s="725"/>
      <c r="B23" s="720" t="s">
        <v>161</v>
      </c>
      <c r="C23" s="721" t="s">
        <v>162</v>
      </c>
      <c r="D23" s="722">
        <v>0.33333333333333331</v>
      </c>
      <c r="E23" s="722">
        <v>0.33333333333333331</v>
      </c>
      <c r="F23" s="78"/>
      <c r="G23" s="731"/>
      <c r="H23" s="723">
        <v>14</v>
      </c>
      <c r="I23" s="40"/>
      <c r="J23" s="41"/>
      <c r="K23" s="41"/>
    </row>
    <row r="24" spans="1:11" x14ac:dyDescent="0.2">
      <c r="A24" s="51"/>
      <c r="B24" s="52">
        <v>45047</v>
      </c>
      <c r="C24" s="53">
        <v>45048</v>
      </c>
      <c r="D24" s="762">
        <v>0.33333333333333331</v>
      </c>
      <c r="E24" s="762">
        <v>0.33333333333333331</v>
      </c>
      <c r="F24" s="698"/>
      <c r="G24" s="731"/>
      <c r="H24" s="731">
        <v>1</v>
      </c>
      <c r="I24" s="49"/>
      <c r="J24" s="30"/>
      <c r="K24" s="30"/>
    </row>
    <row r="25" spans="1:11" x14ac:dyDescent="0.2">
      <c r="A25" s="685"/>
      <c r="B25" s="688">
        <v>45098</v>
      </c>
      <c r="C25" s="686">
        <v>45117</v>
      </c>
      <c r="D25" s="762">
        <v>0.33333333333333331</v>
      </c>
      <c r="E25" s="762">
        <v>0.33333333333333331</v>
      </c>
      <c r="F25" s="698"/>
      <c r="G25" s="723"/>
      <c r="H25" s="723">
        <v>10</v>
      </c>
      <c r="I25" s="49"/>
      <c r="J25" s="30"/>
      <c r="K25" s="30"/>
    </row>
    <row r="26" spans="1:11" x14ac:dyDescent="0.2">
      <c r="A26" s="685"/>
      <c r="B26" s="688">
        <v>45257</v>
      </c>
      <c r="C26" s="686">
        <v>45264</v>
      </c>
      <c r="D26" s="722">
        <v>0.33333333333333331</v>
      </c>
      <c r="E26" s="722">
        <v>0.33333333333333331</v>
      </c>
      <c r="F26" s="698"/>
      <c r="G26" s="723"/>
      <c r="H26" s="723">
        <v>5</v>
      </c>
      <c r="I26" s="49"/>
      <c r="J26" s="30"/>
      <c r="K26" s="30"/>
    </row>
    <row r="27" spans="1:11" x14ac:dyDescent="0.2">
      <c r="A27" s="685"/>
      <c r="B27" s="688">
        <v>45274</v>
      </c>
      <c r="C27" s="686">
        <v>45275</v>
      </c>
      <c r="D27" s="762">
        <v>0.33333333333333331</v>
      </c>
      <c r="E27" s="762">
        <v>0.33333333333333331</v>
      </c>
      <c r="F27" s="698"/>
      <c r="G27" s="731"/>
      <c r="H27" s="731">
        <v>1</v>
      </c>
      <c r="I27" s="49"/>
      <c r="J27" s="30"/>
      <c r="K27" s="30"/>
    </row>
    <row r="28" spans="1:11" x14ac:dyDescent="0.2">
      <c r="A28" s="685"/>
      <c r="B28" s="688">
        <v>45302</v>
      </c>
      <c r="C28" s="686">
        <v>45306</v>
      </c>
      <c r="D28" s="722">
        <v>0.33333333333333331</v>
      </c>
      <c r="E28" s="722">
        <v>0.33333333333333331</v>
      </c>
      <c r="F28" s="698"/>
      <c r="G28" s="723"/>
      <c r="H28" s="723">
        <v>2</v>
      </c>
      <c r="I28" s="49"/>
      <c r="J28" s="30"/>
      <c r="K28" s="30"/>
    </row>
    <row r="29" spans="1:11" x14ac:dyDescent="0.2">
      <c r="A29" s="685"/>
      <c r="B29" s="688">
        <v>45467</v>
      </c>
      <c r="C29" s="686">
        <v>45471</v>
      </c>
      <c r="D29" s="722">
        <v>0.33333333333333331</v>
      </c>
      <c r="E29" s="722">
        <v>0.33333333333333331</v>
      </c>
      <c r="F29" s="698"/>
      <c r="G29" s="723"/>
      <c r="H29" s="723">
        <v>5</v>
      </c>
      <c r="I29" s="49"/>
      <c r="J29" s="30"/>
      <c r="K29" s="30"/>
    </row>
    <row r="30" spans="1:11" x14ac:dyDescent="0.2">
      <c r="A30" s="685"/>
      <c r="B30" s="720">
        <v>45516</v>
      </c>
      <c r="C30" s="721">
        <v>45535</v>
      </c>
      <c r="D30" s="722">
        <v>0.33333333333333331</v>
      </c>
      <c r="E30" s="722">
        <v>0.33333333333333331</v>
      </c>
      <c r="F30" s="698"/>
      <c r="G30" s="723"/>
      <c r="H30" s="723">
        <v>17</v>
      </c>
      <c r="I30" s="49"/>
      <c r="J30" s="30"/>
      <c r="K30" s="30"/>
    </row>
    <row r="31" spans="1:11" x14ac:dyDescent="0.2">
      <c r="A31" s="685"/>
      <c r="B31" s="720">
        <v>45617</v>
      </c>
      <c r="C31" s="721">
        <v>45619</v>
      </c>
      <c r="D31" s="722">
        <v>0.33333333333333331</v>
      </c>
      <c r="E31" s="722">
        <v>0.33333333333333331</v>
      </c>
      <c r="F31" s="698"/>
      <c r="G31" s="723"/>
      <c r="H31" s="723">
        <v>3</v>
      </c>
      <c r="I31" s="49"/>
      <c r="J31" s="30"/>
      <c r="K31" s="30"/>
    </row>
    <row r="32" spans="1:11" x14ac:dyDescent="0.2">
      <c r="A32" s="685"/>
      <c r="B32" s="720">
        <v>45834</v>
      </c>
      <c r="C32" s="721">
        <v>45834</v>
      </c>
      <c r="D32" s="722">
        <v>0.33333333333333331</v>
      </c>
      <c r="E32" s="722">
        <v>0.33333333333333331</v>
      </c>
      <c r="F32" s="698"/>
      <c r="G32" s="723"/>
      <c r="H32" s="723">
        <v>1</v>
      </c>
      <c r="I32" s="49"/>
      <c r="J32" s="30"/>
      <c r="K32" s="30"/>
    </row>
    <row r="33" spans="1:11" x14ac:dyDescent="0.2">
      <c r="A33" s="685"/>
      <c r="B33" s="720">
        <v>45909</v>
      </c>
      <c r="C33" s="721">
        <v>45922</v>
      </c>
      <c r="D33" s="722">
        <v>0.33333333333333331</v>
      </c>
      <c r="E33" s="722">
        <v>0.33333333333333331</v>
      </c>
      <c r="F33" s="698"/>
      <c r="G33" s="723"/>
      <c r="H33" s="723">
        <v>4</v>
      </c>
      <c r="I33" s="49"/>
      <c r="J33" s="30"/>
      <c r="K33" s="30"/>
    </row>
    <row r="34" spans="1:11" s="653" customFormat="1" x14ac:dyDescent="0.2">
      <c r="A34" s="685"/>
      <c r="B34" s="720">
        <v>46098</v>
      </c>
      <c r="C34" s="721">
        <v>46104</v>
      </c>
      <c r="D34" s="722">
        <v>0.33333333333333331</v>
      </c>
      <c r="E34" s="722">
        <v>0.33333333333333331</v>
      </c>
      <c r="F34" s="698"/>
      <c r="G34" s="723"/>
      <c r="H34" s="723">
        <v>2</v>
      </c>
      <c r="I34" s="684"/>
      <c r="J34" s="670"/>
      <c r="K34" s="670"/>
    </row>
    <row r="35" spans="1:11" x14ac:dyDescent="0.2">
      <c r="A35" s="55"/>
      <c r="B35" s="58"/>
      <c r="C35" s="56"/>
      <c r="D35" s="539"/>
      <c r="E35" s="539"/>
      <c r="F35" s="698"/>
      <c r="G35" s="145"/>
      <c r="H35" s="145"/>
      <c r="I35" s="49"/>
      <c r="J35" s="30"/>
      <c r="K35" s="30"/>
    </row>
    <row r="36" spans="1:11" x14ac:dyDescent="0.2">
      <c r="A36" s="72"/>
      <c r="B36" s="73"/>
      <c r="C36" s="74"/>
      <c r="D36" s="75"/>
      <c r="E36" s="75"/>
      <c r="F36" s="76" t="s">
        <v>123</v>
      </c>
      <c r="G36" s="76">
        <f>SUM(G8:G35)</f>
        <v>230</v>
      </c>
      <c r="H36" s="76">
        <f>SUM(H8:H35)</f>
        <v>135</v>
      </c>
      <c r="I36" s="61"/>
      <c r="J36" s="30"/>
      <c r="K36" s="30"/>
    </row>
    <row r="37" spans="1:11" x14ac:dyDescent="0.2">
      <c r="A37" s="30"/>
      <c r="B37" s="30"/>
      <c r="C37" s="30"/>
      <c r="D37" s="62"/>
      <c r="E37" s="62"/>
      <c r="F37" s="62"/>
      <c r="G37" s="63"/>
      <c r="H37" s="63"/>
      <c r="I37" s="63"/>
      <c r="J37" s="30"/>
      <c r="K37" s="30"/>
    </row>
    <row r="38" spans="1:11" ht="14.25" x14ac:dyDescent="0.2">
      <c r="A38" s="30"/>
      <c r="B38" s="30"/>
      <c r="C38" s="30"/>
      <c r="D38" s="62"/>
      <c r="E38" s="62"/>
      <c r="F38" s="1153" t="s">
        <v>8</v>
      </c>
      <c r="G38" s="1154"/>
      <c r="H38" s="137">
        <f>G36-H36</f>
        <v>95</v>
      </c>
      <c r="I38" s="63"/>
      <c r="J38" s="30"/>
      <c r="K38" s="30"/>
    </row>
  </sheetData>
  <mergeCells count="4">
    <mergeCell ref="A6:H6"/>
    <mergeCell ref="J6:K7"/>
    <mergeCell ref="F38:G38"/>
    <mergeCell ref="C1:H5"/>
  </mergeCells>
  <hyperlinks>
    <hyperlink ref="J6:K7" location="'ANA SAYFA'!A1" display="AnaSayfa"/>
  </hyperlinks>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3"/>
  <sheetViews>
    <sheetView workbookViewId="0">
      <pane ySplit="6" topLeftCell="A28" activePane="bottomLeft" state="frozen"/>
      <selection pane="bottomLeft" activeCell="J6" sqref="J6:K6"/>
    </sheetView>
  </sheetViews>
  <sheetFormatPr defaultRowHeight="12.75" x14ac:dyDescent="0.2"/>
  <cols>
    <col min="1" max="1" width="17.85546875" customWidth="1"/>
    <col min="2" max="2" width="27.42578125" bestFit="1" customWidth="1"/>
    <col min="3" max="3" width="26.7109375" bestFit="1" customWidth="1"/>
    <col min="4" max="5" width="8.5703125" customWidth="1"/>
    <col min="6" max="6" width="20.140625" bestFit="1" customWidth="1"/>
    <col min="7" max="8" width="12.7109375" customWidth="1"/>
    <col min="9" max="9" width="5.42578125" customWidth="1"/>
  </cols>
  <sheetData>
    <row r="1" spans="1:11" ht="15" customHeight="1" x14ac:dyDescent="0.2">
      <c r="A1" s="29" t="s">
        <v>135</v>
      </c>
      <c r="B1" s="149" t="str">
        <f>'ANA SAYFA'!B8</f>
        <v>CELAL UNSUR</v>
      </c>
      <c r="C1" s="1166" t="s">
        <v>136</v>
      </c>
      <c r="D1" s="1166"/>
      <c r="E1" s="1166"/>
      <c r="F1" s="1166"/>
      <c r="G1" s="1166"/>
      <c r="H1" s="1166"/>
      <c r="I1" s="28"/>
      <c r="J1" s="30"/>
      <c r="K1" s="30"/>
    </row>
    <row r="2" spans="1:11" ht="15" customHeight="1" x14ac:dyDescent="0.2">
      <c r="A2" s="29" t="s">
        <v>137</v>
      </c>
      <c r="B2" s="161">
        <f>'ANA SAYFA'!D8</f>
        <v>52795285216</v>
      </c>
      <c r="C2" s="1166"/>
      <c r="D2" s="1166"/>
      <c r="E2" s="1166"/>
      <c r="F2" s="1166"/>
      <c r="G2" s="1166"/>
      <c r="H2" s="1166"/>
      <c r="I2" s="28"/>
      <c r="J2" s="30"/>
      <c r="K2" s="30"/>
    </row>
    <row r="3" spans="1:11" ht="15" customHeight="1" x14ac:dyDescent="0.2">
      <c r="A3" s="29" t="s">
        <v>131</v>
      </c>
      <c r="B3" s="162" t="str">
        <f>'ANA SAYFA'!C8</f>
        <v>KAYNAKÇI</v>
      </c>
      <c r="C3" s="1166"/>
      <c r="D3" s="1166"/>
      <c r="E3" s="1166"/>
      <c r="F3" s="1166"/>
      <c r="G3" s="1166"/>
      <c r="H3" s="1166"/>
      <c r="I3" s="28"/>
      <c r="J3" s="30"/>
      <c r="K3" s="30"/>
    </row>
    <row r="4" spans="1:11" ht="15" customHeight="1" x14ac:dyDescent="0.2">
      <c r="A4" s="29" t="s">
        <v>120</v>
      </c>
      <c r="B4" s="89">
        <f>'ANA SAYFA'!E8</f>
        <v>43745</v>
      </c>
      <c r="C4" s="1166"/>
      <c r="D4" s="1166"/>
      <c r="E4" s="1166"/>
      <c r="F4" s="1166"/>
      <c r="G4" s="1166"/>
      <c r="H4" s="1166"/>
      <c r="I4" s="28"/>
      <c r="J4" s="30"/>
      <c r="K4" s="30"/>
    </row>
    <row r="5" spans="1:11" ht="15" customHeight="1" x14ac:dyDescent="0.2">
      <c r="A5" s="29" t="s">
        <v>130</v>
      </c>
      <c r="B5" s="89">
        <f>'ANA SAYFA'!F8</f>
        <v>22335</v>
      </c>
      <c r="C5" s="1166"/>
      <c r="D5" s="1166"/>
      <c r="E5" s="1166"/>
      <c r="F5" s="1166"/>
      <c r="G5" s="1166"/>
      <c r="H5" s="1166"/>
      <c r="I5" s="28"/>
      <c r="J5" s="30"/>
      <c r="K5" s="30"/>
    </row>
    <row r="6" spans="1:11" ht="42.75" thickBot="1" x14ac:dyDescent="0.25">
      <c r="A6" s="69" t="s">
        <v>0</v>
      </c>
      <c r="B6" s="70" t="s">
        <v>1</v>
      </c>
      <c r="C6" s="69" t="s">
        <v>2</v>
      </c>
      <c r="D6" s="71" t="s">
        <v>133</v>
      </c>
      <c r="E6" s="71" t="s">
        <v>4</v>
      </c>
      <c r="F6" s="71" t="s">
        <v>7</v>
      </c>
      <c r="G6" s="71" t="s">
        <v>6</v>
      </c>
      <c r="H6" s="71" t="s">
        <v>16</v>
      </c>
      <c r="I6" s="34"/>
      <c r="J6" s="1164" t="s">
        <v>712</v>
      </c>
      <c r="K6" s="1165"/>
    </row>
    <row r="7" spans="1:11" ht="12.75" customHeight="1" x14ac:dyDescent="0.2">
      <c r="A7" s="35"/>
      <c r="B7" s="36">
        <v>44106</v>
      </c>
      <c r="C7" s="37">
        <v>44116</v>
      </c>
      <c r="D7" s="57">
        <v>0.33333333333333331</v>
      </c>
      <c r="E7" s="57">
        <v>0.33333333333333331</v>
      </c>
      <c r="F7" s="39" t="s">
        <v>71</v>
      </c>
      <c r="G7" s="106">
        <v>20</v>
      </c>
      <c r="H7" s="106">
        <v>8</v>
      </c>
      <c r="I7" s="49"/>
      <c r="J7" s="30"/>
      <c r="K7" s="30"/>
    </row>
    <row r="8" spans="1:11" ht="12.75" customHeight="1" x14ac:dyDescent="0.2">
      <c r="A8" s="35"/>
      <c r="B8" s="36">
        <v>44455</v>
      </c>
      <c r="C8" s="44">
        <v>44466</v>
      </c>
      <c r="D8" s="86">
        <v>0.33333333333333331</v>
      </c>
      <c r="E8" s="86">
        <v>0.33333333333333331</v>
      </c>
      <c r="F8" s="39" t="s">
        <v>380</v>
      </c>
      <c r="G8" s="106">
        <v>20</v>
      </c>
      <c r="H8" s="106">
        <v>9</v>
      </c>
      <c r="I8" s="49"/>
      <c r="J8" s="30"/>
      <c r="K8" s="30"/>
    </row>
    <row r="9" spans="1:11" ht="12.75" customHeight="1" x14ac:dyDescent="0.2">
      <c r="A9" s="43"/>
      <c r="B9" s="52">
        <v>44723</v>
      </c>
      <c r="C9" s="53">
        <v>44724</v>
      </c>
      <c r="D9" s="86">
        <v>0.33333333333333331</v>
      </c>
      <c r="E9" s="86">
        <v>0.33333333333333331</v>
      </c>
      <c r="F9" s="39" t="s">
        <v>338</v>
      </c>
      <c r="G9" s="106">
        <v>20</v>
      </c>
      <c r="H9" s="106">
        <v>1</v>
      </c>
      <c r="I9" s="49"/>
      <c r="J9" s="30"/>
      <c r="K9" s="30"/>
    </row>
    <row r="10" spans="1:11" ht="12.75" customHeight="1" x14ac:dyDescent="0.2">
      <c r="A10" s="679"/>
      <c r="B10" s="52">
        <v>44725</v>
      </c>
      <c r="C10" s="53">
        <v>44726</v>
      </c>
      <c r="D10" s="702">
        <v>0.33333333333333331</v>
      </c>
      <c r="E10" s="702">
        <v>0.33333333333333331</v>
      </c>
      <c r="F10" s="39" t="s">
        <v>457</v>
      </c>
      <c r="G10" s="66">
        <v>20</v>
      </c>
      <c r="H10" s="106">
        <v>1</v>
      </c>
      <c r="I10" s="49"/>
      <c r="J10" s="30"/>
      <c r="K10" s="30"/>
    </row>
    <row r="11" spans="1:11" ht="12.75" customHeight="1" x14ac:dyDescent="0.2">
      <c r="A11" s="678"/>
      <c r="B11" s="52">
        <v>44735</v>
      </c>
      <c r="C11" s="53">
        <v>44736</v>
      </c>
      <c r="D11" s="702">
        <v>0.33333333333333331</v>
      </c>
      <c r="E11" s="702">
        <v>0.33333333333333331</v>
      </c>
      <c r="F11" s="39" t="s">
        <v>646</v>
      </c>
      <c r="G11" s="66">
        <v>20</v>
      </c>
      <c r="H11" s="106">
        <v>1</v>
      </c>
      <c r="I11" s="49"/>
      <c r="J11" s="30"/>
      <c r="K11" s="30"/>
    </row>
    <row r="12" spans="1:11" ht="12.75" customHeight="1" x14ac:dyDescent="0.2">
      <c r="A12" s="678"/>
      <c r="B12" s="52">
        <v>44778</v>
      </c>
      <c r="C12" s="52">
        <v>44778</v>
      </c>
      <c r="D12" s="702">
        <v>0.33333333333333331</v>
      </c>
      <c r="E12" s="702">
        <v>0.75</v>
      </c>
      <c r="F12" s="66" t="s">
        <v>925</v>
      </c>
      <c r="G12" s="66">
        <v>20</v>
      </c>
      <c r="H12" s="106">
        <v>1</v>
      </c>
      <c r="I12" s="49"/>
      <c r="J12" s="30"/>
      <c r="K12" s="30"/>
    </row>
    <row r="13" spans="1:11" ht="12.75" customHeight="1" x14ac:dyDescent="0.2">
      <c r="A13" s="678"/>
      <c r="B13" s="52">
        <v>44790</v>
      </c>
      <c r="C13" s="52">
        <v>44790</v>
      </c>
      <c r="D13" s="702">
        <v>0.33333333333333331</v>
      </c>
      <c r="E13" s="702">
        <v>0.75</v>
      </c>
      <c r="F13" s="66"/>
      <c r="G13" s="66"/>
      <c r="H13" s="106">
        <v>1</v>
      </c>
      <c r="I13" s="49"/>
      <c r="J13" s="30"/>
      <c r="K13" s="30"/>
    </row>
    <row r="14" spans="1:11" ht="12.75" customHeight="1" x14ac:dyDescent="0.2">
      <c r="A14" s="682"/>
      <c r="B14" s="52" t="s">
        <v>179</v>
      </c>
      <c r="C14" s="53" t="s">
        <v>180</v>
      </c>
      <c r="D14" s="54">
        <v>0.33333333333333331</v>
      </c>
      <c r="E14" s="54">
        <v>0.33333333333333331</v>
      </c>
      <c r="F14" s="66"/>
      <c r="G14" s="66"/>
      <c r="H14" s="66">
        <v>13</v>
      </c>
      <c r="I14" s="49"/>
      <c r="J14" s="30"/>
      <c r="K14" s="30"/>
    </row>
    <row r="15" spans="1:11" ht="12.75" customHeight="1" x14ac:dyDescent="0.2">
      <c r="A15" s="682"/>
      <c r="B15" s="52">
        <v>44833</v>
      </c>
      <c r="C15" s="52">
        <v>44833</v>
      </c>
      <c r="D15" s="54">
        <v>0.33333333333333331</v>
      </c>
      <c r="E15" s="702">
        <v>0.75</v>
      </c>
      <c r="F15" s="66"/>
      <c r="G15" s="66"/>
      <c r="H15" s="66">
        <v>1</v>
      </c>
      <c r="I15" s="49"/>
      <c r="J15" s="30"/>
      <c r="K15" s="30"/>
    </row>
    <row r="16" spans="1:11" ht="12.75" customHeight="1" x14ac:dyDescent="0.2">
      <c r="A16" s="682"/>
      <c r="B16" s="52">
        <v>44861</v>
      </c>
      <c r="C16" s="53">
        <v>44862</v>
      </c>
      <c r="D16" s="54">
        <v>0.33333333333333331</v>
      </c>
      <c r="E16" s="54">
        <v>0.33333333333333331</v>
      </c>
      <c r="F16" s="66"/>
      <c r="G16" s="66"/>
      <c r="H16" s="66">
        <v>1</v>
      </c>
      <c r="I16" s="49"/>
      <c r="J16" s="30"/>
      <c r="K16" s="30"/>
    </row>
    <row r="17" spans="1:11" ht="12.75" customHeight="1" x14ac:dyDescent="0.2">
      <c r="A17" s="753"/>
      <c r="B17" s="729">
        <v>45157</v>
      </c>
      <c r="C17" s="730">
        <v>45176</v>
      </c>
      <c r="D17" s="722">
        <v>0.33333333333333331</v>
      </c>
      <c r="E17" s="722">
        <v>0.33333333333333331</v>
      </c>
      <c r="F17" s="22"/>
      <c r="G17" s="118"/>
      <c r="H17" s="118">
        <v>15</v>
      </c>
      <c r="I17" s="49"/>
      <c r="J17" s="30"/>
      <c r="K17" s="30"/>
    </row>
    <row r="18" spans="1:11" ht="12.75" customHeight="1" x14ac:dyDescent="0.2">
      <c r="A18" s="753"/>
      <c r="B18" s="760">
        <v>45208</v>
      </c>
      <c r="C18" s="761">
        <v>45209</v>
      </c>
      <c r="D18" s="735">
        <v>0.33333333333333331</v>
      </c>
      <c r="E18" s="735">
        <v>0.33333333333333331</v>
      </c>
      <c r="F18" s="25"/>
      <c r="G18" s="25"/>
      <c r="H18" s="25">
        <v>1</v>
      </c>
      <c r="I18" s="49"/>
      <c r="J18" s="30"/>
      <c r="K18" s="30"/>
    </row>
    <row r="19" spans="1:11" ht="12.75" customHeight="1" x14ac:dyDescent="0.2">
      <c r="A19" s="725"/>
      <c r="B19" s="720">
        <v>45212</v>
      </c>
      <c r="C19" s="721">
        <v>45215</v>
      </c>
      <c r="D19" s="735">
        <v>0.33333333333333331</v>
      </c>
      <c r="E19" s="735">
        <v>0.33333333333333331</v>
      </c>
      <c r="F19" s="25"/>
      <c r="G19" s="25"/>
      <c r="H19" s="25">
        <v>2</v>
      </c>
      <c r="I19" s="49"/>
      <c r="J19" s="30"/>
      <c r="K19" s="30"/>
    </row>
    <row r="20" spans="1:11" ht="12.75" customHeight="1" x14ac:dyDescent="0.2">
      <c r="A20" s="725"/>
      <c r="B20" s="720">
        <v>45218</v>
      </c>
      <c r="C20" s="721">
        <v>45219</v>
      </c>
      <c r="D20" s="735">
        <v>0.33333333333333331</v>
      </c>
      <c r="E20" s="735">
        <v>0.33333333333333331</v>
      </c>
      <c r="F20" s="25"/>
      <c r="G20" s="25"/>
      <c r="H20" s="25">
        <v>1</v>
      </c>
      <c r="I20" s="49"/>
      <c r="J20" s="30"/>
      <c r="K20" s="30"/>
    </row>
    <row r="21" spans="1:11" ht="12.75" customHeight="1" x14ac:dyDescent="0.2">
      <c r="A21" s="725"/>
      <c r="B21" s="720">
        <v>45238</v>
      </c>
      <c r="C21" s="721">
        <v>45239</v>
      </c>
      <c r="D21" s="722">
        <v>0.33333333333333331</v>
      </c>
      <c r="E21" s="722">
        <v>0.33333333333333331</v>
      </c>
      <c r="F21" s="25"/>
      <c r="G21" s="25"/>
      <c r="H21" s="25">
        <v>1</v>
      </c>
      <c r="I21" s="49"/>
      <c r="J21" s="30"/>
      <c r="K21" s="30"/>
    </row>
    <row r="22" spans="1:11" ht="12.75" customHeight="1" x14ac:dyDescent="0.2">
      <c r="A22" s="725"/>
      <c r="B22" s="720">
        <v>45265</v>
      </c>
      <c r="C22" s="721">
        <v>45271</v>
      </c>
      <c r="D22" s="722">
        <v>0.33333333333333331</v>
      </c>
      <c r="E22" s="722">
        <v>0.33333333333333331</v>
      </c>
      <c r="F22" s="81"/>
      <c r="G22" s="25"/>
      <c r="H22" s="25">
        <v>5</v>
      </c>
      <c r="I22" s="49"/>
      <c r="J22" s="30"/>
      <c r="K22" s="30"/>
    </row>
    <row r="23" spans="1:11" ht="12.75" customHeight="1" x14ac:dyDescent="0.2">
      <c r="A23" s="725"/>
      <c r="B23" s="720" t="s">
        <v>501</v>
      </c>
      <c r="C23" s="720" t="s">
        <v>501</v>
      </c>
      <c r="D23" s="722">
        <v>0.33333333333333331</v>
      </c>
      <c r="E23" s="722">
        <v>0.33333333333333331</v>
      </c>
      <c r="F23" s="81"/>
      <c r="G23" s="106"/>
      <c r="H23" s="25">
        <v>1</v>
      </c>
      <c r="I23" s="46"/>
      <c r="J23" s="30"/>
      <c r="K23" s="30"/>
    </row>
    <row r="24" spans="1:11" ht="12.75" customHeight="1" x14ac:dyDescent="0.2">
      <c r="A24" s="725"/>
      <c r="B24" s="720">
        <v>45409</v>
      </c>
      <c r="C24" s="720">
        <v>45411</v>
      </c>
      <c r="D24" s="722">
        <v>0.33333333333333331</v>
      </c>
      <c r="E24" s="722" t="s">
        <v>17</v>
      </c>
      <c r="F24" s="81"/>
      <c r="G24" s="106"/>
      <c r="H24" s="25">
        <v>1</v>
      </c>
      <c r="I24" s="46"/>
      <c r="J24" s="30"/>
      <c r="K24" s="30"/>
    </row>
    <row r="25" spans="1:11" ht="12.75" customHeight="1" x14ac:dyDescent="0.2">
      <c r="A25" s="725"/>
      <c r="B25" s="720" t="s">
        <v>539</v>
      </c>
      <c r="C25" s="720" t="s">
        <v>539</v>
      </c>
      <c r="D25" s="722">
        <v>0.33333333333333331</v>
      </c>
      <c r="E25" s="722" t="s">
        <v>17</v>
      </c>
      <c r="F25" s="81"/>
      <c r="G25" s="106"/>
      <c r="H25" s="25">
        <v>1</v>
      </c>
      <c r="I25" s="46"/>
      <c r="J25" s="30"/>
      <c r="K25" s="30"/>
    </row>
    <row r="26" spans="1:11" ht="12.75" customHeight="1" x14ac:dyDescent="0.2">
      <c r="A26" s="725"/>
      <c r="B26" s="720">
        <v>45518</v>
      </c>
      <c r="C26" s="721">
        <v>45524</v>
      </c>
      <c r="D26" s="722">
        <v>0.33333333333333331</v>
      </c>
      <c r="E26" s="722" t="s">
        <v>17</v>
      </c>
      <c r="F26" s="78"/>
      <c r="G26" s="106"/>
      <c r="H26" s="25">
        <v>6</v>
      </c>
      <c r="I26" s="40"/>
      <c r="J26" s="30"/>
      <c r="K26" s="30"/>
    </row>
    <row r="27" spans="1:11" ht="12.75" customHeight="1" x14ac:dyDescent="0.2">
      <c r="A27" s="725"/>
      <c r="B27" s="720">
        <v>45538</v>
      </c>
      <c r="C27" s="721">
        <v>45549</v>
      </c>
      <c r="D27" s="722">
        <v>0.33333333333333331</v>
      </c>
      <c r="E27" s="722" t="s">
        <v>17</v>
      </c>
      <c r="F27" s="78"/>
      <c r="G27" s="106"/>
      <c r="H27" s="25">
        <v>11</v>
      </c>
      <c r="I27" s="40"/>
      <c r="J27" s="30"/>
      <c r="K27" s="30"/>
    </row>
    <row r="28" spans="1:11" ht="12.75" customHeight="1" x14ac:dyDescent="0.2">
      <c r="A28" s="725"/>
      <c r="B28" s="720">
        <v>111299</v>
      </c>
      <c r="C28" s="721">
        <v>45556</v>
      </c>
      <c r="D28" s="722">
        <v>0.33333333333333331</v>
      </c>
      <c r="E28" s="722" t="s">
        <v>17</v>
      </c>
      <c r="F28" s="78"/>
      <c r="G28" s="106"/>
      <c r="H28" s="297">
        <v>1</v>
      </c>
      <c r="I28" s="40"/>
      <c r="J28" s="41"/>
      <c r="K28" s="41"/>
    </row>
    <row r="29" spans="1:11" ht="12.75" customHeight="1" x14ac:dyDescent="0.2">
      <c r="A29" s="51"/>
      <c r="B29" s="52">
        <v>45581</v>
      </c>
      <c r="C29" s="53">
        <v>45581</v>
      </c>
      <c r="D29" s="722">
        <v>0.33333333333333331</v>
      </c>
      <c r="E29" s="722" t="s">
        <v>17</v>
      </c>
      <c r="F29" s="48"/>
      <c r="G29" s="106"/>
      <c r="H29" s="295">
        <v>1</v>
      </c>
      <c r="I29" s="49"/>
      <c r="J29" s="30"/>
      <c r="K29" s="30"/>
    </row>
    <row r="30" spans="1:11" x14ac:dyDescent="0.2">
      <c r="A30" s="51"/>
      <c r="B30" s="52">
        <v>45649</v>
      </c>
      <c r="C30" s="53">
        <v>45649</v>
      </c>
      <c r="D30" s="722">
        <v>0.33333333333333331</v>
      </c>
      <c r="E30" s="722" t="s">
        <v>17</v>
      </c>
      <c r="F30" s="48"/>
      <c r="G30" s="106"/>
      <c r="H30" s="295">
        <v>1</v>
      </c>
      <c r="I30" s="49"/>
      <c r="J30" s="30"/>
      <c r="K30" s="30"/>
    </row>
    <row r="31" spans="1:11" x14ac:dyDescent="0.2">
      <c r="A31" s="685"/>
      <c r="B31" s="52">
        <v>45667</v>
      </c>
      <c r="C31" s="52">
        <v>45668</v>
      </c>
      <c r="D31" s="722">
        <v>0.33333333333333331</v>
      </c>
      <c r="E31" s="722" t="s">
        <v>17</v>
      </c>
      <c r="F31" s="48"/>
      <c r="G31" s="66"/>
      <c r="H31" s="296">
        <v>2</v>
      </c>
      <c r="I31" s="49"/>
      <c r="J31" s="30"/>
      <c r="K31" s="30"/>
    </row>
    <row r="32" spans="1:11" x14ac:dyDescent="0.2">
      <c r="A32" s="685"/>
      <c r="B32" s="688">
        <v>45800</v>
      </c>
      <c r="C32" s="686">
        <v>45801</v>
      </c>
      <c r="D32" s="722">
        <v>0.33333333333333331</v>
      </c>
      <c r="E32" s="722" t="s">
        <v>17</v>
      </c>
      <c r="F32" s="48"/>
      <c r="G32" s="66"/>
      <c r="H32" s="296">
        <v>2</v>
      </c>
      <c r="I32" s="49"/>
      <c r="J32" s="30"/>
      <c r="K32" s="30"/>
    </row>
    <row r="33" spans="1:11" x14ac:dyDescent="0.2">
      <c r="A33" s="685"/>
      <c r="B33" s="688">
        <v>45803</v>
      </c>
      <c r="C33" s="686">
        <v>45803</v>
      </c>
      <c r="D33" s="722">
        <v>0.33333333333333331</v>
      </c>
      <c r="E33" s="722" t="s">
        <v>17</v>
      </c>
      <c r="F33" s="48"/>
      <c r="G33" s="66"/>
      <c r="H33" s="296">
        <v>1</v>
      </c>
      <c r="I33" s="49"/>
      <c r="J33" s="30"/>
      <c r="K33" s="30"/>
    </row>
    <row r="34" spans="1:11" x14ac:dyDescent="0.2">
      <c r="A34" s="685"/>
      <c r="B34" s="688">
        <v>45794</v>
      </c>
      <c r="C34" s="686">
        <v>45794</v>
      </c>
      <c r="D34" s="687">
        <v>0.54166666666666663</v>
      </c>
      <c r="E34" s="687">
        <v>0.33333333333333331</v>
      </c>
      <c r="F34" s="48"/>
      <c r="G34" s="66"/>
      <c r="H34" s="296">
        <v>0.5</v>
      </c>
      <c r="I34" s="49"/>
      <c r="J34" s="30"/>
      <c r="K34" s="30"/>
    </row>
    <row r="35" spans="1:11" x14ac:dyDescent="0.2">
      <c r="A35" s="55"/>
      <c r="B35" s="58">
        <v>45835</v>
      </c>
      <c r="C35" s="56">
        <v>45835</v>
      </c>
      <c r="D35" s="57">
        <v>0.33333333333333331</v>
      </c>
      <c r="E35" s="57">
        <v>0.33333333333333331</v>
      </c>
      <c r="F35" s="48"/>
      <c r="G35" s="66"/>
      <c r="H35" s="296">
        <v>1</v>
      </c>
      <c r="I35" s="49"/>
      <c r="J35" s="30"/>
      <c r="K35" s="30"/>
    </row>
    <row r="36" spans="1:11" x14ac:dyDescent="0.2">
      <c r="A36" s="55"/>
      <c r="B36" s="58">
        <v>45859</v>
      </c>
      <c r="C36" s="56">
        <v>45859</v>
      </c>
      <c r="D36" s="57">
        <v>0.33333333333333331</v>
      </c>
      <c r="E36" s="57">
        <v>0.33333333333333331</v>
      </c>
      <c r="F36" s="48"/>
      <c r="G36" s="66"/>
      <c r="H36" s="296">
        <v>1</v>
      </c>
      <c r="I36" s="49"/>
      <c r="J36" s="30"/>
      <c r="K36" s="30"/>
    </row>
    <row r="37" spans="1:11" x14ac:dyDescent="0.2">
      <c r="A37" s="55"/>
      <c r="B37" s="58">
        <v>45882</v>
      </c>
      <c r="C37" s="56">
        <v>45883</v>
      </c>
      <c r="D37" s="57">
        <v>0.33333333333333331</v>
      </c>
      <c r="E37" s="57">
        <v>0.33333333333333331</v>
      </c>
      <c r="F37" s="48"/>
      <c r="G37" s="66"/>
      <c r="H37" s="296">
        <v>1</v>
      </c>
      <c r="I37" s="49"/>
      <c r="J37" s="30"/>
      <c r="K37" s="30"/>
    </row>
    <row r="38" spans="1:11" s="653" customFormat="1" x14ac:dyDescent="0.2">
      <c r="A38" s="685"/>
      <c r="B38" s="688">
        <v>45883</v>
      </c>
      <c r="C38" s="686">
        <v>45887</v>
      </c>
      <c r="D38" s="687">
        <v>0.33333333333333331</v>
      </c>
      <c r="E38" s="687">
        <v>0.33333333333333331</v>
      </c>
      <c r="F38" s="683"/>
      <c r="G38" s="691"/>
      <c r="H38" s="296">
        <v>3</v>
      </c>
      <c r="I38" s="684"/>
      <c r="J38" s="670"/>
      <c r="K38" s="670"/>
    </row>
    <row r="39" spans="1:11" s="653" customFormat="1" x14ac:dyDescent="0.2">
      <c r="A39" s="685"/>
      <c r="B39" s="688">
        <v>45951</v>
      </c>
      <c r="C39" s="686">
        <v>45952</v>
      </c>
      <c r="D39" s="687"/>
      <c r="E39" s="687"/>
      <c r="F39" s="683"/>
      <c r="G39" s="691"/>
      <c r="H39" s="296">
        <v>1</v>
      </c>
      <c r="I39" s="684"/>
      <c r="J39" s="670"/>
      <c r="K39" s="670"/>
    </row>
    <row r="40" spans="1:11" s="653" customFormat="1" x14ac:dyDescent="0.2">
      <c r="A40" s="685"/>
      <c r="B40" s="688">
        <v>45965</v>
      </c>
      <c r="C40" s="686">
        <v>45966</v>
      </c>
      <c r="D40" s="687"/>
      <c r="E40" s="687"/>
      <c r="F40" s="683"/>
      <c r="G40" s="691"/>
      <c r="H40" s="296">
        <v>1</v>
      </c>
      <c r="I40" s="684"/>
      <c r="J40" s="670"/>
      <c r="K40" s="670"/>
    </row>
    <row r="41" spans="1:11" s="653" customFormat="1" x14ac:dyDescent="0.2">
      <c r="A41" s="685"/>
      <c r="B41" s="688">
        <v>45985</v>
      </c>
      <c r="C41" s="686">
        <v>46006</v>
      </c>
      <c r="D41" s="687"/>
      <c r="E41" s="687"/>
      <c r="F41" s="683"/>
      <c r="G41" s="691"/>
      <c r="H41" s="296">
        <v>18</v>
      </c>
      <c r="I41" s="684"/>
      <c r="J41" s="670"/>
      <c r="K41" s="670"/>
    </row>
    <row r="42" spans="1:11" s="653" customFormat="1" x14ac:dyDescent="0.2">
      <c r="A42" s="685"/>
      <c r="B42" s="688">
        <v>46021</v>
      </c>
      <c r="C42" s="686">
        <v>46022</v>
      </c>
      <c r="D42" s="687"/>
      <c r="E42" s="687"/>
      <c r="F42" s="683"/>
      <c r="G42" s="691"/>
      <c r="H42" s="296">
        <v>1</v>
      </c>
      <c r="I42" s="684"/>
      <c r="J42" s="670"/>
      <c r="K42" s="670"/>
    </row>
    <row r="43" spans="1:11" s="653" customFormat="1" x14ac:dyDescent="0.2">
      <c r="A43" s="685"/>
      <c r="B43" s="688">
        <v>46042</v>
      </c>
      <c r="C43" s="686">
        <v>46043</v>
      </c>
      <c r="D43" s="687"/>
      <c r="E43" s="687"/>
      <c r="F43" s="683"/>
      <c r="G43" s="691"/>
      <c r="H43" s="296">
        <v>1</v>
      </c>
      <c r="I43" s="684"/>
      <c r="J43" s="670"/>
      <c r="K43" s="670"/>
    </row>
    <row r="44" spans="1:11" s="653" customFormat="1" x14ac:dyDescent="0.2">
      <c r="A44" s="685"/>
      <c r="B44" s="688">
        <v>46048</v>
      </c>
      <c r="C44" s="686">
        <v>46069</v>
      </c>
      <c r="D44" s="687"/>
      <c r="E44" s="687"/>
      <c r="F44" s="683"/>
      <c r="G44" s="691"/>
      <c r="H44" s="296">
        <v>18</v>
      </c>
      <c r="I44" s="684"/>
      <c r="J44" s="670"/>
      <c r="K44" s="670"/>
    </row>
    <row r="45" spans="1:11" s="653" customFormat="1" x14ac:dyDescent="0.2">
      <c r="A45" s="685"/>
      <c r="B45" s="688">
        <v>46104</v>
      </c>
      <c r="C45" s="686">
        <v>46105</v>
      </c>
      <c r="D45" s="687"/>
      <c r="E45" s="687"/>
      <c r="F45" s="683"/>
      <c r="G45" s="691"/>
      <c r="H45" s="296">
        <v>1</v>
      </c>
      <c r="I45" s="684"/>
      <c r="J45" s="670"/>
      <c r="K45" s="670"/>
    </row>
    <row r="46" spans="1:11" s="653" customFormat="1" x14ac:dyDescent="0.2">
      <c r="A46" s="685"/>
      <c r="B46" s="1167" t="s">
        <v>987</v>
      </c>
      <c r="C46" s="1168"/>
      <c r="D46" s="1043"/>
      <c r="E46" s="1043"/>
      <c r="F46" s="1044"/>
      <c r="G46" s="802"/>
      <c r="H46" s="802">
        <v>-3</v>
      </c>
      <c r="I46" s="684"/>
      <c r="J46" s="670"/>
      <c r="K46" s="670"/>
    </row>
    <row r="47" spans="1:11" s="653" customFormat="1" x14ac:dyDescent="0.2">
      <c r="A47" s="685"/>
      <c r="B47" s="688"/>
      <c r="C47" s="686"/>
      <c r="D47" s="687"/>
      <c r="E47" s="687"/>
      <c r="F47" s="683"/>
      <c r="G47" s="691"/>
      <c r="H47" s="691"/>
      <c r="I47" s="684"/>
      <c r="J47" s="670"/>
      <c r="K47" s="670"/>
    </row>
    <row r="48" spans="1:11" s="653" customFormat="1" x14ac:dyDescent="0.2">
      <c r="A48" s="685"/>
      <c r="B48" s="688"/>
      <c r="C48" s="686"/>
      <c r="D48" s="687"/>
      <c r="E48" s="687"/>
      <c r="F48" s="683"/>
      <c r="G48" s="691"/>
      <c r="H48" s="691"/>
      <c r="I48" s="684"/>
      <c r="J48" s="670"/>
      <c r="K48" s="670"/>
    </row>
    <row r="49" spans="1:11" s="653" customFormat="1" x14ac:dyDescent="0.2">
      <c r="A49" s="685"/>
      <c r="B49" s="688"/>
      <c r="C49" s="686"/>
      <c r="D49" s="687"/>
      <c r="E49" s="687"/>
      <c r="F49" s="683"/>
      <c r="G49" s="691"/>
      <c r="H49" s="691"/>
      <c r="I49" s="684"/>
      <c r="J49" s="670"/>
      <c r="K49" s="670"/>
    </row>
    <row r="50" spans="1:11" x14ac:dyDescent="0.2">
      <c r="A50" s="55"/>
      <c r="B50" s="58"/>
      <c r="C50" s="56"/>
      <c r="D50" s="57"/>
      <c r="E50" s="57"/>
      <c r="F50" s="48"/>
      <c r="G50" s="66"/>
      <c r="H50" s="66"/>
      <c r="I50" s="49"/>
      <c r="J50" s="30"/>
      <c r="K50" s="30"/>
    </row>
    <row r="51" spans="1:11" x14ac:dyDescent="0.2">
      <c r="A51" s="72"/>
      <c r="B51" s="73"/>
      <c r="C51" s="74"/>
      <c r="D51" s="75"/>
      <c r="E51" s="75"/>
      <c r="F51" s="76" t="s">
        <v>123</v>
      </c>
      <c r="G51" s="76">
        <f>SUM(G5:G50)</f>
        <v>120</v>
      </c>
      <c r="H51" s="76">
        <f>SUM(H7:H50)</f>
        <v>134.5</v>
      </c>
      <c r="I51" s="61"/>
      <c r="J51" s="30"/>
      <c r="K51" s="30"/>
    </row>
    <row r="52" spans="1:11" x14ac:dyDescent="0.2">
      <c r="A52" s="30"/>
      <c r="B52" s="30"/>
      <c r="C52" s="30"/>
      <c r="D52" s="62"/>
      <c r="E52" s="62"/>
      <c r="F52" s="62"/>
      <c r="G52" s="63"/>
      <c r="H52" s="63"/>
      <c r="I52" s="63"/>
      <c r="J52" s="30"/>
      <c r="K52" s="30"/>
    </row>
    <row r="53" spans="1:11" ht="14.25" x14ac:dyDescent="0.2">
      <c r="A53" s="30"/>
      <c r="B53" s="30"/>
      <c r="C53" s="30"/>
      <c r="D53" s="62"/>
      <c r="E53" s="62"/>
      <c r="F53" s="1153" t="s">
        <v>8</v>
      </c>
      <c r="G53" s="1154"/>
      <c r="H53" s="109">
        <f>G51-H51</f>
        <v>-14.5</v>
      </c>
      <c r="I53" s="63"/>
      <c r="J53" s="30"/>
      <c r="K53" s="30"/>
    </row>
  </sheetData>
  <sortState ref="B8:H14">
    <sortCondition ref="B8"/>
  </sortState>
  <mergeCells count="4">
    <mergeCell ref="J6:K6"/>
    <mergeCell ref="F53:G53"/>
    <mergeCell ref="C1:H5"/>
    <mergeCell ref="B46:C46"/>
  </mergeCells>
  <hyperlinks>
    <hyperlink ref="J6:K6" location="'ANA SAYFA'!A1" display="AnaSayfa"/>
  </hyperlinks>
  <pageMargins left="0.57999999999999996" right="0.13" top="0.12" bottom="0.12" header="0.12" footer="0.12"/>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6"/>
  <sheetViews>
    <sheetView zoomScaleNormal="100" workbookViewId="0">
      <pane ySplit="6" topLeftCell="A7" activePane="bottomLeft" state="frozen"/>
      <selection pane="bottomLeft" activeCell="J1" sqref="J1:K3"/>
    </sheetView>
  </sheetViews>
  <sheetFormatPr defaultColWidth="9.140625" defaultRowHeight="11.25" x14ac:dyDescent="0.2"/>
  <cols>
    <col min="1" max="1" width="18.140625" style="120" customWidth="1"/>
    <col min="2" max="2" width="25.85546875" style="120" bestFit="1" customWidth="1"/>
    <col min="3" max="3" width="26.140625" style="120" bestFit="1" customWidth="1"/>
    <col min="4" max="5" width="8.7109375" style="120" customWidth="1"/>
    <col min="6" max="6" width="20.7109375" style="120" bestFit="1" customWidth="1"/>
    <col min="7" max="7" width="14" style="120" customWidth="1"/>
    <col min="8" max="8" width="14.42578125" style="120" customWidth="1"/>
    <col min="9" max="9" width="3.7109375" style="120" customWidth="1"/>
    <col min="10" max="16384" width="9.140625" style="120"/>
  </cols>
  <sheetData>
    <row r="1" spans="1:11" ht="14.25" customHeight="1" x14ac:dyDescent="0.2">
      <c r="A1" s="135" t="s">
        <v>135</v>
      </c>
      <c r="B1" s="185" t="str">
        <f>'ANA SAYFA'!B9</f>
        <v>DOĞAN NESANIR</v>
      </c>
      <c r="C1" s="1166" t="s">
        <v>136</v>
      </c>
      <c r="D1" s="1166"/>
      <c r="E1" s="1166"/>
      <c r="F1" s="1166"/>
      <c r="G1" s="1166"/>
      <c r="H1" s="1166"/>
      <c r="I1" s="119"/>
      <c r="J1" s="1171" t="s">
        <v>5</v>
      </c>
      <c r="K1" s="1171"/>
    </row>
    <row r="2" spans="1:11" ht="14.25" customHeight="1" x14ac:dyDescent="0.2">
      <c r="A2" s="135" t="s">
        <v>137</v>
      </c>
      <c r="B2" s="186">
        <f>'ANA SAYFA'!D9</f>
        <v>19895542946</v>
      </c>
      <c r="C2" s="1166"/>
      <c r="D2" s="1166"/>
      <c r="E2" s="1166"/>
      <c r="F2" s="1166"/>
      <c r="G2" s="1166"/>
      <c r="H2" s="1166"/>
      <c r="I2" s="119"/>
      <c r="J2" s="1172"/>
      <c r="K2" s="1172"/>
    </row>
    <row r="3" spans="1:11" ht="14.25" customHeight="1" x14ac:dyDescent="0.2">
      <c r="A3" s="135" t="s">
        <v>131</v>
      </c>
      <c r="B3" s="187" t="str">
        <f>'ANA SAYFA'!C9</f>
        <v xml:space="preserve">EKSKAVATÖR OPERATÖR </v>
      </c>
      <c r="C3" s="1166"/>
      <c r="D3" s="1166"/>
      <c r="E3" s="1166"/>
      <c r="F3" s="1166"/>
      <c r="G3" s="1166"/>
      <c r="H3" s="1166"/>
      <c r="I3" s="119"/>
      <c r="J3" s="1172"/>
      <c r="K3" s="1172"/>
    </row>
    <row r="4" spans="1:11" ht="14.25" customHeight="1" x14ac:dyDescent="0.2">
      <c r="A4" s="135" t="s">
        <v>120</v>
      </c>
      <c r="B4" s="136">
        <f>'ANA SAYFA'!E9</f>
        <v>44372</v>
      </c>
      <c r="C4" s="1166"/>
      <c r="D4" s="1166"/>
      <c r="E4" s="1166"/>
      <c r="F4" s="1166"/>
      <c r="G4" s="1166"/>
      <c r="H4" s="1166"/>
      <c r="I4" s="119"/>
      <c r="J4" s="33"/>
      <c r="K4" s="33"/>
    </row>
    <row r="5" spans="1:11" ht="14.25" customHeight="1" x14ac:dyDescent="0.2">
      <c r="A5" s="135" t="s">
        <v>130</v>
      </c>
      <c r="B5" s="136">
        <f>'ANA SAYFA'!F9</f>
        <v>25692</v>
      </c>
      <c r="C5" s="1166"/>
      <c r="D5" s="1166"/>
      <c r="E5" s="1166"/>
      <c r="F5" s="1166"/>
      <c r="G5" s="1166"/>
      <c r="H5" s="1166"/>
      <c r="I5" s="119"/>
    </row>
    <row r="6" spans="1:11" ht="36" customHeight="1" x14ac:dyDescent="0.2">
      <c r="A6" s="69" t="s">
        <v>0</v>
      </c>
      <c r="B6" s="70" t="s">
        <v>1</v>
      </c>
      <c r="C6" s="69" t="s">
        <v>2</v>
      </c>
      <c r="D6" s="71" t="s">
        <v>133</v>
      </c>
      <c r="E6" s="71" t="s">
        <v>4</v>
      </c>
      <c r="F6" s="71" t="s">
        <v>7</v>
      </c>
      <c r="G6" s="71" t="s">
        <v>6</v>
      </c>
      <c r="H6" s="874" t="s">
        <v>16</v>
      </c>
      <c r="I6" s="34"/>
    </row>
    <row r="7" spans="1:11" ht="14.25" customHeight="1" x14ac:dyDescent="0.2">
      <c r="A7" s="121"/>
      <c r="B7" s="36" t="s">
        <v>183</v>
      </c>
      <c r="C7" s="37" t="s">
        <v>184</v>
      </c>
      <c r="D7" s="38">
        <v>0.33333333333333331</v>
      </c>
      <c r="E7" s="38">
        <v>0.33333333333333331</v>
      </c>
      <c r="F7" s="169" t="s">
        <v>362</v>
      </c>
      <c r="G7" s="123">
        <v>20</v>
      </c>
      <c r="H7" s="715">
        <v>2</v>
      </c>
      <c r="I7" s="171"/>
    </row>
    <row r="8" spans="1:11" ht="14.25" customHeight="1" x14ac:dyDescent="0.2">
      <c r="A8" s="121"/>
      <c r="B8" s="36" t="s">
        <v>185</v>
      </c>
      <c r="C8" s="37">
        <v>44816</v>
      </c>
      <c r="D8" s="38">
        <v>0.33333333333333331</v>
      </c>
      <c r="E8" s="38">
        <v>0.33333333333333331</v>
      </c>
      <c r="F8" s="169" t="s">
        <v>430</v>
      </c>
      <c r="G8" s="123">
        <v>20</v>
      </c>
      <c r="H8" s="715">
        <v>2</v>
      </c>
      <c r="I8" s="171"/>
    </row>
    <row r="9" spans="1:11" ht="14.25" customHeight="1" x14ac:dyDescent="0.2">
      <c r="A9" s="128"/>
      <c r="B9" s="36">
        <v>45051</v>
      </c>
      <c r="C9" s="129">
        <v>45052</v>
      </c>
      <c r="D9" s="130">
        <v>0.33333333333333331</v>
      </c>
      <c r="E9" s="130">
        <v>0.33333333333333331</v>
      </c>
      <c r="F9" s="169" t="s">
        <v>571</v>
      </c>
      <c r="G9" s="123">
        <v>20</v>
      </c>
      <c r="H9" s="715">
        <v>1</v>
      </c>
      <c r="I9" s="171"/>
    </row>
    <row r="10" spans="1:11" ht="14.25" customHeight="1" x14ac:dyDescent="0.2">
      <c r="A10" s="128"/>
      <c r="B10" s="172">
        <v>45209</v>
      </c>
      <c r="C10" s="173">
        <v>45213</v>
      </c>
      <c r="D10" s="130">
        <v>0.33333333333333331</v>
      </c>
      <c r="E10" s="130">
        <v>0.33333333333333331</v>
      </c>
      <c r="F10" s="736" t="s">
        <v>894</v>
      </c>
      <c r="G10" s="123">
        <v>20</v>
      </c>
      <c r="H10" s="715">
        <v>4</v>
      </c>
      <c r="I10" s="171"/>
    </row>
    <row r="11" spans="1:11" ht="14.25" customHeight="1" x14ac:dyDescent="0.2">
      <c r="A11" s="125"/>
      <c r="B11" s="172">
        <v>45254</v>
      </c>
      <c r="C11" s="173">
        <v>45257</v>
      </c>
      <c r="D11" s="130">
        <v>0.33333333333333331</v>
      </c>
      <c r="E11" s="130">
        <v>0.33333333333333331</v>
      </c>
      <c r="F11" s="127"/>
      <c r="G11" s="127"/>
      <c r="H11" s="715">
        <v>2</v>
      </c>
      <c r="I11" s="171"/>
    </row>
    <row r="12" spans="1:11" ht="14.25" customHeight="1" x14ac:dyDescent="0.2">
      <c r="A12" s="131"/>
      <c r="B12" s="172">
        <v>45453</v>
      </c>
      <c r="C12" s="173">
        <v>45462</v>
      </c>
      <c r="D12" s="130">
        <v>0.33333333333333331</v>
      </c>
      <c r="E12" s="130">
        <v>0.33333333333333331</v>
      </c>
      <c r="F12" s="127"/>
      <c r="G12" s="127"/>
      <c r="H12" s="715">
        <v>5</v>
      </c>
      <c r="I12" s="171"/>
    </row>
    <row r="13" spans="1:11" ht="14.25" customHeight="1" x14ac:dyDescent="0.2">
      <c r="A13" s="174"/>
      <c r="B13" s="172">
        <v>3</v>
      </c>
      <c r="C13" s="173">
        <v>45554</v>
      </c>
      <c r="D13" s="130">
        <v>0.33333333333333331</v>
      </c>
      <c r="E13" s="130">
        <v>0.33333333333333331</v>
      </c>
      <c r="F13" s="127"/>
      <c r="G13" s="127"/>
      <c r="H13" s="233">
        <v>15</v>
      </c>
      <c r="I13" s="171"/>
    </row>
    <row r="14" spans="1:11" ht="14.25" customHeight="1" x14ac:dyDescent="0.2">
      <c r="A14" s="174"/>
      <c r="B14" s="172">
        <v>45593</v>
      </c>
      <c r="C14" s="173">
        <v>45593</v>
      </c>
      <c r="D14" s="130">
        <v>0.33333333333333331</v>
      </c>
      <c r="E14" s="130">
        <v>0.33333333333333331</v>
      </c>
      <c r="F14" s="127"/>
      <c r="G14" s="127"/>
      <c r="H14" s="233">
        <v>1</v>
      </c>
      <c r="I14" s="171"/>
    </row>
    <row r="15" spans="1:11" ht="14.25" customHeight="1" x14ac:dyDescent="0.2">
      <c r="A15" s="125"/>
      <c r="B15" s="36">
        <v>45744</v>
      </c>
      <c r="C15" s="37">
        <v>45744</v>
      </c>
      <c r="D15" s="712">
        <v>0.5</v>
      </c>
      <c r="E15" s="712">
        <v>0.33333333333333331</v>
      </c>
      <c r="F15" s="127"/>
      <c r="G15" s="127"/>
      <c r="H15" s="233">
        <v>0.5</v>
      </c>
      <c r="I15" s="171"/>
    </row>
    <row r="16" spans="1:11" ht="14.25" customHeight="1" x14ac:dyDescent="0.2">
      <c r="A16" s="125"/>
      <c r="B16" s="36">
        <v>45792</v>
      </c>
      <c r="C16" s="37">
        <v>45792</v>
      </c>
      <c r="D16" s="38">
        <v>0.33333333333333331</v>
      </c>
      <c r="E16" s="38">
        <v>0.33333333333333331</v>
      </c>
      <c r="F16" s="127"/>
      <c r="G16" s="127"/>
      <c r="H16" s="233">
        <v>1</v>
      </c>
      <c r="I16" s="171"/>
    </row>
    <row r="17" spans="1:11" ht="14.25" customHeight="1" x14ac:dyDescent="0.2">
      <c r="A17" s="125"/>
      <c r="B17" s="36">
        <v>45936</v>
      </c>
      <c r="C17" s="37">
        <v>45943</v>
      </c>
      <c r="D17" s="676">
        <v>0.33333333333333331</v>
      </c>
      <c r="E17" s="676">
        <v>0.33333333333333331</v>
      </c>
      <c r="F17" s="127"/>
      <c r="G17" s="127"/>
      <c r="H17" s="233">
        <v>6</v>
      </c>
      <c r="I17" s="171"/>
    </row>
    <row r="18" spans="1:11" ht="14.25" customHeight="1" x14ac:dyDescent="0.2">
      <c r="A18" s="125"/>
      <c r="B18" s="36">
        <v>46051</v>
      </c>
      <c r="C18" s="37">
        <v>46052</v>
      </c>
      <c r="D18" s="38"/>
      <c r="E18" s="38"/>
      <c r="F18" s="176"/>
      <c r="G18" s="127"/>
      <c r="H18" s="233">
        <v>1</v>
      </c>
      <c r="I18" s="171"/>
      <c r="J18" s="33"/>
      <c r="K18" s="33"/>
    </row>
    <row r="19" spans="1:11" ht="14.25" customHeight="1" x14ac:dyDescent="0.2">
      <c r="A19" s="125"/>
      <c r="B19" s="36">
        <v>46107</v>
      </c>
      <c r="C19" s="37">
        <v>46108</v>
      </c>
      <c r="D19" s="38"/>
      <c r="E19" s="38"/>
      <c r="F19" s="176"/>
      <c r="G19" s="123"/>
      <c r="H19" s="233">
        <v>1</v>
      </c>
      <c r="I19" s="177"/>
      <c r="J19" s="33"/>
      <c r="K19" s="33"/>
    </row>
    <row r="20" spans="1:11" ht="14.25" customHeight="1" x14ac:dyDescent="0.2">
      <c r="A20" s="125"/>
      <c r="B20" s="36">
        <v>46165</v>
      </c>
      <c r="C20" s="37">
        <v>46175</v>
      </c>
      <c r="D20" s="38"/>
      <c r="E20" s="38"/>
      <c r="F20" s="176"/>
      <c r="G20" s="123"/>
      <c r="H20" s="233">
        <v>3</v>
      </c>
      <c r="I20" s="177"/>
      <c r="J20" s="33"/>
      <c r="K20" s="33"/>
    </row>
    <row r="21" spans="1:11" ht="14.25" customHeight="1" x14ac:dyDescent="0.2">
      <c r="A21" s="125"/>
      <c r="B21" s="36"/>
      <c r="C21" s="37"/>
      <c r="D21" s="38"/>
      <c r="E21" s="38"/>
      <c r="F21" s="78"/>
      <c r="G21" s="123"/>
      <c r="H21" s="233"/>
      <c r="I21" s="40"/>
      <c r="J21" s="33"/>
      <c r="K21" s="33"/>
    </row>
    <row r="22" spans="1:11" ht="14.25" customHeight="1" x14ac:dyDescent="0.2">
      <c r="A22" s="125"/>
      <c r="B22" s="36"/>
      <c r="C22" s="37"/>
      <c r="D22" s="38"/>
      <c r="E22" s="38"/>
      <c r="F22" s="78"/>
      <c r="G22" s="123"/>
      <c r="H22" s="233"/>
      <c r="I22" s="40"/>
      <c r="J22" s="33"/>
      <c r="K22" s="33"/>
    </row>
    <row r="23" spans="1:11" ht="14.25" customHeight="1" x14ac:dyDescent="0.2">
      <c r="A23" s="125"/>
      <c r="B23" s="36"/>
      <c r="C23" s="37"/>
      <c r="D23" s="38"/>
      <c r="E23" s="38"/>
      <c r="F23" s="78"/>
      <c r="G23" s="123"/>
      <c r="H23" s="233"/>
      <c r="I23" s="40"/>
      <c r="J23" s="124"/>
      <c r="K23" s="124"/>
    </row>
    <row r="24" spans="1:11" ht="14.25" customHeight="1" x14ac:dyDescent="0.2">
      <c r="A24" s="174"/>
      <c r="B24" s="172"/>
      <c r="C24" s="173"/>
      <c r="D24" s="175"/>
      <c r="E24" s="175"/>
      <c r="F24" s="127"/>
      <c r="G24" s="123"/>
      <c r="H24" s="715"/>
      <c r="I24" s="171"/>
      <c r="J24" s="33"/>
      <c r="K24" s="33"/>
    </row>
    <row r="25" spans="1:11" ht="14.25" customHeight="1" x14ac:dyDescent="0.2">
      <c r="A25" s="174"/>
      <c r="B25" s="172"/>
      <c r="C25" s="173"/>
      <c r="D25" s="175"/>
      <c r="E25" s="175"/>
      <c r="F25" s="127"/>
      <c r="G25" s="123"/>
      <c r="H25" s="715"/>
      <c r="I25" s="171"/>
      <c r="J25" s="33"/>
      <c r="K25" s="33"/>
    </row>
    <row r="26" spans="1:11" ht="14.25" customHeight="1" x14ac:dyDescent="0.2">
      <c r="A26" s="125"/>
      <c r="B26" s="36"/>
      <c r="C26" s="37"/>
      <c r="D26" s="38"/>
      <c r="E26" s="38"/>
      <c r="F26" s="127"/>
      <c r="G26" s="127"/>
      <c r="H26" s="233"/>
      <c r="I26" s="171"/>
      <c r="J26" s="33"/>
      <c r="K26" s="33"/>
    </row>
    <row r="27" spans="1:11" ht="14.25" customHeight="1" x14ac:dyDescent="0.2">
      <c r="A27" s="125"/>
      <c r="B27" s="36"/>
      <c r="C27" s="37"/>
      <c r="D27" s="38"/>
      <c r="E27" s="38"/>
      <c r="F27" s="127"/>
      <c r="G27" s="127"/>
      <c r="H27" s="233"/>
      <c r="I27" s="171"/>
      <c r="J27" s="33"/>
      <c r="K27" s="33"/>
    </row>
    <row r="28" spans="1:11" ht="12.75" customHeight="1" x14ac:dyDescent="0.2">
      <c r="A28" s="178"/>
      <c r="B28" s="179"/>
      <c r="C28" s="180"/>
      <c r="D28" s="181"/>
      <c r="E28" s="181"/>
      <c r="F28" s="132" t="s">
        <v>123</v>
      </c>
      <c r="G28" s="132">
        <f>SUM(G7:G27)</f>
        <v>80</v>
      </c>
      <c r="H28" s="182">
        <f>SUM(H7:H27)</f>
        <v>44.5</v>
      </c>
      <c r="I28" s="183"/>
      <c r="J28" s="33"/>
      <c r="K28" s="33"/>
    </row>
    <row r="29" spans="1:11" ht="12.75" customHeight="1" x14ac:dyDescent="0.2">
      <c r="A29" s="33"/>
      <c r="B29" s="33"/>
      <c r="C29" s="33"/>
      <c r="D29" s="33"/>
      <c r="E29" s="33"/>
      <c r="F29" s="33"/>
      <c r="G29" s="133"/>
      <c r="H29" s="875"/>
      <c r="I29" s="133"/>
      <c r="J29" s="33"/>
      <c r="K29" s="33"/>
    </row>
    <row r="30" spans="1:11" ht="12.75" customHeight="1" x14ac:dyDescent="0.2">
      <c r="A30" s="33"/>
      <c r="B30" s="33"/>
      <c r="C30" s="33"/>
      <c r="D30" s="33"/>
      <c r="E30" s="33"/>
      <c r="F30" s="1169" t="s">
        <v>8</v>
      </c>
      <c r="G30" s="1170"/>
      <c r="H30" s="715">
        <f>G28-H28</f>
        <v>35.5</v>
      </c>
      <c r="I30" s="133"/>
      <c r="J30" s="33"/>
      <c r="K30" s="33"/>
    </row>
    <row r="31" spans="1:11" ht="12.75" customHeight="1" x14ac:dyDescent="0.2"/>
    <row r="32" spans="1:11" ht="12.75" customHeight="1" x14ac:dyDescent="0.2"/>
    <row r="33" ht="12.75" customHeight="1" x14ac:dyDescent="0.2"/>
    <row r="34" ht="12.75" customHeight="1" x14ac:dyDescent="0.2"/>
    <row r="35" ht="12.75" customHeight="1" x14ac:dyDescent="0.2"/>
    <row r="36" ht="12.75" customHeight="1" x14ac:dyDescent="0.2"/>
  </sheetData>
  <mergeCells count="3">
    <mergeCell ref="F30:G30"/>
    <mergeCell ref="C1:H5"/>
    <mergeCell ref="J1:K3"/>
  </mergeCells>
  <hyperlinks>
    <hyperlink ref="J6:K6" location="'ANA SAYFA'!A1" display="AnaSayfa"/>
    <hyperlink ref="J1:K3" location="'ANA SAYFA'!A1" display="Ana Sayfa"/>
  </hyperlinks>
  <pageMargins left="0.7" right="0.17" top="0.3" bottom="0.75" header="0.3" footer="0.3"/>
  <pageSetup paperSize="9" scale="67"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6"/>
  <sheetViews>
    <sheetView zoomScaleNormal="100" workbookViewId="0">
      <selection activeCell="J1" sqref="J1:J3"/>
    </sheetView>
  </sheetViews>
  <sheetFormatPr defaultColWidth="9.140625" defaultRowHeight="11.25" x14ac:dyDescent="0.15"/>
  <cols>
    <col min="1" max="1" width="17.7109375" style="113" customWidth="1"/>
    <col min="2" max="2" width="25.28515625" style="113" bestFit="1" customWidth="1"/>
    <col min="3" max="3" width="26.5703125" style="113" bestFit="1" customWidth="1"/>
    <col min="4" max="4" width="13.140625" style="113" customWidth="1"/>
    <col min="5" max="5" width="14.7109375" style="113" customWidth="1"/>
    <col min="6" max="6" width="20.140625" style="113" bestFit="1" customWidth="1"/>
    <col min="7" max="7" width="14.42578125" style="113" bestFit="1" customWidth="1"/>
    <col min="8" max="8" width="12.7109375" style="113" bestFit="1" customWidth="1"/>
    <col min="9" max="9" width="3.5703125" style="113" customWidth="1"/>
    <col min="10" max="10" width="14.28515625" style="113" customWidth="1"/>
    <col min="11" max="16384" width="9.140625" style="113"/>
  </cols>
  <sheetData>
    <row r="1" spans="1:11" ht="13.5" customHeight="1" x14ac:dyDescent="0.25">
      <c r="A1" s="29" t="s">
        <v>135</v>
      </c>
      <c r="B1" s="149" t="str">
        <f>'ANA SAYFA'!B10</f>
        <v>EMİN İLHAN</v>
      </c>
      <c r="C1" s="1166" t="s">
        <v>136</v>
      </c>
      <c r="D1" s="1166"/>
      <c r="E1" s="1166"/>
      <c r="F1" s="1166"/>
      <c r="G1" s="1166"/>
      <c r="H1" s="1166"/>
      <c r="I1" s="28"/>
      <c r="J1" s="1157" t="s">
        <v>712</v>
      </c>
      <c r="K1" s="631"/>
    </row>
    <row r="2" spans="1:11" ht="13.5" customHeight="1" x14ac:dyDescent="0.25">
      <c r="A2" s="29" t="s">
        <v>137</v>
      </c>
      <c r="B2" s="161">
        <f>'ANA SAYFA'!D10</f>
        <v>13235872786</v>
      </c>
      <c r="C2" s="1166"/>
      <c r="D2" s="1166"/>
      <c r="E2" s="1166"/>
      <c r="F2" s="1166"/>
      <c r="G2" s="1166"/>
      <c r="H2" s="1166"/>
      <c r="I2" s="28"/>
      <c r="J2" s="1158"/>
      <c r="K2" s="631"/>
    </row>
    <row r="3" spans="1:11" ht="13.5" customHeight="1" thickBot="1" x14ac:dyDescent="0.3">
      <c r="A3" s="29" t="s">
        <v>131</v>
      </c>
      <c r="B3" s="162" t="str">
        <f>'ANA SAYFA'!C10</f>
        <v>MADEN MÜHENDİSİ</v>
      </c>
      <c r="C3" s="1166"/>
      <c r="D3" s="1166"/>
      <c r="E3" s="1166"/>
      <c r="F3" s="1166"/>
      <c r="G3" s="1166"/>
      <c r="H3" s="1166"/>
      <c r="I3" s="28"/>
      <c r="J3" s="1159"/>
      <c r="K3" s="631"/>
    </row>
    <row r="4" spans="1:11" ht="13.5" customHeight="1" x14ac:dyDescent="0.15">
      <c r="A4" s="29" t="s">
        <v>120</v>
      </c>
      <c r="B4" s="89">
        <f>'ANA SAYFA'!E10</f>
        <v>42873</v>
      </c>
      <c r="C4" s="1166"/>
      <c r="D4" s="1166"/>
      <c r="E4" s="1166"/>
      <c r="F4" s="1166"/>
      <c r="G4" s="1166"/>
      <c r="H4" s="1166"/>
      <c r="I4" s="28"/>
      <c r="J4" s="30"/>
    </row>
    <row r="5" spans="1:11" ht="13.5" customHeight="1" x14ac:dyDescent="0.15">
      <c r="A5" s="29" t="s">
        <v>130</v>
      </c>
      <c r="B5" s="89">
        <f>'ANA SAYFA'!F10</f>
        <v>30453</v>
      </c>
      <c r="C5" s="1166"/>
      <c r="D5" s="1166"/>
      <c r="E5" s="1166"/>
      <c r="F5" s="1166"/>
      <c r="G5" s="1166"/>
      <c r="H5" s="1166"/>
      <c r="I5" s="28"/>
    </row>
    <row r="6" spans="1:11" ht="26.45" customHeight="1" x14ac:dyDescent="0.3">
      <c r="A6" s="69" t="s">
        <v>0</v>
      </c>
      <c r="B6" s="70" t="s">
        <v>1</v>
      </c>
      <c r="C6" s="69" t="s">
        <v>2</v>
      </c>
      <c r="D6" s="71" t="s">
        <v>133</v>
      </c>
      <c r="E6" s="71" t="s">
        <v>4</v>
      </c>
      <c r="F6" s="71" t="s">
        <v>7</v>
      </c>
      <c r="G6" s="71" t="s">
        <v>6</v>
      </c>
      <c r="H6" s="71" t="s">
        <v>16</v>
      </c>
      <c r="I6" s="34"/>
      <c r="J6" s="203"/>
      <c r="K6" s="203"/>
    </row>
    <row r="7" spans="1:11" ht="14.25" customHeight="1" x14ac:dyDescent="0.3">
      <c r="A7" s="35"/>
      <c r="B7" s="36" t="s">
        <v>189</v>
      </c>
      <c r="C7" s="37" t="s">
        <v>190</v>
      </c>
      <c r="D7" s="57">
        <v>0.33333333333333331</v>
      </c>
      <c r="E7" s="57">
        <v>0.33333333333333331</v>
      </c>
      <c r="F7" s="202" t="s">
        <v>365</v>
      </c>
      <c r="G7" s="123">
        <v>14</v>
      </c>
      <c r="H7" s="123">
        <v>8</v>
      </c>
      <c r="I7" s="49"/>
      <c r="J7" s="203"/>
      <c r="K7" s="203"/>
    </row>
    <row r="8" spans="1:11" ht="14.25" customHeight="1" x14ac:dyDescent="0.15">
      <c r="A8" s="35"/>
      <c r="B8" s="36">
        <v>45306</v>
      </c>
      <c r="C8" s="37">
        <v>45316</v>
      </c>
      <c r="D8" s="57">
        <v>0.33333333333333331</v>
      </c>
      <c r="E8" s="57">
        <v>0.33333333333333331</v>
      </c>
      <c r="F8" s="202" t="s">
        <v>366</v>
      </c>
      <c r="G8" s="123">
        <v>14</v>
      </c>
      <c r="H8" s="123">
        <v>9</v>
      </c>
      <c r="I8" s="49"/>
      <c r="J8" s="30"/>
    </row>
    <row r="9" spans="1:11" ht="14.25" customHeight="1" x14ac:dyDescent="0.15">
      <c r="A9" s="43"/>
      <c r="B9" s="36">
        <v>45467</v>
      </c>
      <c r="C9" s="44">
        <v>45472</v>
      </c>
      <c r="D9" s="57">
        <v>0.33333333333333331</v>
      </c>
      <c r="E9" s="57">
        <v>0.33333333333333331</v>
      </c>
      <c r="F9" s="202" t="s">
        <v>367</v>
      </c>
      <c r="G9" s="123">
        <v>14</v>
      </c>
      <c r="H9" s="123">
        <v>6</v>
      </c>
      <c r="I9" s="49"/>
      <c r="J9" s="30"/>
    </row>
    <row r="10" spans="1:11" ht="14.25" customHeight="1" x14ac:dyDescent="0.15">
      <c r="A10" s="43"/>
      <c r="B10" s="52">
        <v>45506</v>
      </c>
      <c r="C10" s="53">
        <v>45507</v>
      </c>
      <c r="D10" s="57">
        <v>0.33333333333333331</v>
      </c>
      <c r="E10" s="57">
        <v>0.33333333333333331</v>
      </c>
      <c r="F10" s="202" t="s">
        <v>368</v>
      </c>
      <c r="G10" s="123">
        <v>14</v>
      </c>
      <c r="H10" s="123">
        <v>2</v>
      </c>
      <c r="I10" s="49"/>
      <c r="J10" s="30"/>
    </row>
    <row r="11" spans="1:11" ht="14.25" customHeight="1" x14ac:dyDescent="0.15">
      <c r="A11" s="42"/>
      <c r="B11" s="52"/>
      <c r="C11" s="53"/>
      <c r="D11" s="86"/>
      <c r="E11" s="86"/>
      <c r="F11" s="202" t="s">
        <v>369</v>
      </c>
      <c r="G11" s="127">
        <v>14</v>
      </c>
      <c r="H11" s="123"/>
      <c r="I11" s="49"/>
      <c r="J11" s="30"/>
    </row>
    <row r="12" spans="1:11" ht="14.25" customHeight="1" x14ac:dyDescent="0.15">
      <c r="A12" s="47"/>
      <c r="B12" s="52"/>
      <c r="C12" s="53"/>
      <c r="D12" s="86"/>
      <c r="E12" s="86"/>
      <c r="F12" s="202" t="s">
        <v>470</v>
      </c>
      <c r="G12" s="127">
        <v>20</v>
      </c>
      <c r="H12" s="123"/>
      <c r="I12" s="49"/>
      <c r="J12" s="30"/>
    </row>
    <row r="13" spans="1:11" ht="14.25" customHeight="1" x14ac:dyDescent="0.15">
      <c r="A13" s="51"/>
      <c r="B13" s="52"/>
      <c r="C13" s="53"/>
      <c r="D13" s="54"/>
      <c r="E13" s="54"/>
      <c r="F13" s="66" t="s">
        <v>587</v>
      </c>
      <c r="G13" s="127">
        <v>20</v>
      </c>
      <c r="H13" s="127"/>
      <c r="I13" s="49"/>
      <c r="J13" s="30"/>
    </row>
    <row r="14" spans="1:11" ht="14.25" customHeight="1" x14ac:dyDescent="0.15">
      <c r="A14" s="51"/>
      <c r="B14" s="52"/>
      <c r="C14" s="53"/>
      <c r="D14" s="38"/>
      <c r="E14" s="38"/>
      <c r="F14" s="66"/>
      <c r="G14" s="127"/>
      <c r="H14" s="127"/>
      <c r="I14" s="49"/>
      <c r="J14" s="30"/>
    </row>
    <row r="15" spans="1:11" ht="14.25" customHeight="1" x14ac:dyDescent="0.15">
      <c r="A15" s="55"/>
      <c r="B15" s="58"/>
      <c r="C15" s="56"/>
      <c r="D15" s="38"/>
      <c r="E15" s="38"/>
      <c r="F15" s="66"/>
      <c r="G15" s="127"/>
      <c r="H15" s="127"/>
      <c r="I15" s="49"/>
      <c r="J15" s="30"/>
    </row>
    <row r="16" spans="1:11" ht="14.25" customHeight="1" x14ac:dyDescent="0.15">
      <c r="A16" s="55"/>
      <c r="B16" s="58"/>
      <c r="C16" s="56"/>
      <c r="D16" s="57"/>
      <c r="E16" s="57"/>
      <c r="F16" s="66"/>
      <c r="G16" s="127"/>
      <c r="H16" s="127"/>
      <c r="I16" s="49"/>
      <c r="J16" s="30"/>
    </row>
    <row r="17" spans="1:10" ht="14.25" customHeight="1" x14ac:dyDescent="0.15">
      <c r="A17" s="55"/>
      <c r="B17" s="58"/>
      <c r="C17" s="56"/>
      <c r="D17" s="57"/>
      <c r="E17" s="57"/>
      <c r="F17" s="66"/>
      <c r="G17" s="127"/>
      <c r="H17" s="127"/>
      <c r="I17" s="49"/>
      <c r="J17" s="30"/>
    </row>
    <row r="18" spans="1:10" ht="14.25" customHeight="1" x14ac:dyDescent="0.15">
      <c r="A18" s="55"/>
      <c r="B18" s="58"/>
      <c r="C18" s="56"/>
      <c r="D18" s="57"/>
      <c r="E18" s="57"/>
      <c r="F18" s="81"/>
      <c r="G18" s="127"/>
      <c r="H18" s="127"/>
      <c r="I18" s="49"/>
      <c r="J18" s="30"/>
    </row>
    <row r="19" spans="1:10" ht="14.25" customHeight="1" x14ac:dyDescent="0.15">
      <c r="A19" s="55"/>
      <c r="B19" s="58"/>
      <c r="C19" s="56"/>
      <c r="D19" s="57"/>
      <c r="E19" s="57"/>
      <c r="F19" s="81"/>
      <c r="G19" s="123"/>
      <c r="H19" s="127"/>
      <c r="I19" s="46"/>
      <c r="J19" s="30"/>
    </row>
    <row r="20" spans="1:10" ht="14.25" customHeight="1" x14ac:dyDescent="0.15">
      <c r="A20" s="55"/>
      <c r="B20" s="58"/>
      <c r="C20" s="56"/>
      <c r="D20" s="57"/>
      <c r="E20" s="57"/>
      <c r="F20" s="81"/>
      <c r="G20" s="123"/>
      <c r="H20" s="127"/>
      <c r="I20" s="46"/>
      <c r="J20" s="30"/>
    </row>
    <row r="21" spans="1:10" ht="14.25" customHeight="1" x14ac:dyDescent="0.15">
      <c r="A21" s="55"/>
      <c r="B21" s="58"/>
      <c r="C21" s="56"/>
      <c r="D21" s="57"/>
      <c r="E21" s="57"/>
      <c r="F21" s="78"/>
      <c r="G21" s="123"/>
      <c r="H21" s="127"/>
      <c r="I21" s="40"/>
      <c r="J21" s="30"/>
    </row>
    <row r="22" spans="1:10" ht="14.25" customHeight="1" x14ac:dyDescent="0.15">
      <c r="A22" s="55"/>
      <c r="B22" s="58"/>
      <c r="C22" s="56"/>
      <c r="D22" s="57"/>
      <c r="E22" s="57"/>
      <c r="F22" s="78"/>
      <c r="G22" s="123"/>
      <c r="H22" s="127"/>
      <c r="I22" s="40"/>
      <c r="J22" s="30"/>
    </row>
    <row r="23" spans="1:10" ht="14.25" customHeight="1" x14ac:dyDescent="0.15">
      <c r="A23" s="55"/>
      <c r="B23" s="58"/>
      <c r="C23" s="56"/>
      <c r="D23" s="57"/>
      <c r="E23" s="57"/>
      <c r="F23" s="78"/>
      <c r="G23" s="123"/>
      <c r="H23" s="127"/>
      <c r="I23" s="40"/>
      <c r="J23" s="41"/>
    </row>
    <row r="24" spans="1:10" ht="14.25" customHeight="1" x14ac:dyDescent="0.15">
      <c r="A24" s="51"/>
      <c r="B24" s="52"/>
      <c r="C24" s="53"/>
      <c r="D24" s="54"/>
      <c r="E24" s="54"/>
      <c r="F24" s="48"/>
      <c r="G24" s="123"/>
      <c r="H24" s="123"/>
      <c r="I24" s="49"/>
      <c r="J24" s="30"/>
    </row>
    <row r="25" spans="1:10" ht="14.25" customHeight="1" x14ac:dyDescent="0.15">
      <c r="A25" s="51"/>
      <c r="B25" s="52"/>
      <c r="C25" s="53"/>
      <c r="D25" s="54"/>
      <c r="E25" s="54"/>
      <c r="F25" s="48"/>
      <c r="G25" s="123"/>
      <c r="H25" s="123"/>
      <c r="I25" s="49"/>
      <c r="J25" s="30"/>
    </row>
    <row r="26" spans="1:10" ht="14.25" customHeight="1" x14ac:dyDescent="0.15">
      <c r="A26" s="55"/>
      <c r="B26" s="58"/>
      <c r="C26" s="56"/>
      <c r="D26" s="57"/>
      <c r="E26" s="57"/>
      <c r="F26" s="48"/>
      <c r="G26" s="127"/>
      <c r="H26" s="127"/>
      <c r="I26" s="49"/>
      <c r="J26" s="30"/>
    </row>
    <row r="27" spans="1:10" ht="14.25" customHeight="1" x14ac:dyDescent="0.15">
      <c r="A27" s="55"/>
      <c r="B27" s="58"/>
      <c r="C27" s="56"/>
      <c r="D27" s="57"/>
      <c r="E27" s="57"/>
      <c r="F27" s="48"/>
      <c r="G27" s="127"/>
      <c r="H27" s="127"/>
      <c r="I27" s="49"/>
      <c r="J27" s="30"/>
    </row>
    <row r="28" spans="1:10" ht="14.25" customHeight="1" x14ac:dyDescent="0.15">
      <c r="A28" s="55"/>
      <c r="B28" s="58"/>
      <c r="C28" s="56"/>
      <c r="D28" s="57"/>
      <c r="E28" s="57"/>
      <c r="F28" s="48"/>
      <c r="G28" s="127"/>
      <c r="H28" s="127"/>
      <c r="I28" s="49"/>
      <c r="J28" s="30"/>
    </row>
    <row r="29" spans="1:10" ht="14.25" customHeight="1" x14ac:dyDescent="0.15">
      <c r="A29" s="55"/>
      <c r="B29" s="58"/>
      <c r="C29" s="56"/>
      <c r="D29" s="57"/>
      <c r="E29" s="57"/>
      <c r="F29" s="48"/>
      <c r="G29" s="127"/>
      <c r="H29" s="127"/>
      <c r="I29" s="49"/>
      <c r="J29" s="30"/>
    </row>
    <row r="30" spans="1:10" ht="12.75" customHeight="1" x14ac:dyDescent="0.15">
      <c r="A30" s="72"/>
      <c r="B30" s="73"/>
      <c r="C30" s="74"/>
      <c r="D30" s="75"/>
      <c r="E30" s="75"/>
      <c r="F30" s="102" t="s">
        <v>123</v>
      </c>
      <c r="G30" s="132">
        <f>SUM(G5:G29)</f>
        <v>110</v>
      </c>
      <c r="H30" s="132">
        <f>SUM(H7:H29)</f>
        <v>25</v>
      </c>
      <c r="I30" s="61"/>
      <c r="J30" s="30"/>
    </row>
    <row r="31" spans="1:10" ht="12.75" customHeight="1" x14ac:dyDescent="0.15">
      <c r="A31" s="30"/>
      <c r="B31" s="30"/>
      <c r="C31" s="30"/>
      <c r="D31" s="62"/>
      <c r="E31" s="62"/>
      <c r="F31" s="62"/>
      <c r="G31" s="63"/>
      <c r="H31" s="63"/>
      <c r="I31" s="63"/>
      <c r="J31" s="30"/>
    </row>
    <row r="32" spans="1:10" ht="12.75" customHeight="1" x14ac:dyDescent="0.15">
      <c r="A32" s="30"/>
      <c r="B32" s="30"/>
      <c r="C32" s="30"/>
      <c r="D32" s="62"/>
      <c r="E32" s="62"/>
      <c r="F32" s="1173" t="s">
        <v>8</v>
      </c>
      <c r="G32" s="1174"/>
      <c r="H32" s="107">
        <f>G30-H30</f>
        <v>85</v>
      </c>
      <c r="I32" s="63"/>
      <c r="J32" s="30"/>
    </row>
    <row r="33" ht="12.75" customHeight="1" x14ac:dyDescent="0.15"/>
    <row r="34" ht="12.75" customHeight="1" x14ac:dyDescent="0.15"/>
    <row r="35" ht="12.75" customHeight="1" x14ac:dyDescent="0.15"/>
    <row r="36" ht="12.75" customHeight="1" x14ac:dyDescent="0.15"/>
  </sheetData>
  <mergeCells count="3">
    <mergeCell ref="F32:G32"/>
    <mergeCell ref="J1:J3"/>
    <mergeCell ref="C1:H5"/>
  </mergeCells>
  <hyperlinks>
    <hyperlink ref="J1:J3" location="'ANA SAYFA'!A1" display="ANA SAYFA"/>
  </hyperlinks>
  <pageMargins left="0.7" right="0.12" top="0.28999999999999998" bottom="0.75" header="0.3" footer="0.3"/>
  <pageSetup paperSize="9" scale="66" orientation="portrait" r:id="rId1"/>
  <colBreaks count="1" manualBreakCount="1">
    <brk id="8"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3"/>
  <sheetViews>
    <sheetView zoomScaleNormal="100" workbookViewId="0">
      <selection activeCell="J1" sqref="J1:J3"/>
    </sheetView>
  </sheetViews>
  <sheetFormatPr defaultColWidth="9.140625" defaultRowHeight="12.75" x14ac:dyDescent="0.2"/>
  <cols>
    <col min="1" max="1" width="18.5703125" style="82" bestFit="1" customWidth="1"/>
    <col min="2" max="2" width="27.140625" style="82" bestFit="1" customWidth="1"/>
    <col min="3" max="3" width="26.7109375" style="82" bestFit="1" customWidth="1"/>
    <col min="4" max="4" width="7.28515625" style="82" bestFit="1" customWidth="1"/>
    <col min="5" max="5" width="8.85546875" style="82" customWidth="1"/>
    <col min="6" max="6" width="20.140625" style="82" bestFit="1" customWidth="1"/>
    <col min="7" max="7" width="14.28515625" style="82" bestFit="1" customWidth="1"/>
    <col min="8" max="8" width="12.5703125" style="82" bestFit="1" customWidth="1"/>
    <col min="9" max="9" width="3.28515625" style="82" customWidth="1"/>
    <col min="10" max="10" width="13.140625" style="82" customWidth="1"/>
    <col min="11" max="16384" width="9.140625" style="82"/>
  </cols>
  <sheetData>
    <row r="1" spans="1:11" ht="14.25" customHeight="1" x14ac:dyDescent="0.2">
      <c r="A1" s="29" t="s">
        <v>135</v>
      </c>
      <c r="B1" s="149" t="str">
        <f>'ANA SAYFA'!B11</f>
        <v>MUHAMMETCAN GÜNDOĞDU</v>
      </c>
      <c r="C1" s="1166" t="s">
        <v>136</v>
      </c>
      <c r="D1" s="1166"/>
      <c r="E1" s="1166"/>
      <c r="F1" s="1166"/>
      <c r="G1" s="1166"/>
      <c r="H1" s="1166"/>
      <c r="I1" s="28"/>
      <c r="J1" s="1175" t="s">
        <v>712</v>
      </c>
      <c r="K1" s="30"/>
    </row>
    <row r="2" spans="1:11" ht="14.25" customHeight="1" x14ac:dyDescent="0.2">
      <c r="A2" s="29" t="s">
        <v>137</v>
      </c>
      <c r="B2" s="154">
        <f>'ANA SAYFA'!D11</f>
        <v>39382583696</v>
      </c>
      <c r="C2" s="1166"/>
      <c r="D2" s="1166"/>
      <c r="E2" s="1166"/>
      <c r="F2" s="1166"/>
      <c r="G2" s="1166"/>
      <c r="H2" s="1166"/>
      <c r="I2" s="28"/>
      <c r="J2" s="1176"/>
      <c r="K2" s="30"/>
    </row>
    <row r="3" spans="1:11" ht="14.25" customHeight="1" thickBot="1" x14ac:dyDescent="0.25">
      <c r="A3" s="29" t="s">
        <v>131</v>
      </c>
      <c r="B3" s="153" t="str">
        <f>'ANA SAYFA'!C11</f>
        <v xml:space="preserve">İŞ MAKİNELERİ YAĞCISI </v>
      </c>
      <c r="C3" s="1166"/>
      <c r="D3" s="1166"/>
      <c r="E3" s="1166"/>
      <c r="F3" s="1166"/>
      <c r="G3" s="1166"/>
      <c r="H3" s="1166"/>
      <c r="I3" s="28"/>
      <c r="J3" s="1177"/>
      <c r="K3" s="30"/>
    </row>
    <row r="4" spans="1:11" ht="14.25" customHeight="1" x14ac:dyDescent="0.2">
      <c r="A4" s="29" t="s">
        <v>120</v>
      </c>
      <c r="B4" s="83">
        <f>'ANA SAYFA'!E11</f>
        <v>45870</v>
      </c>
      <c r="C4" s="1166"/>
      <c r="D4" s="1166"/>
      <c r="E4" s="1166"/>
      <c r="F4" s="1166"/>
      <c r="G4" s="1166"/>
      <c r="H4" s="1166"/>
      <c r="I4" s="28"/>
      <c r="J4" s="30"/>
      <c r="K4" s="30"/>
    </row>
    <row r="5" spans="1:11" ht="14.25" customHeight="1" x14ac:dyDescent="0.2">
      <c r="A5" s="29" t="s">
        <v>130</v>
      </c>
      <c r="B5" s="83">
        <f>'ANA SAYFA'!F11</f>
        <v>39326</v>
      </c>
      <c r="C5" s="1166"/>
      <c r="D5" s="1166"/>
      <c r="E5" s="1166"/>
      <c r="F5" s="1166"/>
      <c r="G5" s="1166"/>
      <c r="H5" s="1166"/>
      <c r="I5" s="28"/>
    </row>
    <row r="6" spans="1:11" ht="31.5" x14ac:dyDescent="0.2">
      <c r="A6" s="69" t="s">
        <v>0</v>
      </c>
      <c r="B6" s="70" t="s">
        <v>1</v>
      </c>
      <c r="C6" s="69" t="s">
        <v>2</v>
      </c>
      <c r="D6" s="71" t="s">
        <v>133</v>
      </c>
      <c r="E6" s="71" t="s">
        <v>4</v>
      </c>
      <c r="F6" s="71" t="s">
        <v>7</v>
      </c>
      <c r="G6" s="71" t="s">
        <v>6</v>
      </c>
      <c r="H6" s="71" t="s">
        <v>16</v>
      </c>
      <c r="I6" s="34"/>
    </row>
    <row r="7" spans="1:11" ht="12.75" customHeight="1" x14ac:dyDescent="0.2">
      <c r="A7" s="139"/>
      <c r="B7" s="155">
        <v>46051</v>
      </c>
      <c r="C7" s="156">
        <v>46052</v>
      </c>
      <c r="D7" s="144"/>
      <c r="E7" s="144"/>
      <c r="F7" s="202"/>
      <c r="G7" s="157"/>
      <c r="H7" s="157">
        <v>1</v>
      </c>
      <c r="I7" s="49"/>
      <c r="J7" s="30" t="s">
        <v>830</v>
      </c>
      <c r="K7" s="30"/>
    </row>
    <row r="8" spans="1:11" ht="12.75" customHeight="1" x14ac:dyDescent="0.2">
      <c r="A8" s="139"/>
      <c r="B8" s="155"/>
      <c r="C8" s="156"/>
      <c r="D8" s="144"/>
      <c r="E8" s="144"/>
      <c r="F8" s="202"/>
      <c r="G8" s="157"/>
      <c r="H8" s="157"/>
      <c r="I8" s="49"/>
      <c r="J8" s="30"/>
      <c r="K8" s="30"/>
    </row>
    <row r="9" spans="1:11" ht="12.75" customHeight="1" x14ac:dyDescent="0.2">
      <c r="A9" s="139"/>
      <c r="B9" s="245"/>
      <c r="C9" s="246"/>
      <c r="D9" s="247"/>
      <c r="E9" s="247"/>
      <c r="F9" s="202"/>
      <c r="G9" s="157"/>
      <c r="H9" s="145"/>
      <c r="I9" s="49"/>
      <c r="J9" s="30"/>
      <c r="K9" s="30"/>
    </row>
    <row r="10" spans="1:11" ht="12.75" customHeight="1" x14ac:dyDescent="0.2">
      <c r="A10" s="141"/>
      <c r="B10" s="155"/>
      <c r="C10" s="155"/>
      <c r="D10" s="144"/>
      <c r="E10" s="144"/>
      <c r="F10" s="202"/>
      <c r="G10" s="157"/>
      <c r="H10" s="157"/>
      <c r="I10" s="49"/>
      <c r="J10" s="30"/>
      <c r="K10" s="30"/>
    </row>
    <row r="11" spans="1:11" ht="12.75" customHeight="1" x14ac:dyDescent="0.2">
      <c r="A11" s="141"/>
      <c r="B11" s="155"/>
      <c r="C11" s="158"/>
      <c r="D11" s="159"/>
      <c r="E11" s="159"/>
      <c r="F11" s="202"/>
      <c r="G11" s="145"/>
      <c r="H11" s="157"/>
      <c r="I11" s="49"/>
      <c r="J11" s="30"/>
      <c r="K11" s="30"/>
    </row>
    <row r="12" spans="1:11" ht="12.75" customHeight="1" x14ac:dyDescent="0.2">
      <c r="A12" s="141"/>
      <c r="B12" s="245"/>
      <c r="C12" s="246"/>
      <c r="D12" s="159"/>
      <c r="E12" s="159"/>
      <c r="F12" s="89"/>
      <c r="G12" s="157"/>
      <c r="H12" s="157"/>
      <c r="I12" s="49"/>
      <c r="J12" s="30"/>
      <c r="K12" s="30"/>
    </row>
    <row r="13" spans="1:11" ht="12.75" customHeight="1" x14ac:dyDescent="0.2">
      <c r="A13" s="141"/>
      <c r="B13" s="245"/>
      <c r="C13" s="246"/>
      <c r="D13" s="159"/>
      <c r="E13" s="159"/>
      <c r="F13" s="89"/>
      <c r="G13" s="157"/>
      <c r="H13" s="157"/>
      <c r="I13" s="49"/>
      <c r="J13" s="30"/>
      <c r="K13" s="30"/>
    </row>
    <row r="14" spans="1:11" ht="12.75" customHeight="1" x14ac:dyDescent="0.2">
      <c r="A14" s="141"/>
      <c r="B14" s="245"/>
      <c r="C14" s="246"/>
      <c r="D14" s="159"/>
      <c r="E14" s="159"/>
      <c r="F14" s="89"/>
      <c r="G14" s="157"/>
      <c r="H14" s="157"/>
      <c r="I14" s="49"/>
      <c r="J14" s="30"/>
      <c r="K14" s="30"/>
    </row>
    <row r="15" spans="1:11" ht="12.75" customHeight="1" x14ac:dyDescent="0.2">
      <c r="A15" s="160"/>
      <c r="B15" s="142"/>
      <c r="C15" s="143"/>
      <c r="D15" s="247"/>
      <c r="E15" s="247"/>
      <c r="F15" s="145"/>
      <c r="G15" s="145"/>
      <c r="H15" s="145"/>
      <c r="I15" s="49"/>
      <c r="J15" s="30"/>
      <c r="K15" s="30"/>
    </row>
    <row r="16" spans="1:11" ht="12.75" customHeight="1" x14ac:dyDescent="0.2">
      <c r="A16" s="236"/>
      <c r="B16" s="245"/>
      <c r="C16" s="246"/>
      <c r="D16" s="159"/>
      <c r="E16" s="159"/>
      <c r="F16" s="145"/>
      <c r="G16" s="145"/>
      <c r="H16" s="157"/>
      <c r="I16" s="49"/>
      <c r="J16" s="30"/>
      <c r="K16" s="30"/>
    </row>
    <row r="17" spans="1:11" ht="12.75" customHeight="1" x14ac:dyDescent="0.2">
      <c r="A17" s="236"/>
      <c r="B17" s="245"/>
      <c r="C17" s="246"/>
      <c r="D17" s="159"/>
      <c r="E17" s="159"/>
      <c r="F17" s="89"/>
      <c r="G17" s="157"/>
      <c r="H17" s="157"/>
      <c r="I17" s="49"/>
      <c r="J17" s="30"/>
      <c r="K17" s="30"/>
    </row>
    <row r="18" spans="1:11" ht="12.75" customHeight="1" x14ac:dyDescent="0.2">
      <c r="A18" s="147"/>
      <c r="B18" s="245"/>
      <c r="C18" s="246"/>
      <c r="D18" s="159"/>
      <c r="E18" s="159"/>
      <c r="F18" s="145"/>
      <c r="G18" s="145"/>
      <c r="H18" s="145"/>
      <c r="I18" s="49"/>
      <c r="J18" s="30"/>
      <c r="K18" s="30"/>
    </row>
    <row r="19" spans="1:11" ht="12.75" customHeight="1" x14ac:dyDescent="0.2">
      <c r="A19" s="147"/>
      <c r="B19" s="245"/>
      <c r="C19" s="246"/>
      <c r="D19" s="159"/>
      <c r="E19" s="159"/>
      <c r="F19" s="145"/>
      <c r="G19" s="145"/>
      <c r="H19" s="274"/>
      <c r="I19" s="49"/>
      <c r="J19" s="30"/>
      <c r="K19" s="30"/>
    </row>
    <row r="20" spans="1:11" ht="12.75" customHeight="1" x14ac:dyDescent="0.2">
      <c r="A20" s="147"/>
      <c r="B20" s="142"/>
      <c r="C20" s="143"/>
      <c r="D20" s="144"/>
      <c r="E20" s="144"/>
      <c r="F20" s="145"/>
      <c r="G20" s="145"/>
      <c r="H20" s="274"/>
      <c r="I20" s="49"/>
      <c r="J20" s="30"/>
      <c r="K20" s="30"/>
    </row>
    <row r="21" spans="1:11" ht="12.75" customHeight="1" x14ac:dyDescent="0.2">
      <c r="A21" s="147"/>
      <c r="B21" s="142"/>
      <c r="C21" s="143"/>
      <c r="D21" s="247"/>
      <c r="E21" s="247"/>
      <c r="F21" s="145"/>
      <c r="G21" s="145"/>
      <c r="H21" s="145"/>
      <c r="I21" s="49"/>
      <c r="J21" s="30"/>
      <c r="K21" s="30"/>
    </row>
    <row r="22" spans="1:11" ht="12.75" customHeight="1" x14ac:dyDescent="0.2">
      <c r="A22" s="147"/>
      <c r="B22" s="142"/>
      <c r="C22" s="143"/>
      <c r="D22" s="144"/>
      <c r="E22" s="144"/>
      <c r="F22" s="81"/>
      <c r="G22" s="106"/>
      <c r="H22" s="274"/>
      <c r="I22" s="46"/>
      <c r="J22" s="30"/>
      <c r="K22" s="30"/>
    </row>
    <row r="23" spans="1:11" ht="12.75" customHeight="1" x14ac:dyDescent="0.2">
      <c r="A23" s="147"/>
      <c r="B23" s="142"/>
      <c r="C23" s="143"/>
      <c r="D23" s="144"/>
      <c r="E23" s="144"/>
      <c r="F23" s="81"/>
      <c r="G23" s="106"/>
      <c r="H23" s="274"/>
      <c r="I23" s="46"/>
      <c r="J23" s="30"/>
      <c r="K23" s="30"/>
    </row>
    <row r="24" spans="1:11" ht="12.75" customHeight="1" x14ac:dyDescent="0.2">
      <c r="A24" s="147"/>
      <c r="B24" s="142"/>
      <c r="C24" s="143"/>
      <c r="D24" s="144"/>
      <c r="E24" s="144"/>
      <c r="F24" s="78"/>
      <c r="G24" s="106"/>
      <c r="H24" s="145"/>
      <c r="I24" s="40"/>
      <c r="J24" s="30"/>
      <c r="K24" s="30"/>
    </row>
    <row r="25" spans="1:11" ht="12.75" customHeight="1" x14ac:dyDescent="0.2">
      <c r="A25" s="147"/>
      <c r="B25" s="142"/>
      <c r="C25" s="143"/>
      <c r="D25" s="144"/>
      <c r="E25" s="144"/>
      <c r="F25" s="78"/>
      <c r="G25" s="106"/>
      <c r="H25" s="237"/>
      <c r="I25" s="40"/>
      <c r="J25" s="30"/>
      <c r="K25" s="30"/>
    </row>
    <row r="26" spans="1:11" ht="12.75" customHeight="1" x14ac:dyDescent="0.2">
      <c r="A26" s="147"/>
      <c r="B26" s="142"/>
      <c r="C26" s="143"/>
      <c r="D26" s="144"/>
      <c r="E26" s="144"/>
      <c r="F26" s="78"/>
      <c r="G26" s="106"/>
      <c r="H26" s="145"/>
      <c r="I26" s="40"/>
      <c r="J26" s="41"/>
      <c r="K26" s="41"/>
    </row>
    <row r="27" spans="1:11" ht="12.75" customHeight="1" x14ac:dyDescent="0.2">
      <c r="A27" s="51"/>
      <c r="B27" s="52"/>
      <c r="C27" s="52"/>
      <c r="D27" s="144"/>
      <c r="E27" s="144"/>
      <c r="F27" s="48"/>
      <c r="G27" s="106"/>
      <c r="H27" s="145"/>
      <c r="I27" s="49"/>
      <c r="J27" s="30"/>
      <c r="K27" s="30"/>
    </row>
    <row r="28" spans="1:11" ht="12.75" customHeight="1" x14ac:dyDescent="0.2">
      <c r="A28" s="51"/>
      <c r="B28" s="52"/>
      <c r="C28" s="53"/>
      <c r="D28" s="144"/>
      <c r="E28" s="144"/>
      <c r="F28" s="48"/>
      <c r="G28" s="106"/>
      <c r="H28" s="145"/>
      <c r="I28" s="49"/>
      <c r="J28" s="30"/>
      <c r="K28" s="30"/>
    </row>
    <row r="29" spans="1:11" ht="12.75" customHeight="1" x14ac:dyDescent="0.2">
      <c r="A29" s="55"/>
      <c r="B29" s="58"/>
      <c r="C29" s="56"/>
      <c r="D29" s="144"/>
      <c r="E29" s="144"/>
      <c r="F29" s="48"/>
      <c r="G29" s="66"/>
      <c r="H29" s="66"/>
      <c r="I29" s="49"/>
      <c r="J29" s="30"/>
      <c r="K29" s="30"/>
    </row>
    <row r="30" spans="1:11" ht="12.75" customHeight="1" x14ac:dyDescent="0.2">
      <c r="A30" s="55"/>
      <c r="B30" s="58"/>
      <c r="C30" s="56"/>
      <c r="D30" s="144"/>
      <c r="E30" s="144"/>
      <c r="F30" s="48"/>
      <c r="G30" s="66"/>
      <c r="H30" s="66"/>
      <c r="I30" s="49"/>
      <c r="J30" s="30"/>
      <c r="K30" s="30"/>
    </row>
    <row r="31" spans="1:11" ht="12.75" customHeight="1" x14ac:dyDescent="0.2">
      <c r="A31" s="55"/>
      <c r="B31" s="58"/>
      <c r="C31" s="56"/>
      <c r="D31" s="144"/>
      <c r="E31" s="144"/>
      <c r="F31" s="48"/>
      <c r="G31" s="66"/>
      <c r="H31" s="66"/>
      <c r="I31" s="49"/>
      <c r="J31" s="30"/>
      <c r="K31" s="30"/>
    </row>
    <row r="32" spans="1:11" ht="12.75" customHeight="1" x14ac:dyDescent="0.2">
      <c r="A32" s="55"/>
      <c r="B32" s="58"/>
      <c r="C32" s="56"/>
      <c r="D32" s="722"/>
      <c r="E32" s="722"/>
      <c r="F32" s="48"/>
      <c r="G32" s="66"/>
      <c r="H32" s="66"/>
      <c r="I32" s="49"/>
      <c r="J32" s="30"/>
      <c r="K32" s="30"/>
    </row>
    <row r="33" spans="1:11" ht="12.75" customHeight="1" x14ac:dyDescent="0.2">
      <c r="A33" s="55"/>
      <c r="B33" s="58"/>
      <c r="C33" s="56"/>
      <c r="D33" s="144"/>
      <c r="E33" s="144"/>
      <c r="F33" s="48"/>
      <c r="G33" s="66"/>
      <c r="H33" s="66"/>
      <c r="I33" s="49"/>
      <c r="J33" s="30"/>
      <c r="K33" s="30"/>
    </row>
    <row r="34" spans="1:11" ht="12.75" customHeight="1" x14ac:dyDescent="0.2">
      <c r="A34" s="55"/>
      <c r="B34" s="58"/>
      <c r="C34" s="56"/>
      <c r="D34" s="144"/>
      <c r="E34" s="144"/>
      <c r="F34" s="48"/>
      <c r="G34" s="66"/>
      <c r="H34" s="66"/>
      <c r="I34" s="49"/>
      <c r="J34" s="30"/>
      <c r="K34" s="30"/>
    </row>
    <row r="35" spans="1:11" ht="12.75" customHeight="1" x14ac:dyDescent="0.2">
      <c r="A35" s="55"/>
      <c r="B35" s="58"/>
      <c r="C35" s="56"/>
      <c r="D35" s="144"/>
      <c r="E35" s="144"/>
      <c r="F35" s="48"/>
      <c r="G35" s="66"/>
      <c r="H35" s="66"/>
      <c r="I35" s="49"/>
      <c r="J35" s="30"/>
      <c r="K35" s="30"/>
    </row>
    <row r="36" spans="1:11" ht="12.75" customHeight="1" x14ac:dyDescent="0.2">
      <c r="A36" s="55"/>
      <c r="B36" s="58"/>
      <c r="C36" s="56"/>
      <c r="D36" s="144"/>
      <c r="E36" s="144"/>
      <c r="F36" s="48"/>
      <c r="G36" s="66"/>
      <c r="H36" s="66"/>
      <c r="I36" s="49"/>
      <c r="J36" s="30"/>
      <c r="K36" s="30"/>
    </row>
    <row r="37" spans="1:11" ht="12.75" customHeight="1" x14ac:dyDescent="0.2">
      <c r="A37" s="55"/>
      <c r="B37" s="58"/>
      <c r="C37" s="56"/>
      <c r="D37" s="57"/>
      <c r="E37" s="57"/>
      <c r="F37" s="48"/>
      <c r="G37" s="66"/>
      <c r="H37" s="66"/>
      <c r="I37" s="49"/>
      <c r="J37" s="30"/>
      <c r="K37" s="30"/>
    </row>
    <row r="38" spans="1:11" ht="12.75" customHeight="1" x14ac:dyDescent="0.2">
      <c r="A38" s="55"/>
      <c r="B38" s="58"/>
      <c r="C38" s="56"/>
      <c r="D38" s="57"/>
      <c r="E38" s="57"/>
      <c r="F38" s="48"/>
      <c r="G38" s="66"/>
      <c r="H38" s="66"/>
      <c r="I38" s="49"/>
      <c r="J38" s="30"/>
      <c r="K38" s="30"/>
    </row>
    <row r="39" spans="1:11" ht="12.75" customHeight="1" x14ac:dyDescent="0.2">
      <c r="A39" s="55"/>
      <c r="B39" s="58"/>
      <c r="C39" s="56"/>
      <c r="D39" s="57"/>
      <c r="E39" s="57"/>
      <c r="F39" s="48"/>
      <c r="G39" s="66"/>
      <c r="H39" s="66"/>
      <c r="I39" s="49"/>
      <c r="J39" s="30"/>
      <c r="K39" s="30"/>
    </row>
    <row r="40" spans="1:11" ht="12.75" customHeight="1" x14ac:dyDescent="0.2">
      <c r="A40" s="55"/>
      <c r="B40" s="58"/>
      <c r="C40" s="56"/>
      <c r="D40" s="57"/>
      <c r="E40" s="57"/>
      <c r="F40" s="48"/>
      <c r="G40" s="66"/>
      <c r="H40" s="66"/>
      <c r="I40" s="49"/>
      <c r="J40" s="30"/>
      <c r="K40" s="30"/>
    </row>
    <row r="41" spans="1:11" ht="12.75" customHeight="1" x14ac:dyDescent="0.2">
      <c r="A41" s="55"/>
      <c r="B41" s="58"/>
      <c r="C41" s="56"/>
      <c r="D41" s="57"/>
      <c r="E41" s="57"/>
      <c r="F41" s="48"/>
      <c r="G41" s="66"/>
      <c r="H41" s="66"/>
      <c r="I41" s="49"/>
      <c r="J41" s="30"/>
      <c r="K41" s="30"/>
    </row>
    <row r="42" spans="1:11" ht="12.75" customHeight="1" x14ac:dyDescent="0.2">
      <c r="A42" s="55"/>
      <c r="B42" s="58"/>
      <c r="C42" s="56"/>
      <c r="D42" s="57"/>
      <c r="E42" s="57"/>
      <c r="F42" s="48"/>
      <c r="G42" s="66"/>
      <c r="H42" s="66"/>
      <c r="I42" s="49"/>
      <c r="J42" s="30"/>
      <c r="K42" s="30"/>
    </row>
    <row r="43" spans="1:11" ht="12.75" customHeight="1" x14ac:dyDescent="0.2">
      <c r="A43" s="55"/>
      <c r="B43" s="58"/>
      <c r="C43" s="56"/>
      <c r="D43" s="57"/>
      <c r="E43" s="57"/>
      <c r="F43" s="48"/>
      <c r="G43" s="66"/>
      <c r="H43" s="66"/>
      <c r="I43" s="49"/>
      <c r="J43" s="30"/>
      <c r="K43" s="30"/>
    </row>
    <row r="44" spans="1:11" ht="12.75" customHeight="1" x14ac:dyDescent="0.2">
      <c r="A44" s="55"/>
      <c r="B44" s="58"/>
      <c r="C44" s="56"/>
      <c r="D44" s="57"/>
      <c r="E44" s="57"/>
      <c r="F44" s="48"/>
      <c r="G44" s="66"/>
      <c r="H44" s="66"/>
      <c r="I44" s="49"/>
      <c r="J44" s="30"/>
      <c r="K44" s="30"/>
    </row>
    <row r="45" spans="1:11" ht="12.75" customHeight="1" x14ac:dyDescent="0.2">
      <c r="A45" s="72"/>
      <c r="B45" s="73"/>
      <c r="C45" s="74"/>
      <c r="D45" s="75"/>
      <c r="E45" s="75"/>
      <c r="F45" s="329" t="s">
        <v>123</v>
      </c>
      <c r="G45" s="329">
        <f>SUM(G5:G44)</f>
        <v>0</v>
      </c>
      <c r="H45" s="300">
        <f>SUM(H7:H44)</f>
        <v>1</v>
      </c>
      <c r="I45" s="61"/>
      <c r="J45" s="30"/>
      <c r="K45" s="30"/>
    </row>
    <row r="46" spans="1:11" ht="12.75" customHeight="1" x14ac:dyDescent="0.2">
      <c r="A46" s="30"/>
      <c r="B46" s="30"/>
      <c r="C46" s="30"/>
      <c r="D46" s="62"/>
      <c r="E46" s="62"/>
      <c r="F46" s="62"/>
      <c r="G46" s="63"/>
      <c r="H46" s="63"/>
      <c r="I46" s="63"/>
      <c r="J46" s="30"/>
      <c r="K46" s="30"/>
    </row>
    <row r="47" spans="1:11" ht="12.75" customHeight="1" x14ac:dyDescent="0.2">
      <c r="A47" s="30"/>
      <c r="B47" s="30"/>
      <c r="C47" s="30"/>
      <c r="D47" s="62"/>
      <c r="E47" s="62"/>
      <c r="F47" s="1153" t="s">
        <v>8</v>
      </c>
      <c r="G47" s="1154"/>
      <c r="H47" s="84">
        <f>G45-H45</f>
        <v>-1</v>
      </c>
      <c r="I47" s="63"/>
      <c r="J47" s="30"/>
      <c r="K47" s="30"/>
    </row>
    <row r="48" spans="1:11" ht="12.75" customHeight="1" x14ac:dyDescent="0.2"/>
    <row r="49" ht="12.75" customHeight="1" x14ac:dyDescent="0.2"/>
    <row r="50" ht="12.75" customHeight="1" x14ac:dyDescent="0.2"/>
    <row r="51" ht="12.75" customHeight="1" x14ac:dyDescent="0.2"/>
    <row r="52" ht="12.75" customHeight="1" x14ac:dyDescent="0.2"/>
    <row r="53" ht="12.75" customHeight="1" x14ac:dyDescent="0.2"/>
  </sheetData>
  <sortState ref="F8:G17">
    <sortCondition ref="F8"/>
  </sortState>
  <mergeCells count="3">
    <mergeCell ref="F47:G47"/>
    <mergeCell ref="C1:H5"/>
    <mergeCell ref="J1:J3"/>
  </mergeCells>
  <hyperlinks>
    <hyperlink ref="J1:J3" location="'ANA SAYFA'!A1" display="ANA SAYFA"/>
  </hyperlinks>
  <pageMargins left="0.7" right="0.12" top="0.28000000000000003" bottom="0.75" header="0.3" footer="0.3"/>
  <pageSetup paperSize="9" scale="7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2"/>
  <sheetViews>
    <sheetView zoomScaleNormal="100" workbookViewId="0">
      <selection activeCell="J1" sqref="J1:J3"/>
    </sheetView>
  </sheetViews>
  <sheetFormatPr defaultColWidth="9.140625" defaultRowHeight="11.25" x14ac:dyDescent="0.2"/>
  <cols>
    <col min="1" max="1" width="18" style="120" customWidth="1"/>
    <col min="2" max="3" width="26.5703125" style="120" bestFit="1" customWidth="1"/>
    <col min="4" max="5" width="9" style="120" customWidth="1"/>
    <col min="6" max="6" width="34.85546875" style="120" customWidth="1"/>
    <col min="7" max="7" width="14.28515625" style="120" bestFit="1" customWidth="1"/>
    <col min="8" max="8" width="12.5703125" style="120" bestFit="1" customWidth="1"/>
    <col min="9" max="9" width="5.28515625" style="120" customWidth="1"/>
    <col min="10" max="10" width="12.5703125" style="120" customWidth="1"/>
    <col min="11" max="16384" width="9.140625" style="120"/>
  </cols>
  <sheetData>
    <row r="1" spans="1:11" ht="15" customHeight="1" x14ac:dyDescent="0.2">
      <c r="A1" s="135" t="s">
        <v>135</v>
      </c>
      <c r="B1" s="193" t="str">
        <f>'ANA SAYFA'!B12</f>
        <v>EYÜP ÇELENK</v>
      </c>
      <c r="C1" s="1166" t="s">
        <v>136</v>
      </c>
      <c r="D1" s="1166"/>
      <c r="E1" s="1166"/>
      <c r="F1" s="1166"/>
      <c r="G1" s="1166"/>
      <c r="H1" s="1166"/>
      <c r="I1" s="119"/>
      <c r="J1" s="1157" t="s">
        <v>712</v>
      </c>
      <c r="K1" s="33"/>
    </row>
    <row r="2" spans="1:11" ht="15" customHeight="1" x14ac:dyDescent="0.2">
      <c r="A2" s="135" t="s">
        <v>137</v>
      </c>
      <c r="B2" s="186">
        <f>'ANA SAYFA'!D12</f>
        <v>38564093244</v>
      </c>
      <c r="C2" s="1166"/>
      <c r="D2" s="1166"/>
      <c r="E2" s="1166"/>
      <c r="F2" s="1166"/>
      <c r="G2" s="1166"/>
      <c r="H2" s="1166"/>
      <c r="I2" s="119"/>
      <c r="J2" s="1158"/>
      <c r="K2" s="33"/>
    </row>
    <row r="3" spans="1:11" ht="15" customHeight="1" thickBot="1" x14ac:dyDescent="0.25">
      <c r="A3" s="135" t="s">
        <v>131</v>
      </c>
      <c r="B3" s="187" t="str">
        <f>'ANA SAYFA'!C12</f>
        <v>DOZER OPERATÖR</v>
      </c>
      <c r="C3" s="1166"/>
      <c r="D3" s="1166"/>
      <c r="E3" s="1166"/>
      <c r="F3" s="1166"/>
      <c r="G3" s="1166"/>
      <c r="H3" s="1166"/>
      <c r="I3" s="119"/>
      <c r="J3" s="1159"/>
      <c r="K3" s="33"/>
    </row>
    <row r="4" spans="1:11" ht="15" customHeight="1" x14ac:dyDescent="0.2">
      <c r="A4" s="135" t="s">
        <v>120</v>
      </c>
      <c r="B4" s="136">
        <f>'ANA SAYFA'!E12</f>
        <v>44196</v>
      </c>
      <c r="C4" s="1166"/>
      <c r="D4" s="1166"/>
      <c r="E4" s="1166"/>
      <c r="F4" s="1166"/>
      <c r="G4" s="1166"/>
      <c r="H4" s="1166"/>
      <c r="I4" s="119"/>
      <c r="J4" s="33"/>
      <c r="K4" s="33"/>
    </row>
    <row r="5" spans="1:11" ht="15" customHeight="1" x14ac:dyDescent="0.2">
      <c r="A5" s="135" t="s">
        <v>130</v>
      </c>
      <c r="B5" s="136">
        <f>'ANA SAYFA'!F12</f>
        <v>24504</v>
      </c>
      <c r="C5" s="1166"/>
      <c r="D5" s="1166"/>
      <c r="E5" s="1166"/>
      <c r="F5" s="1166"/>
      <c r="G5" s="1166"/>
      <c r="H5" s="1166"/>
      <c r="I5" s="119"/>
    </row>
    <row r="6" spans="1:11" ht="36" customHeight="1" x14ac:dyDescent="0.2">
      <c r="A6" s="69" t="s">
        <v>0</v>
      </c>
      <c r="B6" s="70" t="s">
        <v>1</v>
      </c>
      <c r="C6" s="69" t="s">
        <v>2</v>
      </c>
      <c r="D6" s="71" t="s">
        <v>133</v>
      </c>
      <c r="E6" s="71" t="s">
        <v>4</v>
      </c>
      <c r="F6" s="71" t="s">
        <v>7</v>
      </c>
      <c r="G6" s="71" t="s">
        <v>6</v>
      </c>
      <c r="H6" s="71" t="s">
        <v>16</v>
      </c>
      <c r="I6" s="34"/>
    </row>
    <row r="7" spans="1:11" ht="14.25" customHeight="1" x14ac:dyDescent="0.2">
      <c r="A7" s="121"/>
      <c r="B7" s="36" t="s">
        <v>195</v>
      </c>
      <c r="C7" s="37" t="s">
        <v>196</v>
      </c>
      <c r="D7" s="38">
        <v>0.60416666666666663</v>
      </c>
      <c r="E7" s="38">
        <v>0.33333333333333331</v>
      </c>
      <c r="F7" s="169" t="s">
        <v>371</v>
      </c>
      <c r="G7" s="123">
        <v>20</v>
      </c>
      <c r="H7" s="126">
        <v>0.5</v>
      </c>
      <c r="I7" s="171"/>
      <c r="J7" s="33"/>
      <c r="K7" s="33"/>
    </row>
    <row r="8" spans="1:11" ht="14.25" customHeight="1" x14ac:dyDescent="0.2">
      <c r="A8" s="121"/>
      <c r="B8" s="36" t="s">
        <v>197</v>
      </c>
      <c r="C8" s="36" t="s">
        <v>198</v>
      </c>
      <c r="D8" s="38">
        <v>0.33333333333333331</v>
      </c>
      <c r="E8" s="38">
        <v>0.33333333333333331</v>
      </c>
      <c r="F8" s="169" t="s">
        <v>372</v>
      </c>
      <c r="G8" s="123">
        <v>20</v>
      </c>
      <c r="H8" s="126">
        <v>9</v>
      </c>
      <c r="I8" s="171"/>
      <c r="J8" s="33"/>
      <c r="K8" s="33"/>
    </row>
    <row r="9" spans="1:11" ht="14.25" customHeight="1" x14ac:dyDescent="0.2">
      <c r="A9" s="128"/>
      <c r="B9" s="36" t="s">
        <v>199</v>
      </c>
      <c r="C9" s="129" t="s">
        <v>200</v>
      </c>
      <c r="D9" s="130">
        <v>0.33333333333333331</v>
      </c>
      <c r="E9" s="130">
        <v>0.33333333333333331</v>
      </c>
      <c r="F9" s="169" t="s">
        <v>471</v>
      </c>
      <c r="G9" s="123">
        <v>20</v>
      </c>
      <c r="H9" s="126">
        <v>1</v>
      </c>
      <c r="I9" s="171"/>
      <c r="J9" s="33"/>
      <c r="K9" s="33"/>
    </row>
    <row r="10" spans="1:11" ht="14.25" customHeight="1" x14ac:dyDescent="0.2">
      <c r="A10" s="128"/>
      <c r="B10" s="172" t="s">
        <v>201</v>
      </c>
      <c r="C10" s="173" t="s">
        <v>202</v>
      </c>
      <c r="D10" s="130">
        <v>0.33333333333333331</v>
      </c>
      <c r="E10" s="130">
        <v>0.33333333333333331</v>
      </c>
      <c r="F10" s="169" t="s">
        <v>679</v>
      </c>
      <c r="G10" s="123">
        <v>20</v>
      </c>
      <c r="H10" s="126">
        <v>10</v>
      </c>
      <c r="I10" s="171"/>
      <c r="J10" s="33"/>
      <c r="K10" s="33"/>
    </row>
    <row r="11" spans="1:11" ht="14.25" customHeight="1" x14ac:dyDescent="0.2">
      <c r="A11" s="125"/>
      <c r="B11" s="172">
        <v>45194</v>
      </c>
      <c r="C11" s="173">
        <v>45208</v>
      </c>
      <c r="D11" s="130">
        <v>0.33333333333333331</v>
      </c>
      <c r="E11" s="130">
        <v>0.33333333333333331</v>
      </c>
      <c r="F11" s="169" t="s">
        <v>944</v>
      </c>
      <c r="G11" s="127">
        <v>20</v>
      </c>
      <c r="H11" s="126">
        <v>12</v>
      </c>
      <c r="I11" s="171"/>
      <c r="J11" s="33"/>
      <c r="K11" s="33"/>
    </row>
    <row r="12" spans="1:11" ht="14.25" customHeight="1" x14ac:dyDescent="0.2">
      <c r="A12" s="131"/>
      <c r="B12" s="172">
        <v>45495</v>
      </c>
      <c r="C12" s="173">
        <v>45511</v>
      </c>
      <c r="D12" s="130">
        <v>0.33333333333333331</v>
      </c>
      <c r="E12" s="130">
        <v>0.33333333333333331</v>
      </c>
      <c r="F12" s="127"/>
      <c r="G12" s="127"/>
      <c r="H12" s="126">
        <v>15</v>
      </c>
      <c r="I12" s="171"/>
      <c r="J12" s="33"/>
      <c r="K12" s="33"/>
    </row>
    <row r="13" spans="1:11" ht="14.25" customHeight="1" x14ac:dyDescent="0.2">
      <c r="A13" s="174"/>
      <c r="B13" s="172">
        <v>45518</v>
      </c>
      <c r="C13" s="173">
        <v>45519</v>
      </c>
      <c r="D13" s="130">
        <v>0.33333333333333331</v>
      </c>
      <c r="E13" s="130">
        <v>0.33333333333333331</v>
      </c>
      <c r="F13" s="127"/>
      <c r="G13" s="127"/>
      <c r="H13" s="127">
        <v>2</v>
      </c>
      <c r="I13" s="171"/>
      <c r="J13" s="33"/>
      <c r="K13" s="33"/>
    </row>
    <row r="14" spans="1:11" ht="14.25" customHeight="1" x14ac:dyDescent="0.2">
      <c r="A14" s="174" t="s">
        <v>720</v>
      </c>
      <c r="B14" s="511">
        <v>45696</v>
      </c>
      <c r="C14" s="537">
        <v>45699</v>
      </c>
      <c r="D14" s="130">
        <v>0.33333333333333331</v>
      </c>
      <c r="E14" s="130">
        <v>0.33333333333333331</v>
      </c>
      <c r="F14" s="127"/>
      <c r="G14" s="127"/>
      <c r="H14" s="127"/>
      <c r="I14" s="171"/>
      <c r="J14" s="33"/>
      <c r="K14" s="33"/>
    </row>
    <row r="15" spans="1:11" ht="14.25" customHeight="1" x14ac:dyDescent="0.2">
      <c r="A15" s="125"/>
      <c r="B15" s="36">
        <v>45700</v>
      </c>
      <c r="C15" s="37">
        <v>45703</v>
      </c>
      <c r="D15" s="130">
        <v>0.33333333333333331</v>
      </c>
      <c r="E15" s="130">
        <v>0.33333333333333331</v>
      </c>
      <c r="F15" s="127"/>
      <c r="G15" s="127"/>
      <c r="H15" s="127">
        <v>4</v>
      </c>
      <c r="I15" s="171"/>
      <c r="J15" s="33"/>
      <c r="K15" s="33"/>
    </row>
    <row r="16" spans="1:11" ht="14.25" customHeight="1" x14ac:dyDescent="0.2">
      <c r="A16" s="125"/>
      <c r="B16" s="36">
        <v>45806</v>
      </c>
      <c r="C16" s="37">
        <v>45806</v>
      </c>
      <c r="D16" s="38">
        <v>0.33333333333333331</v>
      </c>
      <c r="E16" s="38">
        <v>0.33333333333333331</v>
      </c>
      <c r="F16" s="127"/>
      <c r="G16" s="127"/>
      <c r="H16" s="127">
        <v>1</v>
      </c>
      <c r="I16" s="171"/>
      <c r="J16" s="33"/>
      <c r="K16" s="33"/>
    </row>
    <row r="17" spans="1:11" ht="14.25" customHeight="1" x14ac:dyDescent="0.2">
      <c r="A17" s="125"/>
      <c r="B17" s="566">
        <v>45859</v>
      </c>
      <c r="C17" s="37">
        <v>45861</v>
      </c>
      <c r="D17" s="712">
        <v>0.33333333333333298</v>
      </c>
      <c r="E17" s="712">
        <v>0.33333333333333298</v>
      </c>
      <c r="F17" s="127"/>
      <c r="G17" s="127"/>
      <c r="H17" s="127">
        <v>3</v>
      </c>
      <c r="I17" s="171"/>
      <c r="J17" s="33"/>
      <c r="K17" s="33"/>
    </row>
    <row r="18" spans="1:11" ht="14.25" customHeight="1" x14ac:dyDescent="0.2">
      <c r="A18" s="125"/>
      <c r="B18" s="566">
        <v>45887</v>
      </c>
      <c r="C18" s="37">
        <v>45888</v>
      </c>
      <c r="D18" s="712">
        <v>0.33333333333333298</v>
      </c>
      <c r="E18" s="712">
        <v>0.33333333333333298</v>
      </c>
      <c r="F18" s="127"/>
      <c r="G18" s="127"/>
      <c r="H18" s="127">
        <v>1</v>
      </c>
      <c r="I18" s="171"/>
      <c r="J18" s="33"/>
      <c r="K18" s="33"/>
    </row>
    <row r="19" spans="1:11" ht="14.25" customHeight="1" x14ac:dyDescent="0.2">
      <c r="A19" s="125"/>
      <c r="B19" s="566">
        <v>46099</v>
      </c>
      <c r="C19" s="37">
        <v>46100</v>
      </c>
      <c r="D19" s="38"/>
      <c r="E19" s="38"/>
      <c r="F19" s="127"/>
      <c r="G19" s="127"/>
      <c r="H19" s="127">
        <v>1</v>
      </c>
      <c r="I19" s="171"/>
      <c r="J19" s="33"/>
      <c r="K19" s="33"/>
    </row>
    <row r="20" spans="1:11" ht="14.25" customHeight="1" x14ac:dyDescent="0.2">
      <c r="A20" s="125"/>
      <c r="B20" s="566">
        <v>46165</v>
      </c>
      <c r="C20" s="37">
        <v>46174</v>
      </c>
      <c r="D20" s="38"/>
      <c r="E20" s="38"/>
      <c r="F20" s="127"/>
      <c r="G20" s="127"/>
      <c r="H20" s="127">
        <v>2</v>
      </c>
      <c r="I20" s="171"/>
      <c r="J20" s="33"/>
      <c r="K20" s="33"/>
    </row>
    <row r="21" spans="1:11" ht="14.25" customHeight="1" x14ac:dyDescent="0.2">
      <c r="A21" s="125"/>
      <c r="B21" s="566"/>
      <c r="C21" s="37"/>
      <c r="D21" s="38"/>
      <c r="E21" s="38"/>
      <c r="F21" s="127"/>
      <c r="G21" s="127"/>
      <c r="H21" s="127"/>
      <c r="I21" s="171"/>
      <c r="J21" s="33"/>
      <c r="K21" s="33"/>
    </row>
    <row r="22" spans="1:11" ht="14.25" customHeight="1" x14ac:dyDescent="0.2">
      <c r="A22" s="125"/>
      <c r="B22" s="566"/>
      <c r="C22" s="37"/>
      <c r="D22" s="38"/>
      <c r="E22" s="38"/>
      <c r="F22" s="127"/>
      <c r="G22" s="127"/>
      <c r="H22" s="127"/>
      <c r="I22" s="171"/>
      <c r="J22" s="33"/>
      <c r="K22" s="33"/>
    </row>
    <row r="23" spans="1:11" ht="14.25" customHeight="1" x14ac:dyDescent="0.2">
      <c r="A23" s="125"/>
      <c r="B23" s="36"/>
      <c r="C23" s="37"/>
      <c r="D23" s="38"/>
      <c r="E23" s="38"/>
      <c r="F23" s="127"/>
      <c r="G23" s="127"/>
      <c r="H23" s="127"/>
      <c r="I23" s="171"/>
      <c r="J23" s="33"/>
      <c r="K23" s="33"/>
    </row>
    <row r="24" spans="1:11" ht="14.25" customHeight="1" x14ac:dyDescent="0.2">
      <c r="A24" s="125"/>
      <c r="B24" s="36"/>
      <c r="C24" s="37"/>
      <c r="D24" s="38"/>
      <c r="E24" s="38"/>
      <c r="F24" s="176"/>
      <c r="G24" s="127"/>
      <c r="H24" s="127"/>
      <c r="I24" s="171"/>
      <c r="J24" s="33"/>
      <c r="K24" s="33"/>
    </row>
    <row r="25" spans="1:11" ht="14.25" customHeight="1" x14ac:dyDescent="0.2">
      <c r="A25" s="125"/>
      <c r="B25" s="36"/>
      <c r="C25" s="37"/>
      <c r="D25" s="38"/>
      <c r="E25" s="38"/>
      <c r="F25" s="176"/>
      <c r="G25" s="123"/>
      <c r="H25" s="127"/>
      <c r="I25" s="177"/>
      <c r="J25" s="33"/>
      <c r="K25" s="33"/>
    </row>
    <row r="26" spans="1:11" ht="14.25" customHeight="1" x14ac:dyDescent="0.2">
      <c r="A26" s="125"/>
      <c r="B26" s="36"/>
      <c r="C26" s="37"/>
      <c r="D26" s="38"/>
      <c r="E26" s="38"/>
      <c r="F26" s="176"/>
      <c r="G26" s="123"/>
      <c r="H26" s="127"/>
      <c r="I26" s="177"/>
      <c r="J26" s="33"/>
      <c r="K26" s="33"/>
    </row>
    <row r="27" spans="1:11" ht="14.25" customHeight="1" x14ac:dyDescent="0.2">
      <c r="A27" s="125"/>
      <c r="B27" s="36"/>
      <c r="C27" s="37"/>
      <c r="D27" s="38"/>
      <c r="E27" s="38"/>
      <c r="F27" s="78"/>
      <c r="G27" s="123"/>
      <c r="H27" s="127"/>
      <c r="I27" s="40"/>
      <c r="J27" s="33"/>
      <c r="K27" s="33"/>
    </row>
    <row r="28" spans="1:11" ht="14.25" customHeight="1" x14ac:dyDescent="0.2">
      <c r="A28" s="125"/>
      <c r="B28" s="36"/>
      <c r="C28" s="37"/>
      <c r="D28" s="38"/>
      <c r="E28" s="38"/>
      <c r="F28" s="78"/>
      <c r="G28" s="123"/>
      <c r="H28" s="127"/>
      <c r="I28" s="40"/>
      <c r="J28" s="33"/>
      <c r="K28" s="33"/>
    </row>
    <row r="29" spans="1:11" ht="14.25" customHeight="1" x14ac:dyDescent="0.2">
      <c r="A29" s="125"/>
      <c r="B29" s="36"/>
      <c r="C29" s="37"/>
      <c r="D29" s="38"/>
      <c r="E29" s="38"/>
      <c r="F29" s="78"/>
      <c r="G29" s="123"/>
      <c r="H29" s="127"/>
      <c r="I29" s="40"/>
      <c r="J29" s="124"/>
      <c r="K29" s="124"/>
    </row>
    <row r="30" spans="1:11" ht="14.25" customHeight="1" x14ac:dyDescent="0.2">
      <c r="A30" s="174"/>
      <c r="B30" s="172"/>
      <c r="C30" s="173"/>
      <c r="D30" s="175"/>
      <c r="E30" s="175"/>
      <c r="F30" s="127"/>
      <c r="G30" s="123"/>
      <c r="H30" s="126"/>
      <c r="I30" s="171"/>
      <c r="J30" s="33"/>
      <c r="K30" s="33"/>
    </row>
    <row r="31" spans="1:11" ht="14.25" customHeight="1" x14ac:dyDescent="0.2">
      <c r="A31" s="174"/>
      <c r="B31" s="172"/>
      <c r="C31" s="173"/>
      <c r="D31" s="175"/>
      <c r="E31" s="175"/>
      <c r="F31" s="127"/>
      <c r="G31" s="123"/>
      <c r="H31" s="126"/>
      <c r="I31" s="171"/>
      <c r="J31" s="33"/>
      <c r="K31" s="33"/>
    </row>
    <row r="32" spans="1:11" ht="14.25" customHeight="1" x14ac:dyDescent="0.2">
      <c r="A32" s="125"/>
      <c r="B32" s="36"/>
      <c r="C32" s="37"/>
      <c r="D32" s="38"/>
      <c r="E32" s="38"/>
      <c r="F32" s="127"/>
      <c r="G32" s="127"/>
      <c r="H32" s="127"/>
      <c r="I32" s="171"/>
      <c r="J32" s="33"/>
      <c r="K32" s="33"/>
    </row>
    <row r="33" spans="1:11" ht="14.25" customHeight="1" x14ac:dyDescent="0.2">
      <c r="A33" s="125"/>
      <c r="B33" s="36"/>
      <c r="C33" s="37"/>
      <c r="D33" s="38"/>
      <c r="E33" s="38"/>
      <c r="F33" s="127"/>
      <c r="G33" s="127"/>
      <c r="H33" s="138"/>
      <c r="I33" s="171"/>
      <c r="J33" s="33"/>
      <c r="K33" s="33"/>
    </row>
    <row r="34" spans="1:11" ht="12.75" customHeight="1" x14ac:dyDescent="0.2">
      <c r="A34" s="178"/>
      <c r="B34" s="179"/>
      <c r="C34" s="180"/>
      <c r="D34" s="181"/>
      <c r="E34" s="181"/>
      <c r="F34" s="132" t="s">
        <v>123</v>
      </c>
      <c r="G34" s="132">
        <f>SUM(G7:G33)</f>
        <v>100</v>
      </c>
      <c r="H34" s="182">
        <f>SUM(H7:H33)</f>
        <v>61.5</v>
      </c>
      <c r="I34" s="183"/>
      <c r="J34" s="33"/>
      <c r="K34" s="33"/>
    </row>
    <row r="35" spans="1:11" ht="12.75" customHeight="1" x14ac:dyDescent="0.2">
      <c r="A35" s="33"/>
      <c r="B35" s="33"/>
      <c r="C35" s="33"/>
      <c r="D35" s="33"/>
      <c r="E35" s="33"/>
      <c r="F35" s="33"/>
      <c r="G35" s="133"/>
      <c r="H35" s="133"/>
      <c r="I35" s="133"/>
      <c r="J35" s="33"/>
      <c r="K35" s="33"/>
    </row>
    <row r="36" spans="1:11" ht="12.75" customHeight="1" x14ac:dyDescent="0.2">
      <c r="A36" s="33"/>
      <c r="B36" s="33"/>
      <c r="C36" s="33"/>
      <c r="D36" s="33"/>
      <c r="E36" s="33"/>
      <c r="F36" s="1169" t="s">
        <v>8</v>
      </c>
      <c r="G36" s="1170"/>
      <c r="H36" s="134">
        <f>G34-H34</f>
        <v>38.5</v>
      </c>
      <c r="I36" s="133"/>
      <c r="J36" s="33"/>
      <c r="K36" s="33"/>
    </row>
    <row r="37" spans="1:11" ht="12.75" customHeight="1" x14ac:dyDescent="0.2"/>
    <row r="38" spans="1:11" ht="12.75" customHeight="1" x14ac:dyDescent="0.2"/>
    <row r="39" spans="1:11" ht="12.75" customHeight="1" x14ac:dyDescent="0.2"/>
    <row r="40" spans="1:11" ht="12.75" customHeight="1" x14ac:dyDescent="0.2"/>
    <row r="41" spans="1:11" ht="12.75" customHeight="1" x14ac:dyDescent="0.2"/>
    <row r="42" spans="1:11" ht="12.75" customHeight="1" x14ac:dyDescent="0.2"/>
  </sheetData>
  <mergeCells count="3">
    <mergeCell ref="F36:G36"/>
    <mergeCell ref="C1:H5"/>
    <mergeCell ref="J1:J3"/>
  </mergeCells>
  <hyperlinks>
    <hyperlink ref="J1:J3" location="'ANA SAYFA'!A1" display="ANA SAYFA"/>
  </hyperlinks>
  <pageMargins left="0.7" right="0.12" top="0.28000000000000003" bottom="0.75" header="0.3" footer="0.3"/>
  <pageSetup paperSize="9" scale="70" orientation="portrait" r:id="rId1"/>
  <colBreaks count="1" manualBreakCount="1">
    <brk id="8"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5"/>
  <sheetViews>
    <sheetView zoomScaleNormal="100" workbookViewId="0">
      <selection activeCell="J1" sqref="J1:K3"/>
    </sheetView>
  </sheetViews>
  <sheetFormatPr defaultColWidth="9.140625" defaultRowHeight="19.5" x14ac:dyDescent="0.2"/>
  <cols>
    <col min="1" max="1" width="18.5703125" style="120" bestFit="1" customWidth="1"/>
    <col min="2" max="2" width="32.7109375" style="120" bestFit="1" customWidth="1"/>
    <col min="3" max="3" width="26.7109375" style="120" bestFit="1" customWidth="1"/>
    <col min="4" max="5" width="10" style="120" customWidth="1"/>
    <col min="6" max="6" width="21.7109375" style="120" customWidth="1"/>
    <col min="7" max="7" width="15.28515625" style="120" bestFit="1" customWidth="1"/>
    <col min="8" max="8" width="13.85546875" style="120" bestFit="1" customWidth="1"/>
    <col min="9" max="9" width="5" style="120" customWidth="1"/>
    <col min="10" max="11" width="8.85546875" style="618" customWidth="1"/>
    <col min="12" max="12" width="11.28515625" style="120" bestFit="1" customWidth="1"/>
    <col min="13" max="16384" width="9.140625" style="120"/>
  </cols>
  <sheetData>
    <row r="1" spans="1:11" ht="15" customHeight="1" x14ac:dyDescent="0.2">
      <c r="A1" s="135" t="s">
        <v>135</v>
      </c>
      <c r="B1" s="193" t="str">
        <f>'ANA SAYFA'!B13</f>
        <v>ÇETİN ÖZYÜKSEL</v>
      </c>
      <c r="C1" s="1144" t="s">
        <v>136</v>
      </c>
      <c r="D1" s="1144"/>
      <c r="E1" s="1144"/>
      <c r="F1" s="1144"/>
      <c r="G1" s="1144"/>
      <c r="H1" s="1144"/>
      <c r="I1" s="119"/>
      <c r="J1" s="1178" t="s">
        <v>5</v>
      </c>
      <c r="K1" s="1178"/>
    </row>
    <row r="2" spans="1:11" ht="15" customHeight="1" x14ac:dyDescent="0.2">
      <c r="A2" s="135" t="s">
        <v>137</v>
      </c>
      <c r="B2" s="186">
        <f>'ANA SAYFA'!D13</f>
        <v>49729730652</v>
      </c>
      <c r="C2" s="1144"/>
      <c r="D2" s="1144"/>
      <c r="E2" s="1144"/>
      <c r="F2" s="1144"/>
      <c r="G2" s="1144"/>
      <c r="H2" s="1144"/>
      <c r="I2" s="119"/>
      <c r="J2" s="1143"/>
      <c r="K2" s="1143"/>
    </row>
    <row r="3" spans="1:11" ht="15" customHeight="1" x14ac:dyDescent="0.2">
      <c r="A3" s="135" t="s">
        <v>131</v>
      </c>
      <c r="B3" s="187" t="str">
        <f>'ANA SAYFA'!C13</f>
        <v>KAYNAKCI</v>
      </c>
      <c r="C3" s="1144"/>
      <c r="D3" s="1144"/>
      <c r="E3" s="1144"/>
      <c r="F3" s="1144"/>
      <c r="G3" s="1144"/>
      <c r="H3" s="1144"/>
      <c r="I3" s="119"/>
      <c r="J3" s="1143"/>
      <c r="K3" s="1143"/>
    </row>
    <row r="4" spans="1:11" ht="15" customHeight="1" x14ac:dyDescent="0.2">
      <c r="A4" s="135" t="s">
        <v>120</v>
      </c>
      <c r="B4" s="136">
        <f>'ANA SAYFA'!E13</f>
        <v>45170</v>
      </c>
      <c r="C4" s="1144"/>
      <c r="D4" s="1144"/>
      <c r="E4" s="1144"/>
      <c r="F4" s="1144"/>
      <c r="G4" s="1144"/>
      <c r="H4" s="1144"/>
      <c r="I4" s="119"/>
      <c r="J4" s="617"/>
      <c r="K4" s="617"/>
    </row>
    <row r="5" spans="1:11" ht="15" customHeight="1" x14ac:dyDescent="0.2">
      <c r="A5" s="135" t="s">
        <v>130</v>
      </c>
      <c r="B5" s="136">
        <f>'ANA SAYFA'!F13</f>
        <v>27708</v>
      </c>
      <c r="C5" s="1144"/>
      <c r="D5" s="1144"/>
      <c r="E5" s="1144"/>
      <c r="F5" s="1144"/>
      <c r="G5" s="1144"/>
      <c r="H5" s="1144"/>
      <c r="I5" s="119"/>
    </row>
    <row r="6" spans="1:11" ht="33" customHeight="1" x14ac:dyDescent="0.2">
      <c r="A6" s="99" t="s">
        <v>0</v>
      </c>
      <c r="B6" s="100" t="s">
        <v>1</v>
      </c>
      <c r="C6" s="99" t="s">
        <v>2</v>
      </c>
      <c r="D6" s="101" t="s">
        <v>133</v>
      </c>
      <c r="E6" s="101" t="s">
        <v>4</v>
      </c>
      <c r="F6" s="101" t="s">
        <v>7</v>
      </c>
      <c r="G6" s="101" t="s">
        <v>6</v>
      </c>
      <c r="H6" s="101" t="s">
        <v>16</v>
      </c>
      <c r="I6" s="34"/>
    </row>
    <row r="7" spans="1:11" ht="15" customHeight="1" x14ac:dyDescent="0.2">
      <c r="A7" s="121"/>
      <c r="B7" s="36">
        <v>45451</v>
      </c>
      <c r="C7" s="37">
        <v>45454</v>
      </c>
      <c r="D7" s="38">
        <v>0.33333333333333331</v>
      </c>
      <c r="E7" s="38">
        <v>0.33333333333333331</v>
      </c>
      <c r="F7" s="202" t="s">
        <v>831</v>
      </c>
      <c r="G7" s="123">
        <v>14</v>
      </c>
      <c r="H7" s="126">
        <v>3</v>
      </c>
      <c r="I7" s="171"/>
    </row>
    <row r="8" spans="1:11" ht="15" customHeight="1" x14ac:dyDescent="0.2">
      <c r="A8" s="121"/>
      <c r="B8" s="1179"/>
      <c r="C8" s="1180"/>
      <c r="D8" s="38"/>
      <c r="E8" s="38"/>
      <c r="F8" s="202" t="s">
        <v>832</v>
      </c>
      <c r="G8" s="123">
        <v>14</v>
      </c>
      <c r="H8" s="621"/>
      <c r="I8" s="171"/>
    </row>
    <row r="9" spans="1:11" ht="15" customHeight="1" x14ac:dyDescent="0.2">
      <c r="A9" s="121"/>
      <c r="B9" s="622">
        <v>45558</v>
      </c>
      <c r="C9" s="623">
        <v>45558</v>
      </c>
      <c r="D9" s="38">
        <v>0.5</v>
      </c>
      <c r="E9" s="38">
        <v>0.33333333333333331</v>
      </c>
      <c r="F9" s="604"/>
      <c r="G9" s="123"/>
      <c r="H9" s="126">
        <v>0.5</v>
      </c>
      <c r="I9" s="171"/>
    </row>
    <row r="10" spans="1:11" ht="15" customHeight="1" x14ac:dyDescent="0.2">
      <c r="A10" s="128"/>
      <c r="B10" s="36">
        <v>45563</v>
      </c>
      <c r="C10" s="129">
        <v>45563</v>
      </c>
      <c r="D10" s="38">
        <v>0.33333333333333331</v>
      </c>
      <c r="E10" s="38">
        <v>0.33333333333333331</v>
      </c>
      <c r="F10" s="169"/>
      <c r="G10" s="123"/>
      <c r="H10" s="126">
        <v>1</v>
      </c>
      <c r="I10" s="171"/>
    </row>
    <row r="11" spans="1:11" ht="15" customHeight="1" x14ac:dyDescent="0.2">
      <c r="A11" s="128"/>
      <c r="B11" s="172">
        <v>45577</v>
      </c>
      <c r="C11" s="173">
        <v>45577</v>
      </c>
      <c r="D11" s="38">
        <v>0.33333333333333331</v>
      </c>
      <c r="E11" s="38">
        <v>0.33333333333333331</v>
      </c>
      <c r="F11" s="169"/>
      <c r="G11" s="123"/>
      <c r="H11" s="126">
        <v>1</v>
      </c>
      <c r="I11" s="171"/>
    </row>
    <row r="12" spans="1:11" ht="15" customHeight="1" x14ac:dyDescent="0.2">
      <c r="A12" s="125"/>
      <c r="B12" s="172">
        <v>45607</v>
      </c>
      <c r="C12" s="173">
        <v>45607</v>
      </c>
      <c r="D12" s="38">
        <v>0.33333333333333331</v>
      </c>
      <c r="E12" s="38">
        <v>0.33333333333333331</v>
      </c>
      <c r="F12" s="169"/>
      <c r="G12" s="127"/>
      <c r="H12" s="126">
        <v>1</v>
      </c>
      <c r="I12" s="171"/>
    </row>
    <row r="13" spans="1:11" ht="15" customHeight="1" x14ac:dyDescent="0.2">
      <c r="A13" s="131"/>
      <c r="B13" s="172">
        <v>45654</v>
      </c>
      <c r="C13" s="173">
        <v>45654</v>
      </c>
      <c r="D13" s="38">
        <v>0.33333333333333331</v>
      </c>
      <c r="E13" s="38">
        <v>0.33333333333333331</v>
      </c>
      <c r="F13" s="127"/>
      <c r="G13" s="127"/>
      <c r="H13" s="126">
        <v>1</v>
      </c>
      <c r="I13" s="171"/>
    </row>
    <row r="14" spans="1:11" ht="15" customHeight="1" x14ac:dyDescent="0.2">
      <c r="A14" s="174"/>
      <c r="B14" s="172">
        <v>45679</v>
      </c>
      <c r="C14" s="173">
        <v>45680</v>
      </c>
      <c r="D14" s="38">
        <v>0.33333333333333331</v>
      </c>
      <c r="E14" s="38">
        <v>0.33333333333333331</v>
      </c>
      <c r="F14" s="127"/>
      <c r="G14" s="127"/>
      <c r="H14" s="127">
        <v>2</v>
      </c>
      <c r="I14" s="171"/>
      <c r="J14" s="617"/>
      <c r="K14" s="617"/>
    </row>
    <row r="15" spans="1:11" ht="15" customHeight="1" x14ac:dyDescent="0.2">
      <c r="A15" s="174"/>
      <c r="B15" s="172">
        <v>45717</v>
      </c>
      <c r="C15" s="173">
        <v>45717</v>
      </c>
      <c r="D15" s="38">
        <v>0.33333333333333331</v>
      </c>
      <c r="E15" s="38">
        <v>0.33333333333333331</v>
      </c>
      <c r="F15" s="127"/>
      <c r="G15" s="127"/>
      <c r="H15" s="127">
        <v>1</v>
      </c>
      <c r="I15" s="171"/>
      <c r="J15" s="617"/>
      <c r="K15" s="617"/>
    </row>
    <row r="16" spans="1:11" ht="15" customHeight="1" x14ac:dyDescent="0.2">
      <c r="A16" s="125"/>
      <c r="B16" s="172">
        <v>45829</v>
      </c>
      <c r="C16" s="173">
        <v>45829</v>
      </c>
      <c r="D16" s="38">
        <v>0.33333333333333331</v>
      </c>
      <c r="E16" s="38">
        <v>0.33333333333333331</v>
      </c>
      <c r="F16" s="127"/>
      <c r="G16" s="127"/>
      <c r="H16" s="127">
        <v>1</v>
      </c>
      <c r="I16" s="171"/>
      <c r="J16" s="617"/>
      <c r="K16" s="617"/>
    </row>
    <row r="17" spans="1:12" ht="15" customHeight="1" x14ac:dyDescent="0.2">
      <c r="A17" s="125"/>
      <c r="B17" s="172">
        <v>45863</v>
      </c>
      <c r="C17" s="173">
        <v>45863</v>
      </c>
      <c r="D17" s="676">
        <v>0.33333333333333298</v>
      </c>
      <c r="E17" s="676">
        <v>0.33333333333333298</v>
      </c>
      <c r="F17" s="127"/>
      <c r="G17" s="127"/>
      <c r="H17" s="127">
        <v>1</v>
      </c>
      <c r="I17" s="171"/>
      <c r="J17" s="617"/>
      <c r="K17" s="617"/>
    </row>
    <row r="18" spans="1:12" ht="15" customHeight="1" x14ac:dyDescent="0.2">
      <c r="A18" s="125"/>
      <c r="B18" s="36">
        <v>45878</v>
      </c>
      <c r="C18" s="37">
        <v>45880</v>
      </c>
      <c r="D18" s="38">
        <v>0.33333333333333331</v>
      </c>
      <c r="E18" s="38">
        <v>0.33333333333333331</v>
      </c>
      <c r="F18" s="127"/>
      <c r="G18" s="127"/>
      <c r="H18" s="127">
        <v>1</v>
      </c>
      <c r="I18" s="171"/>
      <c r="J18" s="617"/>
      <c r="K18" s="617"/>
    </row>
    <row r="19" spans="1:12" s="706" customFormat="1" ht="15" customHeight="1" x14ac:dyDescent="0.2">
      <c r="A19" s="707"/>
      <c r="B19" s="1001">
        <v>45894</v>
      </c>
      <c r="C19" s="675">
        <v>45899</v>
      </c>
      <c r="D19" s="676">
        <v>0.33333333333333331</v>
      </c>
      <c r="E19" s="676">
        <v>0.33333333333333331</v>
      </c>
      <c r="F19" s="709"/>
      <c r="G19" s="709"/>
      <c r="H19" s="709">
        <v>5</v>
      </c>
      <c r="I19" s="737"/>
      <c r="J19" s="617"/>
      <c r="K19" s="617"/>
    </row>
    <row r="20" spans="1:12" ht="15" customHeight="1" x14ac:dyDescent="0.2">
      <c r="A20" s="125"/>
      <c r="B20" s="36">
        <v>45945</v>
      </c>
      <c r="C20" s="37">
        <v>45946</v>
      </c>
      <c r="D20" s="676">
        <v>0.33333333333333331</v>
      </c>
      <c r="E20" s="676">
        <v>0.33333333333333331</v>
      </c>
      <c r="F20" s="176"/>
      <c r="G20" s="127"/>
      <c r="H20" s="127">
        <v>1</v>
      </c>
      <c r="I20" s="171"/>
      <c r="J20" s="993"/>
      <c r="K20" s="617"/>
    </row>
    <row r="21" spans="1:12" ht="15" customHeight="1" x14ac:dyDescent="0.2">
      <c r="A21" s="125"/>
      <c r="B21" s="36">
        <v>45979</v>
      </c>
      <c r="C21" s="37">
        <v>45980</v>
      </c>
      <c r="D21" s="676">
        <v>0.33333333333333331</v>
      </c>
      <c r="E21" s="676">
        <v>0.33333333333333331</v>
      </c>
      <c r="F21" s="176"/>
      <c r="G21" s="123"/>
      <c r="H21" s="127">
        <v>1</v>
      </c>
      <c r="I21" s="177"/>
      <c r="J21" s="617"/>
      <c r="K21" s="617"/>
    </row>
    <row r="22" spans="1:12" ht="15" customHeight="1" x14ac:dyDescent="0.2">
      <c r="A22" s="125"/>
      <c r="B22" s="36">
        <v>46024</v>
      </c>
      <c r="C22" s="37">
        <v>46041</v>
      </c>
      <c r="D22" s="38"/>
      <c r="E22" s="38"/>
      <c r="F22" s="176"/>
      <c r="G22" s="123"/>
      <c r="H22" s="127">
        <v>14</v>
      </c>
      <c r="I22" s="177"/>
      <c r="J22" s="617"/>
      <c r="K22" s="617"/>
      <c r="L22" s="620"/>
    </row>
    <row r="23" spans="1:12" ht="15" customHeight="1" x14ac:dyDescent="0.2">
      <c r="A23" s="125"/>
      <c r="B23" s="36">
        <v>46111</v>
      </c>
      <c r="C23" s="37">
        <v>46112</v>
      </c>
      <c r="D23" s="38"/>
      <c r="E23" s="38"/>
      <c r="F23" s="78"/>
      <c r="G23" s="123"/>
      <c r="H23" s="127">
        <v>1</v>
      </c>
      <c r="I23" s="40"/>
      <c r="J23" s="617"/>
      <c r="K23" s="617"/>
      <c r="L23" s="620"/>
    </row>
    <row r="24" spans="1:12" ht="15" customHeight="1" x14ac:dyDescent="0.2">
      <c r="A24" s="125"/>
      <c r="B24" s="1181" t="s">
        <v>988</v>
      </c>
      <c r="C24" s="1182"/>
      <c r="D24" s="1029"/>
      <c r="E24" s="1029"/>
      <c r="F24" s="1045"/>
      <c r="G24" s="1046"/>
      <c r="H24" s="521">
        <v>-3</v>
      </c>
      <c r="I24" s="40"/>
      <c r="J24" s="617"/>
      <c r="K24" s="617"/>
    </row>
    <row r="25" spans="1:12" ht="15" customHeight="1" x14ac:dyDescent="0.2">
      <c r="A25" s="125"/>
      <c r="B25" s="36"/>
      <c r="C25" s="37"/>
      <c r="D25" s="38"/>
      <c r="E25" s="38"/>
      <c r="F25" s="78"/>
      <c r="G25" s="123"/>
      <c r="H25" s="127"/>
      <c r="I25" s="40"/>
      <c r="J25" s="619"/>
      <c r="K25" s="619"/>
    </row>
    <row r="26" spans="1:12" ht="15" customHeight="1" x14ac:dyDescent="0.2">
      <c r="A26" s="174"/>
      <c r="B26" s="172"/>
      <c r="C26" s="173"/>
      <c r="D26" s="175"/>
      <c r="E26" s="175"/>
      <c r="F26" s="127"/>
      <c r="G26" s="123"/>
      <c r="H26" s="126"/>
      <c r="I26" s="171"/>
      <c r="J26" s="617"/>
      <c r="K26" s="617"/>
    </row>
    <row r="27" spans="1:12" ht="15" customHeight="1" x14ac:dyDescent="0.2">
      <c r="A27" s="178"/>
      <c r="B27" s="179"/>
      <c r="C27" s="180"/>
      <c r="D27" s="181"/>
      <c r="E27" s="181"/>
      <c r="F27" s="132" t="s">
        <v>123</v>
      </c>
      <c r="G27" s="132">
        <f>SUM(G5:G26)</f>
        <v>28</v>
      </c>
      <c r="H27" s="182">
        <f>SUM(H7:H26)</f>
        <v>32.5</v>
      </c>
      <c r="I27" s="183"/>
      <c r="J27" s="617"/>
      <c r="K27" s="617"/>
    </row>
    <row r="28" spans="1:12" ht="15" customHeight="1" x14ac:dyDescent="0.2">
      <c r="A28" s="33"/>
      <c r="B28" s="33"/>
      <c r="C28" s="33"/>
      <c r="D28" s="33"/>
      <c r="E28" s="33"/>
      <c r="F28" s="33"/>
      <c r="G28" s="133"/>
      <c r="H28" s="133"/>
      <c r="I28" s="133"/>
      <c r="J28" s="617"/>
      <c r="K28" s="617"/>
    </row>
    <row r="29" spans="1:12" ht="15" customHeight="1" x14ac:dyDescent="0.2">
      <c r="A29" s="33"/>
      <c r="B29" s="33"/>
      <c r="C29" s="33"/>
      <c r="D29" s="33"/>
      <c r="E29" s="33"/>
      <c r="F29" s="1169" t="s">
        <v>8</v>
      </c>
      <c r="G29" s="1170"/>
      <c r="H29" s="134">
        <f>G27-H27</f>
        <v>-4.5</v>
      </c>
      <c r="I29" s="133"/>
      <c r="J29" s="617"/>
      <c r="K29" s="617"/>
    </row>
    <row r="30" spans="1:12" ht="12.75" customHeight="1" x14ac:dyDescent="0.2"/>
    <row r="31" spans="1:12" ht="12.75" customHeight="1" x14ac:dyDescent="0.2"/>
    <row r="32" spans="1:12" ht="12.75" customHeight="1" x14ac:dyDescent="0.2"/>
    <row r="33" ht="12.75" customHeight="1" x14ac:dyDescent="0.2"/>
    <row r="34" ht="12.75" customHeight="1" x14ac:dyDescent="0.2"/>
    <row r="35" ht="12.75" customHeight="1" x14ac:dyDescent="0.2"/>
  </sheetData>
  <mergeCells count="5">
    <mergeCell ref="F29:G29"/>
    <mergeCell ref="C1:H5"/>
    <mergeCell ref="J1:K3"/>
    <mergeCell ref="B8:C8"/>
    <mergeCell ref="B24:C24"/>
  </mergeCells>
  <hyperlinks>
    <hyperlink ref="J6:K6" location="'ANA SAYFA'!A1" display="AnaSayfa"/>
    <hyperlink ref="J1:K3" location="'ANA SAYFA'!A1" display="Ana Sayfa"/>
  </hyperlinks>
  <pageMargins left="0.7" right="0.2" top="0.28999999999999998" bottom="0.75" header="0.3" footer="0.3"/>
  <pageSetup paperSize="9" scale="9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0"/>
  <sheetViews>
    <sheetView zoomScaleNormal="100" workbookViewId="0">
      <selection activeCell="H13" sqref="H13"/>
    </sheetView>
  </sheetViews>
  <sheetFormatPr defaultColWidth="9.140625" defaultRowHeight="11.25" x14ac:dyDescent="0.2"/>
  <cols>
    <col min="1" max="1" width="18.5703125" style="120" bestFit="1" customWidth="1"/>
    <col min="2" max="2" width="25.28515625" style="120" bestFit="1" customWidth="1"/>
    <col min="3" max="3" width="26.140625" style="120" bestFit="1" customWidth="1"/>
    <col min="4" max="5" width="9.140625" style="120"/>
    <col min="6" max="6" width="20.28515625" style="120" customWidth="1"/>
    <col min="7" max="7" width="14.28515625" style="120" bestFit="1" customWidth="1"/>
    <col min="8" max="8" width="12.5703125" style="120" bestFit="1" customWidth="1"/>
    <col min="9" max="9" width="3.7109375" style="120" customWidth="1"/>
    <col min="10" max="10" width="10.140625" style="120" bestFit="1" customWidth="1"/>
    <col min="11" max="11" width="9.140625" style="120"/>
    <col min="12" max="12" width="10.140625" style="120" bestFit="1" customWidth="1"/>
    <col min="13" max="14" width="11.28515625" style="120" bestFit="1" customWidth="1"/>
    <col min="15" max="16384" width="9.140625" style="120"/>
  </cols>
  <sheetData>
    <row r="1" spans="1:13" ht="14.25" customHeight="1" x14ac:dyDescent="0.2">
      <c r="A1" s="135" t="s">
        <v>135</v>
      </c>
      <c r="B1" s="193" t="str">
        <f>'ANA SAYFA'!B14</f>
        <v xml:space="preserve">SATILMIŞ ÇAKAR </v>
      </c>
      <c r="C1" s="1186" t="s">
        <v>136</v>
      </c>
      <c r="D1" s="1187"/>
      <c r="E1" s="1187"/>
      <c r="F1" s="1187"/>
      <c r="G1" s="1187"/>
      <c r="H1" s="1188"/>
      <c r="I1" s="119"/>
      <c r="J1" s="1183" t="s">
        <v>712</v>
      </c>
      <c r="K1" s="33"/>
    </row>
    <row r="2" spans="1:13" ht="14.25" customHeight="1" x14ac:dyDescent="0.2">
      <c r="A2" s="135" t="s">
        <v>137</v>
      </c>
      <c r="B2" s="186">
        <f>'ANA SAYFA'!D14</f>
        <v>45814447276</v>
      </c>
      <c r="C2" s="1189"/>
      <c r="D2" s="1190"/>
      <c r="E2" s="1190"/>
      <c r="F2" s="1190"/>
      <c r="G2" s="1190"/>
      <c r="H2" s="1191"/>
      <c r="I2" s="119"/>
      <c r="J2" s="1184"/>
      <c r="K2" s="33"/>
    </row>
    <row r="3" spans="1:13" ht="14.25" customHeight="1" thickBot="1" x14ac:dyDescent="0.25">
      <c r="A3" s="135" t="s">
        <v>131</v>
      </c>
      <c r="B3" s="187" t="str">
        <f>'ANA SAYFA'!C14</f>
        <v>BEKO LODER OPT.</v>
      </c>
      <c r="C3" s="1189"/>
      <c r="D3" s="1190"/>
      <c r="E3" s="1190"/>
      <c r="F3" s="1190"/>
      <c r="G3" s="1190"/>
      <c r="H3" s="1191"/>
      <c r="I3" s="119"/>
      <c r="J3" s="1185"/>
      <c r="K3" s="33"/>
    </row>
    <row r="4" spans="1:13" ht="14.25" customHeight="1" x14ac:dyDescent="0.2">
      <c r="A4" s="135" t="s">
        <v>120</v>
      </c>
      <c r="B4" s="136">
        <f>'ANA SAYFA'!E14</f>
        <v>45527</v>
      </c>
      <c r="C4" s="1189"/>
      <c r="D4" s="1190"/>
      <c r="E4" s="1190"/>
      <c r="F4" s="1190"/>
      <c r="G4" s="1190"/>
      <c r="H4" s="1191"/>
      <c r="I4" s="119"/>
      <c r="J4" s="33"/>
      <c r="K4" s="33"/>
    </row>
    <row r="5" spans="1:13" ht="14.25" customHeight="1" x14ac:dyDescent="0.2">
      <c r="A5" s="135" t="s">
        <v>130</v>
      </c>
      <c r="B5" s="136">
        <f>'ANA SAYFA'!F14</f>
        <v>27507</v>
      </c>
      <c r="C5" s="1192"/>
      <c r="D5" s="1193"/>
      <c r="E5" s="1193"/>
      <c r="F5" s="1193"/>
      <c r="G5" s="1193"/>
      <c r="H5" s="1194"/>
      <c r="I5" s="119"/>
      <c r="J5" s="706"/>
      <c r="K5" s="706"/>
    </row>
    <row r="6" spans="1:13" ht="33.75" x14ac:dyDescent="0.2">
      <c r="A6" s="69" t="s">
        <v>0</v>
      </c>
      <c r="B6" s="70" t="s">
        <v>1</v>
      </c>
      <c r="C6" s="69" t="s">
        <v>2</v>
      </c>
      <c r="D6" s="71" t="s">
        <v>133</v>
      </c>
      <c r="E6" s="71" t="s">
        <v>4</v>
      </c>
      <c r="F6" s="71" t="s">
        <v>7</v>
      </c>
      <c r="G6" s="71" t="s">
        <v>6</v>
      </c>
      <c r="H6" s="71" t="s">
        <v>16</v>
      </c>
      <c r="I6" s="34"/>
      <c r="J6" s="982">
        <v>45930</v>
      </c>
      <c r="K6" s="532" t="s">
        <v>889</v>
      </c>
      <c r="L6" s="543">
        <v>45931</v>
      </c>
      <c r="M6" s="532" t="s">
        <v>890</v>
      </c>
    </row>
    <row r="7" spans="1:13" ht="14.25" customHeight="1" x14ac:dyDescent="0.2">
      <c r="A7" s="121"/>
      <c r="B7" s="36">
        <v>45570</v>
      </c>
      <c r="C7" s="37">
        <v>45570</v>
      </c>
      <c r="D7" s="38">
        <v>0.33333333333333331</v>
      </c>
      <c r="E7" s="676">
        <v>0.33333333333333331</v>
      </c>
      <c r="F7" s="1008" t="s">
        <v>819</v>
      </c>
      <c r="G7" s="123">
        <v>20</v>
      </c>
      <c r="H7" s="123">
        <v>1</v>
      </c>
      <c r="I7" s="171"/>
      <c r="J7" s="33"/>
      <c r="K7" s="33"/>
    </row>
    <row r="8" spans="1:13" ht="14.25" customHeight="1" x14ac:dyDescent="0.2">
      <c r="A8" s="121"/>
      <c r="B8" s="36">
        <v>45698</v>
      </c>
      <c r="C8" s="37">
        <v>45699</v>
      </c>
      <c r="D8" s="676">
        <v>0.33333333333333331</v>
      </c>
      <c r="E8" s="676">
        <v>0.33333333333333331</v>
      </c>
      <c r="F8" s="169"/>
      <c r="G8" s="123"/>
      <c r="H8" s="123">
        <v>2</v>
      </c>
      <c r="I8" s="171"/>
      <c r="J8" s="33"/>
      <c r="K8" s="33"/>
    </row>
    <row r="9" spans="1:13" s="653" customFormat="1" ht="12.75" x14ac:dyDescent="0.2">
      <c r="A9" s="725"/>
      <c r="B9" s="1195" t="s">
        <v>706</v>
      </c>
      <c r="C9" s="1196"/>
      <c r="D9" s="778"/>
      <c r="E9" s="778"/>
      <c r="F9" s="788"/>
      <c r="G9" s="723"/>
      <c r="H9" s="587">
        <v>-2</v>
      </c>
      <c r="I9" s="584"/>
      <c r="J9" s="699"/>
    </row>
    <row r="10" spans="1:13" ht="14.25" customHeight="1" x14ac:dyDescent="0.2">
      <c r="A10" s="121"/>
      <c r="B10" s="1195" t="s">
        <v>777</v>
      </c>
      <c r="C10" s="1196"/>
      <c r="D10" s="38"/>
      <c r="E10" s="38"/>
      <c r="F10" s="169"/>
      <c r="G10" s="123"/>
      <c r="H10" s="627">
        <v>-1</v>
      </c>
      <c r="I10" s="171"/>
      <c r="J10" s="33"/>
      <c r="K10" s="33"/>
    </row>
    <row r="11" spans="1:13" ht="14.25" customHeight="1" x14ac:dyDescent="0.2">
      <c r="A11" s="121"/>
      <c r="B11" s="36">
        <v>45818</v>
      </c>
      <c r="C11" s="129">
        <v>45819</v>
      </c>
      <c r="D11" s="38"/>
      <c r="E11" s="38"/>
      <c r="F11" s="169"/>
      <c r="G11" s="123"/>
      <c r="H11" s="123">
        <v>1</v>
      </c>
      <c r="I11" s="171"/>
      <c r="J11" s="33"/>
      <c r="K11" s="33"/>
    </row>
    <row r="12" spans="1:13" ht="14.25" customHeight="1" x14ac:dyDescent="0.2">
      <c r="A12" s="128"/>
      <c r="B12" s="36">
        <v>45873</v>
      </c>
      <c r="C12" s="129">
        <v>45876</v>
      </c>
      <c r="D12" s="38">
        <v>0.33333333333333331</v>
      </c>
      <c r="E12" s="38">
        <v>0.33333333333333331</v>
      </c>
      <c r="G12" s="127"/>
      <c r="H12" s="123">
        <v>3</v>
      </c>
      <c r="I12" s="171"/>
      <c r="J12" s="33"/>
      <c r="K12" s="33"/>
    </row>
    <row r="13" spans="1:13" ht="14.25" customHeight="1" x14ac:dyDescent="0.2">
      <c r="A13" s="174"/>
      <c r="B13" s="172">
        <v>45976</v>
      </c>
      <c r="C13" s="173">
        <v>45985</v>
      </c>
      <c r="D13" s="676">
        <v>0.33333333333333331</v>
      </c>
      <c r="E13" s="676">
        <v>0.33333333333333331</v>
      </c>
      <c r="F13" s="127"/>
      <c r="G13" s="127"/>
      <c r="H13" s="127">
        <v>7</v>
      </c>
      <c r="I13" s="171"/>
      <c r="J13" s="33"/>
      <c r="K13" s="33"/>
    </row>
    <row r="14" spans="1:13" ht="14.25" customHeight="1" x14ac:dyDescent="0.2">
      <c r="A14" s="174"/>
      <c r="B14" s="172"/>
      <c r="C14" s="173"/>
      <c r="D14" s="38"/>
      <c r="E14" s="38"/>
      <c r="F14" s="127"/>
      <c r="G14" s="127"/>
      <c r="H14" s="127"/>
      <c r="I14" s="171"/>
      <c r="J14" s="33"/>
      <c r="K14" s="33"/>
    </row>
    <row r="15" spans="1:13" ht="14.25" customHeight="1" x14ac:dyDescent="0.2">
      <c r="A15" s="125"/>
      <c r="B15" s="36"/>
      <c r="C15" s="37"/>
      <c r="D15" s="38"/>
      <c r="E15" s="38"/>
      <c r="F15" s="127"/>
      <c r="G15" s="127"/>
      <c r="H15" s="127"/>
      <c r="I15" s="171"/>
      <c r="J15" s="33"/>
      <c r="K15" s="33"/>
    </row>
    <row r="16" spans="1:13" ht="14.25" customHeight="1" x14ac:dyDescent="0.2">
      <c r="A16" s="125"/>
      <c r="B16" s="36"/>
      <c r="C16" s="37"/>
      <c r="D16" s="38"/>
      <c r="E16" s="38"/>
      <c r="F16" s="127"/>
      <c r="G16" s="127"/>
      <c r="H16" s="127"/>
      <c r="I16" s="171"/>
      <c r="J16" s="33"/>
      <c r="K16" s="33"/>
    </row>
    <row r="17" spans="1:11" ht="14.25" customHeight="1" x14ac:dyDescent="0.2">
      <c r="A17" s="125"/>
      <c r="B17" s="36"/>
      <c r="C17" s="37"/>
      <c r="D17" s="38"/>
      <c r="E17" s="38"/>
      <c r="F17" s="127"/>
      <c r="G17" s="127"/>
      <c r="H17" s="127"/>
      <c r="I17" s="171"/>
      <c r="J17" s="33"/>
      <c r="K17" s="33"/>
    </row>
    <row r="18" spans="1:11" ht="14.25" customHeight="1" x14ac:dyDescent="0.2">
      <c r="A18" s="125"/>
      <c r="B18" s="36"/>
      <c r="C18" s="37"/>
      <c r="D18" s="38"/>
      <c r="E18" s="38"/>
      <c r="F18" s="176"/>
      <c r="G18" s="127"/>
      <c r="H18" s="127"/>
      <c r="I18" s="171"/>
      <c r="J18" s="33"/>
      <c r="K18" s="33"/>
    </row>
    <row r="19" spans="1:11" ht="14.25" customHeight="1" x14ac:dyDescent="0.2">
      <c r="A19" s="125"/>
      <c r="B19" s="36"/>
      <c r="C19" s="37"/>
      <c r="D19" s="38"/>
      <c r="E19" s="38"/>
      <c r="F19" s="176"/>
      <c r="G19" s="123"/>
      <c r="H19" s="127"/>
      <c r="I19" s="177"/>
      <c r="J19" s="33"/>
      <c r="K19" s="33"/>
    </row>
    <row r="20" spans="1:11" ht="14.25" customHeight="1" x14ac:dyDescent="0.2">
      <c r="A20" s="125"/>
      <c r="B20" s="506"/>
      <c r="C20" s="37"/>
      <c r="D20" s="38"/>
      <c r="E20" s="38"/>
      <c r="F20" s="176"/>
      <c r="G20" s="123"/>
      <c r="H20" s="127"/>
      <c r="I20" s="177"/>
      <c r="J20" s="33"/>
      <c r="K20" s="33"/>
    </row>
    <row r="21" spans="1:11" ht="14.25" customHeight="1" x14ac:dyDescent="0.2">
      <c r="A21" s="125"/>
      <c r="B21" s="506"/>
      <c r="C21" s="37"/>
      <c r="D21" s="38"/>
      <c r="E21" s="38"/>
      <c r="F21" s="176"/>
      <c r="G21" s="123"/>
      <c r="H21" s="127"/>
      <c r="I21" s="177"/>
      <c r="J21" s="33"/>
      <c r="K21" s="33"/>
    </row>
    <row r="22" spans="1:11" ht="14.25" customHeight="1" x14ac:dyDescent="0.2">
      <c r="A22" s="125"/>
      <c r="B22" s="506"/>
      <c r="C22" s="37"/>
      <c r="D22" s="38"/>
      <c r="E22" s="38"/>
      <c r="F22" s="176"/>
      <c r="G22" s="123"/>
      <c r="H22" s="127"/>
      <c r="I22" s="177"/>
      <c r="J22" s="33"/>
      <c r="K22" s="33"/>
    </row>
    <row r="23" spans="1:11" ht="14.25" customHeight="1" x14ac:dyDescent="0.2">
      <c r="A23" s="125"/>
      <c r="B23" s="506"/>
      <c r="C23" s="37"/>
      <c r="D23" s="38"/>
      <c r="E23" s="38"/>
      <c r="F23" s="176"/>
      <c r="G23" s="123"/>
      <c r="H23" s="127"/>
      <c r="I23" s="177"/>
      <c r="J23" s="33"/>
      <c r="K23" s="33"/>
    </row>
    <row r="24" spans="1:11" ht="14.25" customHeight="1" x14ac:dyDescent="0.2">
      <c r="A24" s="125"/>
      <c r="B24" s="506"/>
      <c r="C24" s="37"/>
      <c r="D24" s="38"/>
      <c r="E24" s="38"/>
      <c r="F24" s="176"/>
      <c r="G24" s="123"/>
      <c r="H24" s="127"/>
      <c r="I24" s="177"/>
      <c r="J24" s="33"/>
      <c r="K24" s="33"/>
    </row>
    <row r="25" spans="1:11" ht="14.25" customHeight="1" x14ac:dyDescent="0.2">
      <c r="A25" s="125"/>
      <c r="B25" s="506"/>
      <c r="C25" s="37"/>
      <c r="D25" s="38"/>
      <c r="E25" s="38"/>
      <c r="F25" s="78"/>
      <c r="G25" s="123"/>
      <c r="H25" s="127"/>
      <c r="I25" s="40"/>
      <c r="J25" s="33"/>
      <c r="K25" s="33"/>
    </row>
    <row r="26" spans="1:11" ht="14.25" customHeight="1" x14ac:dyDescent="0.2">
      <c r="A26" s="125"/>
      <c r="B26" s="506"/>
      <c r="C26" s="37"/>
      <c r="D26" s="38"/>
      <c r="E26" s="38"/>
      <c r="F26" s="78"/>
      <c r="G26" s="123"/>
      <c r="H26" s="127"/>
      <c r="I26" s="40"/>
      <c r="J26" s="33"/>
      <c r="K26" s="33"/>
    </row>
    <row r="27" spans="1:11" ht="14.25" customHeight="1" x14ac:dyDescent="0.2">
      <c r="A27" s="125"/>
      <c r="B27" s="506"/>
      <c r="C27" s="37"/>
      <c r="D27" s="38"/>
      <c r="E27" s="38"/>
      <c r="F27" s="78"/>
      <c r="G27" s="123"/>
      <c r="H27" s="127"/>
      <c r="I27" s="40"/>
      <c r="J27" s="124"/>
      <c r="K27" s="124"/>
    </row>
    <row r="28" spans="1:11" ht="14.25" customHeight="1" x14ac:dyDescent="0.2">
      <c r="A28" s="125"/>
      <c r="B28" s="506"/>
      <c r="C28" s="37"/>
      <c r="D28" s="38"/>
      <c r="E28" s="38"/>
      <c r="F28" s="127"/>
      <c r="G28" s="123"/>
      <c r="H28" s="123"/>
      <c r="I28" s="171"/>
      <c r="J28" s="33"/>
      <c r="K28" s="33"/>
    </row>
    <row r="29" spans="1:11" ht="14.25" customHeight="1" x14ac:dyDescent="0.2">
      <c r="A29" s="125"/>
      <c r="B29" s="506"/>
      <c r="C29" s="37"/>
      <c r="D29" s="38"/>
      <c r="E29" s="38"/>
      <c r="F29" s="127"/>
      <c r="G29" s="123"/>
      <c r="H29" s="123"/>
      <c r="I29" s="171"/>
      <c r="J29" s="33"/>
      <c r="K29" s="33"/>
    </row>
    <row r="30" spans="1:11" ht="14.25" customHeight="1" x14ac:dyDescent="0.2">
      <c r="A30" s="125"/>
      <c r="B30" s="506"/>
      <c r="C30" s="37"/>
      <c r="D30" s="38"/>
      <c r="E30" s="38"/>
      <c r="F30" s="127"/>
      <c r="G30" s="127"/>
      <c r="H30" s="127"/>
      <c r="I30" s="171"/>
      <c r="J30" s="33"/>
      <c r="K30" s="33"/>
    </row>
    <row r="31" spans="1:11" ht="14.25" customHeight="1" x14ac:dyDescent="0.2">
      <c r="A31" s="125"/>
      <c r="B31" s="506"/>
      <c r="C31" s="37"/>
      <c r="D31" s="38"/>
      <c r="E31" s="38"/>
      <c r="F31" s="127"/>
      <c r="G31" s="127"/>
      <c r="H31" s="127"/>
      <c r="I31" s="171"/>
      <c r="J31" s="33"/>
      <c r="K31" s="33"/>
    </row>
    <row r="32" spans="1:11" ht="14.25" customHeight="1" x14ac:dyDescent="0.2">
      <c r="A32" s="125"/>
      <c r="B32" s="506"/>
      <c r="C32" s="37"/>
      <c r="D32" s="38"/>
      <c r="E32" s="38"/>
      <c r="F32" s="127"/>
      <c r="G32" s="127"/>
      <c r="H32" s="127"/>
      <c r="I32" s="171"/>
      <c r="J32" s="33"/>
      <c r="K32" s="33"/>
    </row>
    <row r="33" spans="1:11" ht="14.25" customHeight="1" x14ac:dyDescent="0.2">
      <c r="A33" s="125"/>
      <c r="B33" s="506"/>
      <c r="C33" s="37"/>
      <c r="D33" s="38"/>
      <c r="E33" s="38"/>
      <c r="F33" s="127"/>
      <c r="G33" s="127"/>
      <c r="H33" s="127"/>
      <c r="I33" s="171"/>
      <c r="J33" s="33"/>
      <c r="K33" s="33"/>
    </row>
    <row r="34" spans="1:11" ht="14.25" customHeight="1" x14ac:dyDescent="0.2">
      <c r="A34" s="125"/>
      <c r="B34" s="506"/>
      <c r="C34" s="37"/>
      <c r="D34" s="38"/>
      <c r="E34" s="38"/>
      <c r="F34" s="132" t="s">
        <v>123</v>
      </c>
      <c r="G34" s="132">
        <f>SUM(G7:G33)</f>
        <v>20</v>
      </c>
      <c r="H34" s="132">
        <f>SUM(H7:H33)</f>
        <v>11</v>
      </c>
      <c r="I34" s="183"/>
      <c r="J34" s="33"/>
      <c r="K34" s="33"/>
    </row>
    <row r="35" spans="1:11" ht="14.25" customHeight="1" x14ac:dyDescent="0.2">
      <c r="A35" s="33"/>
      <c r="B35" s="33"/>
      <c r="C35" s="33"/>
      <c r="D35" s="33"/>
      <c r="E35" s="33"/>
      <c r="F35" s="33"/>
      <c r="G35" s="133"/>
      <c r="H35" s="133"/>
      <c r="I35" s="133"/>
      <c r="J35" s="33"/>
      <c r="K35" s="33"/>
    </row>
    <row r="36" spans="1:11" ht="14.25" customHeight="1" x14ac:dyDescent="0.2">
      <c r="A36" s="33"/>
      <c r="B36" s="33"/>
      <c r="C36" s="33"/>
      <c r="D36" s="33"/>
      <c r="E36" s="33"/>
      <c r="F36" s="1169" t="s">
        <v>8</v>
      </c>
      <c r="G36" s="1170"/>
      <c r="H36" s="184">
        <f>G34-H34</f>
        <v>9</v>
      </c>
      <c r="I36" s="133"/>
      <c r="J36" s="33"/>
      <c r="K36" s="33"/>
    </row>
    <row r="37" spans="1:11" ht="12.75" customHeight="1" x14ac:dyDescent="0.2"/>
    <row r="38" spans="1:11" ht="12.75" customHeight="1" x14ac:dyDescent="0.2"/>
    <row r="39" spans="1:11" ht="12.75" customHeight="1" x14ac:dyDescent="0.2"/>
    <row r="40" spans="1:11" ht="12.75" customHeight="1" x14ac:dyDescent="0.2"/>
  </sheetData>
  <sortState ref="B8:K18">
    <sortCondition ref="B8"/>
  </sortState>
  <mergeCells count="5">
    <mergeCell ref="F36:G36"/>
    <mergeCell ref="J1:J3"/>
    <mergeCell ref="C1:H5"/>
    <mergeCell ref="B9:C9"/>
    <mergeCell ref="B10:C10"/>
  </mergeCells>
  <hyperlinks>
    <hyperlink ref="J1:J3" location="'ANA SAYFA'!A1" display="ANA SAYFA"/>
  </hyperlinks>
  <pageMargins left="0.7" right="0.2" top="0.28999999999999998" bottom="0.25" header="0.3" footer="0.22"/>
  <pageSetup paperSize="9" scale="72" orientation="portrait"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zoomScaleNormal="100" workbookViewId="0">
      <pane ySplit="6" topLeftCell="A28" activePane="bottomLeft" state="frozen"/>
      <selection pane="bottomLeft" activeCell="J1" sqref="J1:J3"/>
    </sheetView>
  </sheetViews>
  <sheetFormatPr defaultColWidth="9.140625" defaultRowHeight="11.25" x14ac:dyDescent="0.2"/>
  <cols>
    <col min="1" max="1" width="18.5703125" style="120" bestFit="1" customWidth="1"/>
    <col min="2" max="2" width="26.7109375" style="120" bestFit="1" customWidth="1"/>
    <col min="3" max="3" width="26.42578125" style="120" bestFit="1" customWidth="1"/>
    <col min="4" max="5" width="8.7109375" style="120" customWidth="1"/>
    <col min="6" max="6" width="20.140625" style="120" bestFit="1" customWidth="1"/>
    <col min="7" max="7" width="13" style="120" customWidth="1"/>
    <col min="8" max="8" width="12.85546875" style="120" customWidth="1"/>
    <col min="9" max="9" width="2.7109375" style="120" customWidth="1"/>
    <col min="10" max="10" width="10.85546875" style="120" customWidth="1"/>
    <col min="11" max="16384" width="9.140625" style="120"/>
  </cols>
  <sheetData>
    <row r="1" spans="1:10" ht="15" customHeight="1" x14ac:dyDescent="0.2">
      <c r="A1" s="135" t="s">
        <v>135</v>
      </c>
      <c r="B1" s="193" t="str">
        <f>'ANA SAYFA'!B15</f>
        <v xml:space="preserve">HİLMİ ÖZDEMİR </v>
      </c>
      <c r="C1" s="1186" t="s">
        <v>136</v>
      </c>
      <c r="D1" s="1187"/>
      <c r="E1" s="1187"/>
      <c r="F1" s="1187"/>
      <c r="G1" s="1187"/>
      <c r="H1" s="1188"/>
      <c r="I1" s="119"/>
      <c r="J1" s="1183" t="s">
        <v>712</v>
      </c>
    </row>
    <row r="2" spans="1:10" ht="15" customHeight="1" x14ac:dyDescent="0.2">
      <c r="A2" s="135" t="s">
        <v>137</v>
      </c>
      <c r="B2" s="186">
        <f>'ANA SAYFA'!D15</f>
        <v>50626705742</v>
      </c>
      <c r="C2" s="1189"/>
      <c r="D2" s="1190"/>
      <c r="E2" s="1190"/>
      <c r="F2" s="1190"/>
      <c r="G2" s="1190"/>
      <c r="H2" s="1191"/>
      <c r="I2" s="119"/>
      <c r="J2" s="1184"/>
    </row>
    <row r="3" spans="1:10" ht="15" customHeight="1" thickBot="1" x14ac:dyDescent="0.25">
      <c r="A3" s="135" t="s">
        <v>131</v>
      </c>
      <c r="B3" s="187" t="str">
        <f>'ANA SAYFA'!C15</f>
        <v>OPERATÖR</v>
      </c>
      <c r="C3" s="1189"/>
      <c r="D3" s="1190"/>
      <c r="E3" s="1190"/>
      <c r="F3" s="1190"/>
      <c r="G3" s="1190"/>
      <c r="H3" s="1191"/>
      <c r="I3" s="119"/>
      <c r="J3" s="1185"/>
    </row>
    <row r="4" spans="1:10" ht="15" customHeight="1" x14ac:dyDescent="0.2">
      <c r="A4" s="135" t="s">
        <v>120</v>
      </c>
      <c r="B4" s="136">
        <f>'ANA SAYFA'!E15</f>
        <v>41477</v>
      </c>
      <c r="C4" s="1189"/>
      <c r="D4" s="1190"/>
      <c r="E4" s="1190"/>
      <c r="F4" s="1190"/>
      <c r="G4" s="1190"/>
      <c r="H4" s="1191"/>
      <c r="I4" s="119"/>
    </row>
    <row r="5" spans="1:10" ht="15" customHeight="1" x14ac:dyDescent="0.2">
      <c r="A5" s="135" t="s">
        <v>130</v>
      </c>
      <c r="B5" s="136">
        <f>'ANA SAYFA'!F15</f>
        <v>26104</v>
      </c>
      <c r="C5" s="1192"/>
      <c r="D5" s="1193"/>
      <c r="E5" s="1193"/>
      <c r="F5" s="1193"/>
      <c r="G5" s="1193"/>
      <c r="H5" s="1194"/>
      <c r="I5" s="119"/>
    </row>
    <row r="6" spans="1:10" ht="42" x14ac:dyDescent="0.2">
      <c r="A6" s="69" t="s">
        <v>0</v>
      </c>
      <c r="B6" s="70" t="s">
        <v>1</v>
      </c>
      <c r="C6" s="69" t="s">
        <v>2</v>
      </c>
      <c r="D6" s="71" t="s">
        <v>133</v>
      </c>
      <c r="E6" s="71" t="s">
        <v>4</v>
      </c>
      <c r="F6" s="71" t="s">
        <v>7</v>
      </c>
      <c r="G6" s="71" t="s">
        <v>6</v>
      </c>
      <c r="H6" s="71" t="s">
        <v>16</v>
      </c>
      <c r="I6" s="34"/>
    </row>
    <row r="7" spans="1:10" ht="15.75" customHeight="1" x14ac:dyDescent="0.2">
      <c r="A7" s="375"/>
      <c r="B7" s="553">
        <v>41918</v>
      </c>
      <c r="C7" s="554">
        <v>41932</v>
      </c>
      <c r="D7" s="38">
        <v>0.33333333333333331</v>
      </c>
      <c r="E7" s="38">
        <v>0.33333333333333331</v>
      </c>
      <c r="F7" s="547" t="s">
        <v>14</v>
      </c>
      <c r="G7" s="123">
        <v>14</v>
      </c>
      <c r="H7" s="123">
        <v>12</v>
      </c>
      <c r="I7" s="34"/>
    </row>
    <row r="8" spans="1:10" ht="17.25" customHeight="1" x14ac:dyDescent="0.2">
      <c r="A8" s="375"/>
      <c r="B8" s="553">
        <v>42310</v>
      </c>
      <c r="C8" s="541">
        <v>42331</v>
      </c>
      <c r="D8" s="38">
        <v>0.33333333333333331</v>
      </c>
      <c r="E8" s="38">
        <v>0.33333333333333331</v>
      </c>
      <c r="F8" s="547" t="s">
        <v>20</v>
      </c>
      <c r="G8" s="123">
        <v>14</v>
      </c>
      <c r="H8" s="123">
        <v>18</v>
      </c>
      <c r="I8" s="34"/>
    </row>
    <row r="9" spans="1:10" ht="17.25" customHeight="1" x14ac:dyDescent="0.2">
      <c r="A9" s="69"/>
      <c r="B9" s="553">
        <v>42632</v>
      </c>
      <c r="C9" s="541">
        <v>42644</v>
      </c>
      <c r="D9" s="38">
        <v>0.33333333333333331</v>
      </c>
      <c r="E9" s="38">
        <v>0.33333333333333331</v>
      </c>
      <c r="F9" s="547" t="s">
        <v>22</v>
      </c>
      <c r="G9" s="123">
        <v>14</v>
      </c>
      <c r="H9" s="123">
        <v>11</v>
      </c>
      <c r="I9" s="34"/>
    </row>
    <row r="10" spans="1:10" ht="15.75" customHeight="1" x14ac:dyDescent="0.2">
      <c r="A10" s="69"/>
      <c r="B10" s="553">
        <v>43017</v>
      </c>
      <c r="C10" s="554">
        <v>43024</v>
      </c>
      <c r="D10" s="38">
        <v>0.33333333333333331</v>
      </c>
      <c r="E10" s="38">
        <v>0.33333333333333331</v>
      </c>
      <c r="F10" s="547" t="s">
        <v>688</v>
      </c>
      <c r="G10" s="123">
        <v>14</v>
      </c>
      <c r="H10" s="123">
        <v>6</v>
      </c>
      <c r="I10" s="34"/>
    </row>
    <row r="11" spans="1:10" ht="15.75" customHeight="1" x14ac:dyDescent="0.2">
      <c r="A11" s="69"/>
      <c r="B11" s="540">
        <v>43424</v>
      </c>
      <c r="C11" s="541">
        <v>43428</v>
      </c>
      <c r="D11" s="38">
        <v>0.33333333333333331</v>
      </c>
      <c r="E11" s="38">
        <v>0.33333333333333331</v>
      </c>
      <c r="F11" s="547" t="s">
        <v>689</v>
      </c>
      <c r="G11" s="123">
        <v>14</v>
      </c>
      <c r="H11" s="123">
        <v>4</v>
      </c>
      <c r="I11" s="34"/>
    </row>
    <row r="12" spans="1:10" ht="15.75" customHeight="1" x14ac:dyDescent="0.2">
      <c r="A12" s="69"/>
      <c r="B12" s="540">
        <v>43815</v>
      </c>
      <c r="C12" s="541">
        <v>43825</v>
      </c>
      <c r="D12" s="38">
        <v>0.33333333333333331</v>
      </c>
      <c r="E12" s="38">
        <v>0.33333333333333331</v>
      </c>
      <c r="F12" s="547" t="s">
        <v>690</v>
      </c>
      <c r="G12" s="123">
        <v>20</v>
      </c>
      <c r="H12" s="123">
        <v>9</v>
      </c>
      <c r="I12" s="34"/>
    </row>
    <row r="13" spans="1:10" ht="15.75" customHeight="1" x14ac:dyDescent="0.2">
      <c r="A13" s="1198" t="s">
        <v>697</v>
      </c>
      <c r="B13" s="372">
        <v>44102</v>
      </c>
      <c r="C13" s="373">
        <v>44117</v>
      </c>
      <c r="D13" s="38">
        <v>0.33333333333333331</v>
      </c>
      <c r="E13" s="38">
        <v>0.33333333333333331</v>
      </c>
      <c r="F13" s="547" t="s">
        <v>691</v>
      </c>
      <c r="G13" s="123">
        <v>20</v>
      </c>
      <c r="H13" s="123">
        <v>14</v>
      </c>
      <c r="I13" s="34"/>
    </row>
    <row r="14" spans="1:10" ht="15.75" customHeight="1" x14ac:dyDescent="0.2">
      <c r="A14" s="1199"/>
      <c r="B14" s="372">
        <v>44298</v>
      </c>
      <c r="C14" s="373">
        <v>44308</v>
      </c>
      <c r="D14" s="38">
        <v>0.33333333333333331</v>
      </c>
      <c r="E14" s="38">
        <v>0.33333333333333331</v>
      </c>
      <c r="F14" s="542" t="s">
        <v>698</v>
      </c>
      <c r="G14" s="123">
        <v>20</v>
      </c>
      <c r="H14" s="123">
        <v>10</v>
      </c>
      <c r="I14" s="34"/>
    </row>
    <row r="15" spans="1:10" ht="15.75" customHeight="1" x14ac:dyDescent="0.2">
      <c r="A15" s="69"/>
      <c r="B15" s="372">
        <v>44652</v>
      </c>
      <c r="C15" s="373">
        <v>44674</v>
      </c>
      <c r="D15" s="38">
        <v>0.33333333333333331</v>
      </c>
      <c r="E15" s="38">
        <v>0.33333333333333331</v>
      </c>
      <c r="F15" s="544" t="s">
        <v>542</v>
      </c>
      <c r="G15" s="123">
        <v>20</v>
      </c>
      <c r="H15" s="127">
        <v>20</v>
      </c>
      <c r="I15" s="34"/>
    </row>
    <row r="16" spans="1:10" ht="15.75" customHeight="1" x14ac:dyDescent="0.2">
      <c r="A16" s="555"/>
      <c r="B16" s="372">
        <v>44680</v>
      </c>
      <c r="C16" s="373" t="s">
        <v>206</v>
      </c>
      <c r="D16" s="38">
        <v>0.33333333333333331</v>
      </c>
      <c r="E16" s="38">
        <v>0.33333333333333331</v>
      </c>
      <c r="F16" s="552" t="s">
        <v>683</v>
      </c>
      <c r="G16" s="123">
        <v>20</v>
      </c>
      <c r="H16" s="123">
        <v>4</v>
      </c>
      <c r="I16" s="34"/>
    </row>
    <row r="17" spans="1:9" ht="15.75" customHeight="1" x14ac:dyDescent="0.2">
      <c r="A17" s="555"/>
      <c r="B17" s="372">
        <v>45088</v>
      </c>
      <c r="C17" s="541">
        <v>45103</v>
      </c>
      <c r="D17" s="38">
        <v>0.33333333333333331</v>
      </c>
      <c r="E17" s="38">
        <v>0.33333333333333331</v>
      </c>
      <c r="F17" s="552"/>
      <c r="G17" s="123"/>
      <c r="H17" s="123">
        <v>14</v>
      </c>
      <c r="I17" s="34"/>
    </row>
    <row r="18" spans="1:9" ht="15.75" customHeight="1" x14ac:dyDescent="0.2">
      <c r="A18" s="555"/>
      <c r="B18" s="372">
        <v>45250</v>
      </c>
      <c r="C18" s="373">
        <v>45262</v>
      </c>
      <c r="D18" s="38">
        <v>0.33333333333333331</v>
      </c>
      <c r="E18" s="38">
        <v>0.33333333333333331</v>
      </c>
      <c r="F18" s="552"/>
      <c r="G18" s="123"/>
      <c r="H18" s="127">
        <v>12</v>
      </c>
      <c r="I18" s="34"/>
    </row>
    <row r="19" spans="1:9" ht="15.75" customHeight="1" x14ac:dyDescent="0.2">
      <c r="A19" s="557"/>
      <c r="B19" s="556">
        <v>45490</v>
      </c>
      <c r="C19" s="554">
        <v>45488</v>
      </c>
      <c r="D19" s="38">
        <v>0.33333333333333331</v>
      </c>
      <c r="E19" s="38">
        <v>0.33333333333333331</v>
      </c>
      <c r="F19" s="127"/>
      <c r="G19" s="127"/>
      <c r="H19" s="123">
        <v>14</v>
      </c>
      <c r="I19" s="171"/>
    </row>
    <row r="20" spans="1:9" ht="15.75" customHeight="1" x14ac:dyDescent="0.2">
      <c r="A20" s="808"/>
      <c r="B20" s="172">
        <v>45530</v>
      </c>
      <c r="C20" s="173">
        <v>45531</v>
      </c>
      <c r="D20" s="38">
        <v>0.33333333333333331</v>
      </c>
      <c r="E20" s="38">
        <v>0.33333333333333331</v>
      </c>
      <c r="F20" s="127"/>
      <c r="G20" s="127"/>
      <c r="H20" s="123">
        <v>2</v>
      </c>
      <c r="I20" s="171"/>
    </row>
    <row r="21" spans="1:9" s="706" customFormat="1" ht="15.75" customHeight="1" x14ac:dyDescent="0.2">
      <c r="A21" s="808"/>
      <c r="B21" s="738">
        <v>45749</v>
      </c>
      <c r="C21" s="738">
        <v>45749</v>
      </c>
      <c r="D21" s="676">
        <v>0.33333333333333331</v>
      </c>
      <c r="E21" s="676">
        <v>0.33333333333333331</v>
      </c>
      <c r="F21" s="709"/>
      <c r="G21" s="709"/>
      <c r="H21" s="123">
        <v>1</v>
      </c>
      <c r="I21" s="737"/>
    </row>
    <row r="22" spans="1:9" s="706" customFormat="1" ht="15.75" customHeight="1" x14ac:dyDescent="0.2">
      <c r="A22" s="808"/>
      <c r="B22" s="738"/>
      <c r="C22" s="739"/>
      <c r="D22" s="676"/>
      <c r="E22" s="676"/>
      <c r="F22" s="709"/>
      <c r="G22" s="709"/>
      <c r="H22" s="123"/>
      <c r="I22" s="737"/>
    </row>
    <row r="23" spans="1:9" s="706" customFormat="1" ht="15.75" customHeight="1" x14ac:dyDescent="0.2">
      <c r="A23" s="808"/>
      <c r="B23" s="738"/>
      <c r="C23" s="739"/>
      <c r="D23" s="676"/>
      <c r="E23" s="676"/>
      <c r="F23" s="709"/>
      <c r="G23" s="709"/>
      <c r="H23" s="123"/>
      <c r="I23" s="737"/>
    </row>
    <row r="24" spans="1:9" s="706" customFormat="1" ht="15.75" customHeight="1" x14ac:dyDescent="0.2">
      <c r="A24" s="808"/>
      <c r="B24" s="738"/>
      <c r="C24" s="739"/>
      <c r="D24" s="676"/>
      <c r="E24" s="676"/>
      <c r="F24" s="709"/>
      <c r="G24" s="709"/>
      <c r="H24" s="123"/>
      <c r="I24" s="737"/>
    </row>
    <row r="25" spans="1:9" s="706" customFormat="1" ht="15.75" customHeight="1" x14ac:dyDescent="0.2">
      <c r="A25" s="808"/>
      <c r="B25" s="738"/>
      <c r="C25" s="739"/>
      <c r="D25" s="676"/>
      <c r="E25" s="676"/>
      <c r="F25" s="709"/>
      <c r="G25" s="709"/>
      <c r="H25" s="123"/>
      <c r="I25" s="737"/>
    </row>
    <row r="26" spans="1:9" s="706" customFormat="1" ht="15.75" customHeight="1" x14ac:dyDescent="0.2">
      <c r="A26" s="808"/>
      <c r="B26" s="738"/>
      <c r="C26" s="739"/>
      <c r="D26" s="676"/>
      <c r="E26" s="676"/>
      <c r="F26" s="709"/>
      <c r="G26" s="709"/>
      <c r="H26" s="123"/>
      <c r="I26" s="737"/>
    </row>
    <row r="27" spans="1:9" s="706" customFormat="1" ht="15.75" customHeight="1" x14ac:dyDescent="0.2">
      <c r="A27" s="808"/>
      <c r="B27" s="738"/>
      <c r="C27" s="739"/>
      <c r="D27" s="676"/>
      <c r="E27" s="676"/>
      <c r="F27" s="709"/>
      <c r="G27" s="709"/>
      <c r="H27" s="123"/>
      <c r="I27" s="737"/>
    </row>
    <row r="28" spans="1:9" s="706" customFormat="1" ht="15.75" customHeight="1" x14ac:dyDescent="0.2">
      <c r="A28" s="808"/>
      <c r="B28" s="738"/>
      <c r="C28" s="739"/>
      <c r="D28" s="676"/>
      <c r="E28" s="676"/>
      <c r="F28" s="709"/>
      <c r="G28" s="709"/>
      <c r="H28" s="123"/>
      <c r="I28" s="737"/>
    </row>
    <row r="29" spans="1:9" s="706" customFormat="1" ht="15.75" customHeight="1" x14ac:dyDescent="0.2">
      <c r="A29" s="808"/>
      <c r="B29" s="738"/>
      <c r="C29" s="739"/>
      <c r="D29" s="676"/>
      <c r="E29" s="676"/>
      <c r="F29" s="709"/>
      <c r="G29" s="709"/>
      <c r="H29" s="123"/>
      <c r="I29" s="737"/>
    </row>
    <row r="30" spans="1:9" s="706" customFormat="1" ht="15.75" customHeight="1" x14ac:dyDescent="0.2">
      <c r="A30" s="808"/>
      <c r="B30" s="738"/>
      <c r="C30" s="739"/>
      <c r="D30" s="676"/>
      <c r="E30" s="676"/>
      <c r="F30" s="709"/>
      <c r="G30" s="709"/>
      <c r="H30" s="123"/>
      <c r="I30" s="737"/>
    </row>
    <row r="31" spans="1:9" s="706" customFormat="1" ht="15.75" customHeight="1" x14ac:dyDescent="0.2">
      <c r="A31" s="808"/>
      <c r="B31" s="738"/>
      <c r="C31" s="739"/>
      <c r="D31" s="676"/>
      <c r="E31" s="676"/>
      <c r="F31" s="709"/>
      <c r="G31" s="709"/>
      <c r="H31" s="123"/>
      <c r="I31" s="737"/>
    </row>
    <row r="32" spans="1:9" s="706" customFormat="1" ht="15.75" customHeight="1" x14ac:dyDescent="0.2">
      <c r="A32" s="808"/>
      <c r="B32" s="738"/>
      <c r="C32" s="739"/>
      <c r="D32" s="676"/>
      <c r="E32" s="676"/>
      <c r="F32" s="709"/>
      <c r="G32" s="709"/>
      <c r="H32" s="123"/>
      <c r="I32" s="737"/>
    </row>
    <row r="33" spans="1:9" ht="15.75" customHeight="1" x14ac:dyDescent="0.2">
      <c r="A33" s="808"/>
      <c r="B33" s="36"/>
      <c r="C33" s="37"/>
      <c r="D33" s="38"/>
      <c r="E33" s="38"/>
      <c r="F33" s="127"/>
      <c r="G33" s="127"/>
      <c r="H33" s="127"/>
      <c r="I33" s="171"/>
    </row>
    <row r="34" spans="1:9" ht="15" customHeight="1" x14ac:dyDescent="0.2">
      <c r="A34" s="178"/>
      <c r="B34" s="179"/>
      <c r="C34" s="180"/>
      <c r="D34" s="181"/>
      <c r="E34" s="181"/>
      <c r="F34" s="132" t="s">
        <v>123</v>
      </c>
      <c r="G34" s="132">
        <f>SUM(G7:G33)</f>
        <v>170</v>
      </c>
      <c r="H34" s="132">
        <f>SUM(H7:H33)</f>
        <v>151</v>
      </c>
      <c r="I34" s="183"/>
    </row>
    <row r="35" spans="1:9" ht="15" customHeight="1" x14ac:dyDescent="0.2">
      <c r="A35" s="33"/>
      <c r="B35" s="33"/>
      <c r="C35" s="33"/>
      <c r="D35" s="33"/>
      <c r="E35" s="33"/>
      <c r="F35" s="33"/>
      <c r="G35" s="133"/>
      <c r="H35" s="133"/>
      <c r="I35" s="133"/>
    </row>
    <row r="36" spans="1:9" ht="15" customHeight="1" x14ac:dyDescent="0.2">
      <c r="A36" s="33"/>
      <c r="B36" s="33"/>
      <c r="C36" s="33"/>
      <c r="D36" s="33"/>
      <c r="E36" s="33"/>
      <c r="F36" s="1169" t="s">
        <v>8</v>
      </c>
      <c r="G36" s="1170"/>
      <c r="H36" s="184">
        <f>G34-H34</f>
        <v>19</v>
      </c>
      <c r="I36" s="133"/>
    </row>
    <row r="37" spans="1:9" ht="15" customHeight="1" x14ac:dyDescent="0.2">
      <c r="A37" s="545">
        <v>41477</v>
      </c>
      <c r="B37" s="546" t="s">
        <v>693</v>
      </c>
    </row>
    <row r="38" spans="1:9" ht="15" customHeight="1" x14ac:dyDescent="0.2">
      <c r="A38" s="545">
        <v>44236</v>
      </c>
      <c r="B38" s="546" t="s">
        <v>692</v>
      </c>
    </row>
    <row r="39" spans="1:9" ht="15" customHeight="1" x14ac:dyDescent="0.2">
      <c r="A39" s="543">
        <v>44271</v>
      </c>
      <c r="B39" s="532" t="s">
        <v>694</v>
      </c>
      <c r="C39" s="532"/>
    </row>
    <row r="40" spans="1:9" ht="15" customHeight="1" x14ac:dyDescent="0.2">
      <c r="A40" s="543">
        <v>44991</v>
      </c>
      <c r="B40" s="532" t="s">
        <v>692</v>
      </c>
      <c r="C40" s="532" t="s">
        <v>696</v>
      </c>
    </row>
    <row r="41" spans="1:9" ht="15" customHeight="1" x14ac:dyDescent="0.2">
      <c r="A41" s="548">
        <v>44992</v>
      </c>
      <c r="B41" s="549" t="s">
        <v>694</v>
      </c>
      <c r="C41" s="549"/>
    </row>
    <row r="42" spans="1:9" ht="15" customHeight="1" x14ac:dyDescent="0.2">
      <c r="A42" s="548">
        <v>45528</v>
      </c>
      <c r="B42" s="549" t="s">
        <v>692</v>
      </c>
      <c r="C42" s="549" t="s">
        <v>695</v>
      </c>
    </row>
    <row r="43" spans="1:9" ht="15" customHeight="1" x14ac:dyDescent="0.2">
      <c r="A43" s="550">
        <v>45566</v>
      </c>
      <c r="B43" s="551" t="s">
        <v>693</v>
      </c>
      <c r="C43" s="551" t="s">
        <v>699</v>
      </c>
    </row>
    <row r="45" spans="1:9" ht="12.75" x14ac:dyDescent="0.2">
      <c r="A45" s="1197" t="s">
        <v>705</v>
      </c>
      <c r="B45" s="1197"/>
      <c r="C45" s="1197"/>
    </row>
  </sheetData>
  <sortState ref="B7:E20">
    <sortCondition descending="1" ref="B7"/>
  </sortState>
  <mergeCells count="5">
    <mergeCell ref="A45:C45"/>
    <mergeCell ref="J1:J3"/>
    <mergeCell ref="F36:G36"/>
    <mergeCell ref="C1:H5"/>
    <mergeCell ref="A13:A14"/>
  </mergeCells>
  <hyperlinks>
    <hyperlink ref="J1:J3" location="'ANA SAYFA'!A1" display="ANA SAYFA"/>
  </hyperlinks>
  <pageMargins left="0.6" right="0.12" top="0.24" bottom="0.12" header="0.12" footer="0.12"/>
  <pageSetup paperSize="9" scale="71"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zoomScaleNormal="100" zoomScaleSheetLayoutView="100" workbookViewId="0">
      <selection activeCell="J1" sqref="J1:J3"/>
    </sheetView>
  </sheetViews>
  <sheetFormatPr defaultColWidth="9.140625" defaultRowHeight="11.25" x14ac:dyDescent="0.2"/>
  <cols>
    <col min="1" max="1" width="18.28515625" style="120" customWidth="1"/>
    <col min="2" max="3" width="26.7109375" style="120" bestFit="1" customWidth="1"/>
    <col min="4" max="5" width="9" style="120" customWidth="1"/>
    <col min="6" max="6" width="20.28515625" style="120" bestFit="1" customWidth="1"/>
    <col min="7" max="7" width="14.5703125" style="120" customWidth="1"/>
    <col min="8" max="8" width="13.5703125" style="120" customWidth="1"/>
    <col min="9" max="9" width="4.85546875" style="120" customWidth="1"/>
    <col min="10" max="10" width="12.140625" style="120" customWidth="1"/>
    <col min="11" max="16384" width="9.140625" style="120"/>
  </cols>
  <sheetData>
    <row r="1" spans="1:11" ht="14.25" customHeight="1" x14ac:dyDescent="0.2">
      <c r="A1" s="135" t="s">
        <v>135</v>
      </c>
      <c r="B1" s="193" t="str">
        <f>'ANA SAYFA'!B16</f>
        <v xml:space="preserve">HASAN KURT </v>
      </c>
      <c r="C1" s="1166" t="s">
        <v>136</v>
      </c>
      <c r="D1" s="1166"/>
      <c r="E1" s="1166"/>
      <c r="F1" s="1166"/>
      <c r="G1" s="1166"/>
      <c r="H1" s="1166"/>
      <c r="I1" s="119"/>
      <c r="J1" s="1157" t="s">
        <v>712</v>
      </c>
      <c r="K1" s="33"/>
    </row>
    <row r="2" spans="1:11" ht="14.25" customHeight="1" x14ac:dyDescent="0.2">
      <c r="A2" s="135" t="s">
        <v>137</v>
      </c>
      <c r="B2" s="186">
        <f>'ANA SAYFA'!D16</f>
        <v>10017059328</v>
      </c>
      <c r="C2" s="1166"/>
      <c r="D2" s="1166"/>
      <c r="E2" s="1166"/>
      <c r="F2" s="1166"/>
      <c r="G2" s="1166"/>
      <c r="H2" s="1166"/>
      <c r="I2" s="119"/>
      <c r="J2" s="1158"/>
      <c r="K2" s="33"/>
    </row>
    <row r="3" spans="1:11" ht="14.25" customHeight="1" thickBot="1" x14ac:dyDescent="0.25">
      <c r="A3" s="135" t="s">
        <v>131</v>
      </c>
      <c r="B3" s="187" t="str">
        <f>'ANA SAYFA'!C16</f>
        <v>SATIN ALMA SORUMLUSU</v>
      </c>
      <c r="C3" s="1166"/>
      <c r="D3" s="1166"/>
      <c r="E3" s="1166"/>
      <c r="F3" s="1166"/>
      <c r="G3" s="1166"/>
      <c r="H3" s="1166"/>
      <c r="I3" s="119"/>
      <c r="J3" s="1159"/>
      <c r="K3" s="33"/>
    </row>
    <row r="4" spans="1:11" ht="14.25" customHeight="1" x14ac:dyDescent="0.2">
      <c r="A4" s="135" t="s">
        <v>120</v>
      </c>
      <c r="B4" s="136">
        <f>'ANA SAYFA'!E16</f>
        <v>45477</v>
      </c>
      <c r="C4" s="1166"/>
      <c r="D4" s="1166"/>
      <c r="E4" s="1166"/>
      <c r="F4" s="1166"/>
      <c r="G4" s="1166"/>
      <c r="H4" s="1166"/>
      <c r="I4" s="119"/>
      <c r="J4" s="33"/>
      <c r="K4" s="33"/>
    </row>
    <row r="5" spans="1:11" ht="14.25" customHeight="1" x14ac:dyDescent="0.2">
      <c r="A5" s="135" t="s">
        <v>130</v>
      </c>
      <c r="B5" s="136">
        <f>'ANA SAYFA'!F16</f>
        <v>33492</v>
      </c>
      <c r="C5" s="1166"/>
      <c r="D5" s="1166"/>
      <c r="E5" s="1166"/>
      <c r="F5" s="1166"/>
      <c r="G5" s="1166"/>
      <c r="H5" s="1166"/>
      <c r="I5" s="119"/>
    </row>
    <row r="6" spans="1:11" ht="33.6" customHeight="1" x14ac:dyDescent="0.2">
      <c r="A6" s="69" t="s">
        <v>0</v>
      </c>
      <c r="B6" s="70" t="s">
        <v>1</v>
      </c>
      <c r="C6" s="69" t="s">
        <v>2</v>
      </c>
      <c r="D6" s="71" t="s">
        <v>133</v>
      </c>
      <c r="E6" s="71" t="s">
        <v>4</v>
      </c>
      <c r="F6" s="71" t="s">
        <v>7</v>
      </c>
      <c r="G6" s="71" t="s">
        <v>6</v>
      </c>
      <c r="H6" s="71" t="s">
        <v>16</v>
      </c>
      <c r="I6" s="34"/>
    </row>
    <row r="7" spans="1:11" ht="15" customHeight="1" x14ac:dyDescent="0.2">
      <c r="A7" s="121"/>
      <c r="B7" s="36">
        <v>45584</v>
      </c>
      <c r="C7" s="37">
        <v>45584</v>
      </c>
      <c r="D7" s="38">
        <v>0.33333333333333331</v>
      </c>
      <c r="E7" s="38">
        <v>0.33333333333333331</v>
      </c>
      <c r="F7" s="1023" t="s">
        <v>820</v>
      </c>
      <c r="G7" s="123">
        <v>14</v>
      </c>
      <c r="H7" s="123">
        <v>1</v>
      </c>
      <c r="I7" s="171"/>
      <c r="J7" s="33"/>
      <c r="K7" s="33"/>
    </row>
    <row r="8" spans="1:11" ht="15" customHeight="1" x14ac:dyDescent="0.2">
      <c r="A8" s="121"/>
      <c r="B8" s="36">
        <v>45587</v>
      </c>
      <c r="C8" s="36">
        <v>45587</v>
      </c>
      <c r="D8" s="38">
        <v>0.33333333333333331</v>
      </c>
      <c r="E8" s="38">
        <v>0.33333333333333331</v>
      </c>
      <c r="F8" s="204"/>
      <c r="G8" s="123"/>
      <c r="H8" s="123">
        <v>1</v>
      </c>
      <c r="I8" s="171"/>
      <c r="J8" s="33"/>
      <c r="K8" s="33"/>
    </row>
    <row r="9" spans="1:11" ht="15" customHeight="1" x14ac:dyDescent="0.2">
      <c r="A9" s="128"/>
      <c r="B9" s="36">
        <v>45671</v>
      </c>
      <c r="C9" s="129">
        <v>45671</v>
      </c>
      <c r="D9" s="38">
        <v>0.33333333333333331</v>
      </c>
      <c r="E9" s="38">
        <v>0.33333333333333331</v>
      </c>
      <c r="F9" s="204"/>
      <c r="G9" s="123"/>
      <c r="H9" s="123">
        <v>1</v>
      </c>
      <c r="I9" s="171"/>
      <c r="J9" s="33"/>
      <c r="K9" s="33"/>
    </row>
    <row r="10" spans="1:11" ht="15" customHeight="1" x14ac:dyDescent="0.2">
      <c r="A10" s="128"/>
      <c r="B10" s="172">
        <v>45686</v>
      </c>
      <c r="C10" s="173">
        <v>45686</v>
      </c>
      <c r="D10" s="38">
        <v>0.5</v>
      </c>
      <c r="E10" s="38">
        <v>0.33333333333333331</v>
      </c>
      <c r="F10" s="204"/>
      <c r="G10" s="123"/>
      <c r="H10" s="134">
        <v>0.5</v>
      </c>
      <c r="I10" s="171"/>
      <c r="J10" s="33"/>
      <c r="K10" s="33"/>
    </row>
    <row r="11" spans="1:11" ht="15" customHeight="1" x14ac:dyDescent="0.2">
      <c r="A11" s="131"/>
      <c r="B11" s="172">
        <v>45752</v>
      </c>
      <c r="C11" s="738">
        <v>45752</v>
      </c>
      <c r="D11" s="676">
        <v>0.33333333333333331</v>
      </c>
      <c r="E11" s="130">
        <v>0.45833333333333331</v>
      </c>
      <c r="F11" s="204"/>
      <c r="G11" s="127"/>
      <c r="H11" s="715">
        <v>0.5</v>
      </c>
      <c r="I11" s="171"/>
      <c r="J11" s="33"/>
      <c r="K11" s="33"/>
    </row>
    <row r="12" spans="1:11" ht="15" customHeight="1" x14ac:dyDescent="0.2">
      <c r="A12" s="131"/>
      <c r="B12" s="172">
        <v>45784</v>
      </c>
      <c r="C12" s="173">
        <v>45784</v>
      </c>
      <c r="D12" s="130">
        <v>0.33333333333333331</v>
      </c>
      <c r="E12" s="130">
        <v>0.33333333333333331</v>
      </c>
      <c r="F12" s="205"/>
      <c r="G12" s="127"/>
      <c r="H12" s="123">
        <v>1</v>
      </c>
      <c r="I12" s="171"/>
      <c r="J12" s="33"/>
      <c r="K12" s="33"/>
    </row>
    <row r="13" spans="1:11" ht="15" customHeight="1" x14ac:dyDescent="0.2">
      <c r="A13" s="174"/>
      <c r="B13" s="172">
        <v>45852</v>
      </c>
      <c r="C13" s="173">
        <v>45852</v>
      </c>
      <c r="D13" s="175">
        <v>0.33333333333333331</v>
      </c>
      <c r="E13" s="175">
        <v>0.33333333333333331</v>
      </c>
      <c r="F13" s="205"/>
      <c r="G13" s="127"/>
      <c r="H13" s="127">
        <v>1</v>
      </c>
      <c r="I13" s="171"/>
      <c r="J13" s="33"/>
      <c r="K13" s="33"/>
    </row>
    <row r="14" spans="1:11" ht="15" customHeight="1" x14ac:dyDescent="0.2">
      <c r="A14" s="174"/>
      <c r="B14" s="172">
        <v>45861</v>
      </c>
      <c r="C14" s="173">
        <v>45861</v>
      </c>
      <c r="D14" s="130">
        <v>0.33333333333333331</v>
      </c>
      <c r="E14" s="130">
        <v>0.52083333333333337</v>
      </c>
      <c r="F14" s="205"/>
      <c r="G14" s="127"/>
      <c r="H14" s="715">
        <v>0.5</v>
      </c>
      <c r="I14" s="171"/>
      <c r="J14" s="33"/>
      <c r="K14" s="33"/>
    </row>
    <row r="15" spans="1:11" ht="15" customHeight="1" x14ac:dyDescent="0.2">
      <c r="A15" s="174"/>
      <c r="B15" s="172">
        <v>45898</v>
      </c>
      <c r="C15" s="173">
        <v>45898</v>
      </c>
      <c r="D15" s="712">
        <v>0.33333333333333331</v>
      </c>
      <c r="E15" s="712">
        <v>0.52083333333333337</v>
      </c>
      <c r="F15" s="205"/>
      <c r="G15" s="127"/>
      <c r="H15" s="715">
        <v>0.5</v>
      </c>
      <c r="I15" s="171"/>
      <c r="J15" s="33"/>
      <c r="K15" s="33"/>
    </row>
    <row r="16" spans="1:11" ht="15" customHeight="1" x14ac:dyDescent="0.2">
      <c r="A16" s="125"/>
      <c r="B16" s="36">
        <v>45983</v>
      </c>
      <c r="C16" s="37">
        <v>45985</v>
      </c>
      <c r="D16" s="712">
        <v>0.33333333333333331</v>
      </c>
      <c r="E16" s="712">
        <v>0.33333333333333331</v>
      </c>
      <c r="F16" s="204"/>
      <c r="G16" s="127"/>
      <c r="H16" s="127">
        <v>1</v>
      </c>
      <c r="I16" s="171"/>
      <c r="J16" s="33"/>
      <c r="K16" s="33"/>
    </row>
    <row r="17" spans="1:11" ht="15" customHeight="1" x14ac:dyDescent="0.2">
      <c r="A17" s="125"/>
      <c r="B17" s="172">
        <v>46165</v>
      </c>
      <c r="C17" s="173">
        <v>46174</v>
      </c>
      <c r="D17" s="38"/>
      <c r="E17" s="38"/>
      <c r="F17" s="169"/>
      <c r="G17" s="127"/>
      <c r="H17" s="123">
        <v>2</v>
      </c>
      <c r="I17" s="171"/>
      <c r="J17" s="33"/>
      <c r="K17" s="33"/>
    </row>
    <row r="18" spans="1:11" ht="15" customHeight="1" x14ac:dyDescent="0.2">
      <c r="A18" s="125"/>
      <c r="B18" s="36"/>
      <c r="C18" s="37"/>
      <c r="D18" s="38"/>
      <c r="E18" s="38"/>
      <c r="F18" s="127"/>
      <c r="G18" s="127"/>
      <c r="H18" s="127"/>
      <c r="I18" s="171"/>
      <c r="J18" s="33"/>
      <c r="K18" s="33"/>
    </row>
    <row r="19" spans="1:11" ht="15" customHeight="1" x14ac:dyDescent="0.2">
      <c r="A19" s="125"/>
      <c r="B19" s="36"/>
      <c r="C19" s="37"/>
      <c r="D19" s="38"/>
      <c r="E19" s="38"/>
      <c r="F19" s="176"/>
      <c r="G19" s="127"/>
      <c r="H19" s="127"/>
      <c r="I19" s="171"/>
      <c r="J19" s="33"/>
      <c r="K19" s="33"/>
    </row>
    <row r="20" spans="1:11" ht="15" customHeight="1" x14ac:dyDescent="0.2">
      <c r="A20" s="125"/>
      <c r="B20" s="36"/>
      <c r="C20" s="37"/>
      <c r="D20" s="38"/>
      <c r="E20" s="38"/>
      <c r="F20" s="176"/>
      <c r="G20" s="123"/>
      <c r="H20" s="127"/>
      <c r="I20" s="177"/>
      <c r="J20" s="33"/>
      <c r="K20" s="33"/>
    </row>
    <row r="21" spans="1:11" ht="15" customHeight="1" x14ac:dyDescent="0.2">
      <c r="A21" s="125"/>
      <c r="B21" s="36"/>
      <c r="C21" s="37"/>
      <c r="D21" s="38"/>
      <c r="E21" s="38"/>
      <c r="F21" s="176"/>
      <c r="G21" s="123"/>
      <c r="H21" s="127"/>
      <c r="I21" s="177"/>
      <c r="J21" s="33"/>
      <c r="K21" s="33"/>
    </row>
    <row r="22" spans="1:11" ht="15" customHeight="1" x14ac:dyDescent="0.2">
      <c r="A22" s="125"/>
      <c r="B22" s="36"/>
      <c r="C22" s="37"/>
      <c r="D22" s="38"/>
      <c r="E22" s="38"/>
      <c r="F22" s="78"/>
      <c r="G22" s="123"/>
      <c r="H22" s="127"/>
      <c r="I22" s="40"/>
      <c r="J22" s="33"/>
      <c r="K22" s="33"/>
    </row>
    <row r="23" spans="1:11" ht="15" customHeight="1" x14ac:dyDescent="0.2">
      <c r="A23" s="125"/>
      <c r="B23" s="36"/>
      <c r="C23" s="37"/>
      <c r="D23" s="38"/>
      <c r="E23" s="38"/>
      <c r="F23" s="78"/>
      <c r="G23" s="123"/>
      <c r="H23" s="127"/>
      <c r="I23" s="40"/>
      <c r="J23" s="33"/>
      <c r="K23" s="33"/>
    </row>
    <row r="24" spans="1:11" ht="15" customHeight="1" x14ac:dyDescent="0.2">
      <c r="A24" s="125"/>
      <c r="B24" s="36"/>
      <c r="C24" s="37"/>
      <c r="D24" s="38"/>
      <c r="E24" s="38"/>
      <c r="F24" s="78"/>
      <c r="G24" s="123"/>
      <c r="H24" s="127"/>
      <c r="I24" s="40"/>
      <c r="J24" s="124"/>
      <c r="K24" s="124"/>
    </row>
    <row r="25" spans="1:11" ht="15" customHeight="1" x14ac:dyDescent="0.2">
      <c r="A25" s="174"/>
      <c r="B25" s="172"/>
      <c r="C25" s="173"/>
      <c r="D25" s="175"/>
      <c r="E25" s="175"/>
      <c r="F25" s="127"/>
      <c r="G25" s="123"/>
      <c r="H25" s="123"/>
      <c r="I25" s="171"/>
      <c r="J25" s="33"/>
      <c r="K25" s="33"/>
    </row>
    <row r="26" spans="1:11" ht="15" customHeight="1" x14ac:dyDescent="0.2">
      <c r="A26" s="174"/>
      <c r="B26" s="172"/>
      <c r="C26" s="173"/>
      <c r="D26" s="175"/>
      <c r="E26" s="175"/>
      <c r="F26" s="127"/>
      <c r="G26" s="123"/>
      <c r="H26" s="123"/>
      <c r="I26" s="171"/>
      <c r="J26" s="33"/>
      <c r="K26" s="33"/>
    </row>
    <row r="27" spans="1:11" ht="15" customHeight="1" x14ac:dyDescent="0.2">
      <c r="A27" s="125"/>
      <c r="B27" s="36"/>
      <c r="C27" s="37"/>
      <c r="D27" s="38"/>
      <c r="E27" s="38"/>
      <c r="F27" s="127"/>
      <c r="G27" s="127"/>
      <c r="H27" s="127"/>
      <c r="I27" s="171"/>
      <c r="J27" s="33"/>
      <c r="K27" s="33"/>
    </row>
    <row r="28" spans="1:11" ht="15" customHeight="1" x14ac:dyDescent="0.2">
      <c r="A28" s="125"/>
      <c r="B28" s="36"/>
      <c r="C28" s="37"/>
      <c r="D28" s="38"/>
      <c r="E28" s="38"/>
      <c r="F28" s="127"/>
      <c r="G28" s="127"/>
      <c r="H28" s="127"/>
      <c r="I28" s="171"/>
      <c r="J28" s="33"/>
      <c r="K28" s="33"/>
    </row>
    <row r="29" spans="1:11" ht="15" customHeight="1" x14ac:dyDescent="0.2">
      <c r="A29" s="125"/>
      <c r="B29" s="36"/>
      <c r="C29" s="37"/>
      <c r="D29" s="38"/>
      <c r="E29" s="38"/>
      <c r="F29" s="127"/>
      <c r="G29" s="127"/>
      <c r="H29" s="127"/>
      <c r="I29" s="171"/>
      <c r="J29" s="33"/>
      <c r="K29" s="33"/>
    </row>
    <row r="30" spans="1:11" ht="15" customHeight="1" x14ac:dyDescent="0.2">
      <c r="A30" s="125"/>
      <c r="B30" s="36"/>
      <c r="C30" s="37"/>
      <c r="D30" s="38"/>
      <c r="E30" s="38"/>
      <c r="F30" s="127"/>
      <c r="G30" s="127"/>
      <c r="H30" s="127"/>
      <c r="I30" s="171"/>
      <c r="J30" s="33"/>
      <c r="K30" s="33"/>
    </row>
    <row r="31" spans="1:11" ht="15" customHeight="1" x14ac:dyDescent="0.2">
      <c r="A31" s="178"/>
      <c r="B31" s="179"/>
      <c r="C31" s="180"/>
      <c r="D31" s="181"/>
      <c r="E31" s="181"/>
      <c r="F31" s="132" t="s">
        <v>123</v>
      </c>
      <c r="G31" s="132">
        <f>SUM(G5:G30)</f>
        <v>14</v>
      </c>
      <c r="H31" s="182">
        <f>SUM(H7:H30)</f>
        <v>10</v>
      </c>
      <c r="I31" s="183"/>
      <c r="J31" s="33"/>
      <c r="K31" s="33"/>
    </row>
    <row r="32" spans="1:11" ht="15" customHeight="1" x14ac:dyDescent="0.2">
      <c r="A32" s="33"/>
      <c r="B32" s="33"/>
      <c r="C32" s="33"/>
      <c r="D32" s="33"/>
      <c r="E32" s="33"/>
      <c r="F32" s="33"/>
      <c r="G32" s="133"/>
      <c r="H32" s="133"/>
      <c r="I32" s="133"/>
      <c r="J32" s="33"/>
      <c r="K32" s="33"/>
    </row>
    <row r="33" spans="1:11" ht="15" customHeight="1" x14ac:dyDescent="0.2">
      <c r="A33" s="33"/>
      <c r="B33" s="33"/>
      <c r="C33" s="33"/>
      <c r="D33" s="33"/>
      <c r="E33" s="33"/>
      <c r="F33" s="1169" t="s">
        <v>8</v>
      </c>
      <c r="G33" s="1170"/>
      <c r="H33" s="134">
        <f>G31-H31</f>
        <v>4</v>
      </c>
      <c r="I33" s="133"/>
      <c r="J33" s="33"/>
      <c r="K33" s="33"/>
    </row>
    <row r="34" spans="1:11" ht="12.75" customHeight="1" x14ac:dyDescent="0.2"/>
    <row r="35" spans="1:11" ht="12.75" customHeight="1" x14ac:dyDescent="0.2"/>
    <row r="36" spans="1:11" ht="12.75" customHeight="1" x14ac:dyDescent="0.2"/>
    <row r="37" spans="1:11" ht="12.75" customHeight="1" x14ac:dyDescent="0.2"/>
  </sheetData>
  <mergeCells count="3">
    <mergeCell ref="F33:G33"/>
    <mergeCell ref="C1:H5"/>
    <mergeCell ref="J1:J3"/>
  </mergeCells>
  <hyperlinks>
    <hyperlink ref="J1" location="'ANA SAYFA'!A1" display="ANA SAYFA"/>
  </hyperlinks>
  <pageMargins left="0.7" right="0.12" top="0.28000000000000003" bottom="0.27" header="0.3" footer="0.3"/>
  <pageSetup paperSize="9" scale="7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9"/>
  <sheetViews>
    <sheetView zoomScaleNormal="100" workbookViewId="0">
      <selection activeCell="J1" sqref="J1:J3"/>
    </sheetView>
  </sheetViews>
  <sheetFormatPr defaultColWidth="9.140625" defaultRowHeight="11.25" x14ac:dyDescent="0.2"/>
  <cols>
    <col min="1" max="1" width="18.5703125" style="120" bestFit="1" customWidth="1"/>
    <col min="2" max="3" width="26.140625" style="120" bestFit="1" customWidth="1"/>
    <col min="4" max="5" width="8.7109375" style="120" customWidth="1"/>
    <col min="6" max="6" width="20.140625" style="120" bestFit="1" customWidth="1"/>
    <col min="7" max="7" width="14" style="120" customWidth="1"/>
    <col min="8" max="8" width="12.85546875" style="120" customWidth="1"/>
    <col min="9" max="9" width="4.42578125" style="120" customWidth="1"/>
    <col min="10" max="10" width="11.42578125" style="120" customWidth="1"/>
    <col min="11" max="16384" width="9.140625" style="120"/>
  </cols>
  <sheetData>
    <row r="1" spans="1:11" ht="14.25" customHeight="1" x14ac:dyDescent="0.2">
      <c r="A1" s="135" t="s">
        <v>135</v>
      </c>
      <c r="B1" s="193" t="str">
        <f>'ANA SAYFA'!B17</f>
        <v>HÜSAMETTİN GÜLTEKİN</v>
      </c>
      <c r="C1" s="1166" t="s">
        <v>136</v>
      </c>
      <c r="D1" s="1166"/>
      <c r="E1" s="1166"/>
      <c r="F1" s="1166"/>
      <c r="G1" s="1166"/>
      <c r="H1" s="1166"/>
      <c r="I1" s="119"/>
      <c r="J1" s="1157" t="s">
        <v>712</v>
      </c>
      <c r="K1" s="33"/>
    </row>
    <row r="2" spans="1:11" ht="14.25" customHeight="1" x14ac:dyDescent="0.2">
      <c r="A2" s="135" t="s">
        <v>137</v>
      </c>
      <c r="B2" s="186">
        <f>'ANA SAYFA'!D17</f>
        <v>40033015848</v>
      </c>
      <c r="C2" s="1166"/>
      <c r="D2" s="1166"/>
      <c r="E2" s="1166"/>
      <c r="F2" s="1166"/>
      <c r="G2" s="1166"/>
      <c r="H2" s="1166"/>
      <c r="I2" s="119"/>
      <c r="J2" s="1158"/>
      <c r="K2" s="33"/>
    </row>
    <row r="3" spans="1:11" ht="14.25" customHeight="1" thickBot="1" x14ac:dyDescent="0.25">
      <c r="A3" s="135" t="s">
        <v>131</v>
      </c>
      <c r="B3" s="187" t="str">
        <f>'ANA SAYFA'!C17</f>
        <v>KÜREKÇİ</v>
      </c>
      <c r="C3" s="1166"/>
      <c r="D3" s="1166"/>
      <c r="E3" s="1166"/>
      <c r="F3" s="1166"/>
      <c r="G3" s="1166"/>
      <c r="H3" s="1166"/>
      <c r="I3" s="119"/>
      <c r="J3" s="1159"/>
      <c r="K3" s="33"/>
    </row>
    <row r="4" spans="1:11" ht="14.25" customHeight="1" x14ac:dyDescent="0.2">
      <c r="A4" s="135" t="s">
        <v>120</v>
      </c>
      <c r="B4" s="136">
        <f>'ANA SAYFA'!E17</f>
        <v>44937</v>
      </c>
      <c r="C4" s="1166"/>
      <c r="D4" s="1166"/>
      <c r="E4" s="1166"/>
      <c r="F4" s="1166"/>
      <c r="G4" s="1166"/>
      <c r="H4" s="1166"/>
      <c r="I4" s="119"/>
      <c r="J4" s="33"/>
      <c r="K4" s="33"/>
    </row>
    <row r="5" spans="1:11" ht="14.25" customHeight="1" x14ac:dyDescent="0.2">
      <c r="A5" s="135" t="s">
        <v>130</v>
      </c>
      <c r="B5" s="136">
        <f>'ANA SAYFA'!F17</f>
        <v>30752</v>
      </c>
      <c r="C5" s="1166"/>
      <c r="D5" s="1166"/>
      <c r="E5" s="1166"/>
      <c r="F5" s="1166"/>
      <c r="G5" s="1166"/>
      <c r="H5" s="1166"/>
      <c r="I5" s="119"/>
    </row>
    <row r="6" spans="1:11" ht="32.25" customHeight="1" x14ac:dyDescent="0.2">
      <c r="A6" s="69" t="s">
        <v>0</v>
      </c>
      <c r="B6" s="70" t="s">
        <v>1</v>
      </c>
      <c r="C6" s="69" t="s">
        <v>2</v>
      </c>
      <c r="D6" s="71" t="s">
        <v>133</v>
      </c>
      <c r="E6" s="71" t="s">
        <v>4</v>
      </c>
      <c r="F6" s="71" t="s">
        <v>7</v>
      </c>
      <c r="G6" s="71" t="s">
        <v>6</v>
      </c>
      <c r="H6" s="71" t="s">
        <v>16</v>
      </c>
      <c r="I6" s="34"/>
    </row>
    <row r="7" spans="1:11" ht="15" customHeight="1" x14ac:dyDescent="0.2">
      <c r="A7" s="128"/>
      <c r="B7" s="36">
        <v>44363</v>
      </c>
      <c r="C7" s="129">
        <v>44363</v>
      </c>
      <c r="D7" s="130">
        <v>0.54166666666666663</v>
      </c>
      <c r="E7" s="130">
        <v>0.75</v>
      </c>
      <c r="F7" s="169" t="s">
        <v>374</v>
      </c>
      <c r="G7" s="123">
        <v>14</v>
      </c>
      <c r="H7" s="126">
        <v>0.5</v>
      </c>
      <c r="I7" s="171"/>
      <c r="J7" s="33"/>
      <c r="K7" s="33"/>
    </row>
    <row r="8" spans="1:11" ht="15" customHeight="1" x14ac:dyDescent="0.2">
      <c r="A8" s="128"/>
      <c r="B8" s="36">
        <v>44441</v>
      </c>
      <c r="C8" s="37">
        <v>44442</v>
      </c>
      <c r="D8" s="38">
        <v>0.33333333333333331</v>
      </c>
      <c r="E8" s="38">
        <v>0.33333333333333331</v>
      </c>
      <c r="F8" s="169" t="s">
        <v>472</v>
      </c>
      <c r="G8" s="123">
        <v>14</v>
      </c>
      <c r="H8" s="200">
        <v>1</v>
      </c>
      <c r="I8" s="171"/>
      <c r="J8" s="33"/>
      <c r="K8" s="33"/>
    </row>
    <row r="9" spans="1:11" ht="15" customHeight="1" x14ac:dyDescent="0.2">
      <c r="A9" s="128"/>
      <c r="B9" s="36">
        <v>44410</v>
      </c>
      <c r="C9" s="37">
        <v>44411</v>
      </c>
      <c r="D9" s="38">
        <v>0.33333333333333331</v>
      </c>
      <c r="E9" s="38">
        <v>0.33333333333333331</v>
      </c>
      <c r="F9" s="169" t="s">
        <v>616</v>
      </c>
      <c r="G9" s="123">
        <v>14</v>
      </c>
      <c r="H9" s="126">
        <v>1</v>
      </c>
      <c r="I9" s="171"/>
      <c r="J9" s="33"/>
      <c r="K9" s="33"/>
    </row>
    <row r="10" spans="1:11" ht="15" customHeight="1" x14ac:dyDescent="0.2">
      <c r="A10" s="128"/>
      <c r="B10" s="36">
        <v>44478</v>
      </c>
      <c r="C10" s="129">
        <v>44480</v>
      </c>
      <c r="D10" s="130">
        <v>0.54166666666666663</v>
      </c>
      <c r="E10" s="130">
        <v>0.33333333333333331</v>
      </c>
      <c r="F10" s="169"/>
      <c r="G10" s="127"/>
      <c r="H10" s="126">
        <v>0.5</v>
      </c>
      <c r="I10" s="171"/>
      <c r="J10" s="33"/>
      <c r="K10" s="33"/>
    </row>
    <row r="11" spans="1:11" ht="15" customHeight="1" x14ac:dyDescent="0.2">
      <c r="A11" s="128"/>
      <c r="B11" s="172">
        <v>44468</v>
      </c>
      <c r="C11" s="173">
        <v>44469</v>
      </c>
      <c r="D11" s="175">
        <v>0.33333333333333331</v>
      </c>
      <c r="E11" s="175">
        <v>0.33333333333333331</v>
      </c>
      <c r="F11" s="169"/>
      <c r="G11" s="127"/>
      <c r="H11" s="126">
        <v>0.5</v>
      </c>
      <c r="I11" s="171"/>
      <c r="J11" s="33"/>
      <c r="K11" s="33"/>
    </row>
    <row r="12" spans="1:11" ht="15" customHeight="1" x14ac:dyDescent="0.2">
      <c r="A12" s="128"/>
      <c r="B12" s="172">
        <v>44536</v>
      </c>
      <c r="C12" s="173">
        <v>44537</v>
      </c>
      <c r="D12" s="175">
        <v>0.33333333333333331</v>
      </c>
      <c r="E12" s="175">
        <v>0.33333333333333331</v>
      </c>
      <c r="F12" s="169"/>
      <c r="G12" s="127"/>
      <c r="H12" s="126">
        <v>1</v>
      </c>
      <c r="I12" s="171"/>
      <c r="J12" s="33"/>
      <c r="K12" s="33"/>
    </row>
    <row r="13" spans="1:11" ht="15" customHeight="1" x14ac:dyDescent="0.2">
      <c r="A13" s="128"/>
      <c r="B13" s="172">
        <v>44537</v>
      </c>
      <c r="C13" s="173">
        <v>44537</v>
      </c>
      <c r="D13" s="175">
        <v>0.33333333333333331</v>
      </c>
      <c r="E13" s="175">
        <v>0.5</v>
      </c>
      <c r="F13" s="169"/>
      <c r="G13" s="127"/>
      <c r="H13" s="39">
        <v>0.5</v>
      </c>
      <c r="I13" s="171"/>
      <c r="J13" s="33"/>
      <c r="K13" s="33"/>
    </row>
    <row r="14" spans="1:11" ht="15" customHeight="1" x14ac:dyDescent="0.2">
      <c r="A14" s="128"/>
      <c r="B14" s="172">
        <v>44568</v>
      </c>
      <c r="C14" s="173">
        <v>44568</v>
      </c>
      <c r="D14" s="175">
        <v>0.54166666666666663</v>
      </c>
      <c r="E14" s="175">
        <v>0.75</v>
      </c>
      <c r="F14" s="169"/>
      <c r="G14" s="127"/>
      <c r="H14" s="126">
        <v>0.5</v>
      </c>
      <c r="I14" s="171"/>
      <c r="J14" s="33"/>
      <c r="K14" s="33"/>
    </row>
    <row r="15" spans="1:11" ht="15" customHeight="1" x14ac:dyDescent="0.2">
      <c r="A15" s="128"/>
      <c r="B15" s="172">
        <v>44574</v>
      </c>
      <c r="C15" s="173">
        <v>44575</v>
      </c>
      <c r="D15" s="175">
        <v>0.33333333333333331</v>
      </c>
      <c r="E15" s="175">
        <v>0.33333333333333331</v>
      </c>
      <c r="F15" s="169"/>
      <c r="G15" s="127"/>
      <c r="H15" s="126">
        <v>1</v>
      </c>
      <c r="I15" s="171"/>
      <c r="J15" s="33"/>
      <c r="K15" s="33"/>
    </row>
    <row r="16" spans="1:11" ht="15" customHeight="1" x14ac:dyDescent="0.2">
      <c r="A16" s="128"/>
      <c r="B16" s="172">
        <v>44587</v>
      </c>
      <c r="C16" s="172">
        <v>44588</v>
      </c>
      <c r="D16" s="175">
        <v>0.33333333333333331</v>
      </c>
      <c r="E16" s="175">
        <v>0.33333333333333331</v>
      </c>
      <c r="F16" s="169"/>
      <c r="G16" s="127"/>
      <c r="H16" s="126">
        <v>1</v>
      </c>
      <c r="I16" s="171"/>
      <c r="J16" s="33"/>
      <c r="K16" s="33"/>
    </row>
    <row r="17" spans="1:11" ht="15" customHeight="1" x14ac:dyDescent="0.2">
      <c r="A17" s="128"/>
      <c r="B17" s="172">
        <v>44624</v>
      </c>
      <c r="C17" s="173">
        <v>44624</v>
      </c>
      <c r="D17" s="175">
        <v>0.33333333333333331</v>
      </c>
      <c r="E17" s="175">
        <v>0.75</v>
      </c>
      <c r="F17" s="169"/>
      <c r="G17" s="127"/>
      <c r="H17" s="39">
        <v>1</v>
      </c>
      <c r="I17" s="171"/>
      <c r="J17" s="33"/>
      <c r="K17" s="33"/>
    </row>
    <row r="18" spans="1:11" ht="15" customHeight="1" x14ac:dyDescent="0.2">
      <c r="A18" s="128"/>
      <c r="B18" s="172">
        <v>44635</v>
      </c>
      <c r="C18" s="173">
        <v>44635</v>
      </c>
      <c r="D18" s="175">
        <v>0.33333333333333331</v>
      </c>
      <c r="E18" s="175">
        <v>0.75</v>
      </c>
      <c r="F18" s="169"/>
      <c r="G18" s="127"/>
      <c r="H18" s="39">
        <v>1</v>
      </c>
      <c r="I18" s="171"/>
      <c r="J18" s="33"/>
      <c r="K18" s="33"/>
    </row>
    <row r="19" spans="1:11" ht="15" customHeight="1" x14ac:dyDescent="0.2">
      <c r="A19" s="128"/>
      <c r="B19" s="36">
        <v>44694</v>
      </c>
      <c r="C19" s="37">
        <v>44694</v>
      </c>
      <c r="D19" s="38">
        <v>0.33333333333333331</v>
      </c>
      <c r="E19" s="38">
        <v>0.66666666666666663</v>
      </c>
      <c r="F19" s="169"/>
      <c r="G19" s="127"/>
      <c r="H19" s="201">
        <v>0.5</v>
      </c>
      <c r="I19" s="177"/>
      <c r="J19" s="33"/>
      <c r="K19" s="33"/>
    </row>
    <row r="20" spans="1:11" ht="15" customHeight="1" x14ac:dyDescent="0.2">
      <c r="A20" s="128"/>
      <c r="B20" s="36">
        <v>44991</v>
      </c>
      <c r="C20" s="129">
        <v>44992</v>
      </c>
      <c r="D20" s="130">
        <v>0.33333333333333331</v>
      </c>
      <c r="E20" s="130">
        <v>0.33333333333333331</v>
      </c>
      <c r="F20" s="169"/>
      <c r="G20" s="127"/>
      <c r="H20" s="126">
        <v>1</v>
      </c>
      <c r="I20" s="177"/>
      <c r="J20" s="33"/>
      <c r="K20" s="33"/>
    </row>
    <row r="21" spans="1:11" ht="15" customHeight="1" x14ac:dyDescent="0.2">
      <c r="A21" s="125"/>
      <c r="B21" s="172">
        <v>44974</v>
      </c>
      <c r="C21" s="173">
        <v>44975</v>
      </c>
      <c r="D21" s="175">
        <v>0.5</v>
      </c>
      <c r="E21" s="175">
        <v>0.33333333333333331</v>
      </c>
      <c r="F21" s="127"/>
      <c r="G21" s="127"/>
      <c r="H21" s="206">
        <v>0.5</v>
      </c>
      <c r="I21" s="40"/>
      <c r="J21" s="33"/>
      <c r="K21" s="33"/>
    </row>
    <row r="22" spans="1:11" ht="15" customHeight="1" x14ac:dyDescent="0.2">
      <c r="A22" s="125"/>
      <c r="B22" s="36">
        <v>45062</v>
      </c>
      <c r="C22" s="37">
        <v>45063</v>
      </c>
      <c r="D22" s="38">
        <v>0.33333333333333331</v>
      </c>
      <c r="E22" s="38">
        <v>0</v>
      </c>
      <c r="F22" s="78"/>
      <c r="G22" s="123"/>
      <c r="H22" s="127">
        <v>1</v>
      </c>
      <c r="I22" s="40"/>
      <c r="J22" s="33"/>
      <c r="K22" s="33"/>
    </row>
    <row r="23" spans="1:11" ht="15" customHeight="1" x14ac:dyDescent="0.2">
      <c r="A23" s="125"/>
      <c r="B23" s="566"/>
      <c r="C23" s="37"/>
      <c r="D23" s="38"/>
      <c r="E23" s="38"/>
      <c r="F23" s="78"/>
      <c r="G23" s="123"/>
      <c r="H23" s="127"/>
      <c r="I23" s="40"/>
      <c r="J23" s="33"/>
      <c r="K23" s="33"/>
    </row>
    <row r="24" spans="1:11" ht="15" customHeight="1" x14ac:dyDescent="0.2">
      <c r="A24" s="125"/>
      <c r="B24" s="566"/>
      <c r="C24" s="37"/>
      <c r="D24" s="38"/>
      <c r="E24" s="38"/>
      <c r="F24" s="78"/>
      <c r="G24" s="123"/>
      <c r="H24" s="127"/>
      <c r="I24" s="40"/>
      <c r="J24" s="33"/>
      <c r="K24" s="33"/>
    </row>
    <row r="25" spans="1:11" ht="15" customHeight="1" x14ac:dyDescent="0.2">
      <c r="A25" s="125"/>
      <c r="B25" s="566"/>
      <c r="C25" s="37"/>
      <c r="D25" s="38"/>
      <c r="E25" s="38"/>
      <c r="F25" s="78"/>
      <c r="G25" s="123"/>
      <c r="H25" s="127"/>
      <c r="I25" s="40"/>
      <c r="J25" s="33"/>
      <c r="K25" s="33"/>
    </row>
    <row r="26" spans="1:11" ht="15" customHeight="1" x14ac:dyDescent="0.2">
      <c r="A26" s="125"/>
      <c r="B26" s="566"/>
      <c r="C26" s="37"/>
      <c r="D26" s="38"/>
      <c r="E26" s="38"/>
      <c r="F26" s="78"/>
      <c r="G26" s="123"/>
      <c r="H26" s="127"/>
      <c r="I26" s="40"/>
      <c r="J26" s="33"/>
      <c r="K26" s="33"/>
    </row>
    <row r="27" spans="1:11" ht="15" customHeight="1" x14ac:dyDescent="0.2">
      <c r="A27" s="125"/>
      <c r="B27" s="566"/>
      <c r="C27" s="37"/>
      <c r="D27" s="38"/>
      <c r="E27" s="38"/>
      <c r="F27" s="78"/>
      <c r="G27" s="123"/>
      <c r="H27" s="127"/>
      <c r="I27" s="40"/>
      <c r="J27" s="33"/>
      <c r="K27" s="33"/>
    </row>
    <row r="28" spans="1:11" ht="15" customHeight="1" x14ac:dyDescent="0.2">
      <c r="A28" s="125"/>
      <c r="B28" s="566"/>
      <c r="C28" s="37"/>
      <c r="D28" s="38"/>
      <c r="E28" s="38"/>
      <c r="F28" s="78"/>
      <c r="G28" s="123"/>
      <c r="H28" s="127"/>
      <c r="I28" s="40"/>
      <c r="J28" s="33"/>
      <c r="K28" s="33"/>
    </row>
    <row r="29" spans="1:11" ht="15" customHeight="1" x14ac:dyDescent="0.2">
      <c r="A29" s="125"/>
      <c r="B29" s="566"/>
      <c r="C29" s="37"/>
      <c r="D29" s="38"/>
      <c r="E29" s="38"/>
      <c r="F29" s="78"/>
      <c r="G29" s="123"/>
      <c r="H29" s="127"/>
      <c r="I29" s="40"/>
      <c r="J29" s="33"/>
      <c r="K29" s="33"/>
    </row>
    <row r="30" spans="1:11" ht="15" customHeight="1" x14ac:dyDescent="0.2">
      <c r="A30" s="125"/>
      <c r="B30" s="566"/>
      <c r="C30" s="37"/>
      <c r="D30" s="38"/>
      <c r="E30" s="38"/>
      <c r="F30" s="78"/>
      <c r="G30" s="123"/>
      <c r="H30" s="127"/>
      <c r="I30" s="40"/>
      <c r="J30" s="33"/>
      <c r="K30" s="33"/>
    </row>
    <row r="31" spans="1:11" ht="15" customHeight="1" x14ac:dyDescent="0.2">
      <c r="A31" s="125"/>
      <c r="B31" s="566"/>
      <c r="C31" s="37"/>
      <c r="D31" s="38"/>
      <c r="E31" s="38"/>
      <c r="F31" s="78"/>
      <c r="G31" s="123"/>
      <c r="H31" s="127"/>
      <c r="I31" s="40"/>
      <c r="J31" s="33"/>
      <c r="K31" s="33"/>
    </row>
    <row r="32" spans="1:11" ht="15" customHeight="1" x14ac:dyDescent="0.2">
      <c r="A32" s="125"/>
      <c r="B32" s="566"/>
      <c r="C32" s="37"/>
      <c r="D32" s="38"/>
      <c r="E32" s="38"/>
      <c r="F32" s="78"/>
      <c r="G32" s="123"/>
      <c r="H32" s="127"/>
      <c r="I32" s="40"/>
      <c r="J32" s="33"/>
      <c r="K32" s="33"/>
    </row>
    <row r="33" spans="1:11" ht="15" customHeight="1" x14ac:dyDescent="0.2">
      <c r="A33" s="125"/>
      <c r="B33" s="566"/>
      <c r="C33" s="37"/>
      <c r="D33" s="38"/>
      <c r="E33" s="38"/>
      <c r="F33" s="78"/>
      <c r="G33" s="123"/>
      <c r="H33" s="127"/>
      <c r="I33" s="40"/>
      <c r="J33" s="33"/>
      <c r="K33" s="33"/>
    </row>
    <row r="34" spans="1:11" ht="15" customHeight="1" x14ac:dyDescent="0.2">
      <c r="A34" s="125"/>
      <c r="B34" s="36"/>
      <c r="C34" s="37"/>
      <c r="D34" s="38"/>
      <c r="E34" s="38"/>
      <c r="F34" s="78"/>
      <c r="G34" s="123"/>
      <c r="H34" s="127"/>
      <c r="I34" s="40"/>
      <c r="J34" s="124"/>
      <c r="K34" s="124"/>
    </row>
    <row r="35" spans="1:11" ht="15" customHeight="1" x14ac:dyDescent="0.2">
      <c r="A35" s="174"/>
      <c r="B35" s="172"/>
      <c r="C35" s="173"/>
      <c r="D35" s="175"/>
      <c r="E35" s="175"/>
      <c r="F35" s="127"/>
      <c r="G35" s="123"/>
      <c r="H35" s="126"/>
      <c r="I35" s="171"/>
      <c r="J35" s="33"/>
      <c r="K35" s="33"/>
    </row>
    <row r="36" spans="1:11" ht="15" customHeight="1" x14ac:dyDescent="0.2">
      <c r="A36" s="174"/>
      <c r="B36" s="36"/>
      <c r="C36" s="37"/>
      <c r="D36" s="38"/>
      <c r="E36" s="38"/>
      <c r="F36" s="127"/>
      <c r="G36" s="123"/>
      <c r="H36" s="126"/>
      <c r="I36" s="171"/>
      <c r="J36" s="33"/>
      <c r="K36" s="33"/>
    </row>
    <row r="37" spans="1:11" ht="15" customHeight="1" x14ac:dyDescent="0.2">
      <c r="A37" s="178"/>
      <c r="B37" s="179"/>
      <c r="C37" s="180"/>
      <c r="D37" s="181"/>
      <c r="E37" s="181"/>
      <c r="F37" s="132" t="s">
        <v>123</v>
      </c>
      <c r="G37" s="132">
        <f>SUM(G5:G36)</f>
        <v>42</v>
      </c>
      <c r="H37" s="182">
        <f>SUM(H7:H36)</f>
        <v>12.5</v>
      </c>
      <c r="I37" s="183"/>
      <c r="J37" s="33"/>
      <c r="K37" s="33"/>
    </row>
    <row r="38" spans="1:11" ht="15" customHeight="1" x14ac:dyDescent="0.2">
      <c r="A38" s="33"/>
      <c r="B38" s="33"/>
      <c r="C38" s="33"/>
      <c r="D38" s="33"/>
      <c r="E38" s="33"/>
      <c r="F38" s="33"/>
      <c r="G38" s="133"/>
      <c r="H38" s="133"/>
      <c r="I38" s="133"/>
      <c r="J38" s="33"/>
      <c r="K38" s="33"/>
    </row>
    <row r="39" spans="1:11" ht="15" customHeight="1" x14ac:dyDescent="0.2">
      <c r="A39" s="33"/>
      <c r="B39" s="33"/>
      <c r="C39" s="33"/>
      <c r="D39" s="33"/>
      <c r="E39" s="33"/>
      <c r="F39" s="1169" t="s">
        <v>8</v>
      </c>
      <c r="G39" s="1170"/>
      <c r="H39" s="134">
        <f>G37-H37</f>
        <v>29.5</v>
      </c>
      <c r="I39" s="133"/>
      <c r="J39" s="33"/>
      <c r="K39" s="33"/>
    </row>
  </sheetData>
  <mergeCells count="3">
    <mergeCell ref="F39:G39"/>
    <mergeCell ref="J1:J3"/>
    <mergeCell ref="C1:H5"/>
  </mergeCells>
  <hyperlinks>
    <hyperlink ref="J1:J3" location="'ANA SAYFA'!A1" display="ANA SAYFA"/>
  </hyperlinks>
  <pageMargins left="0.7" right="0.12" top="0.28000000000000003" bottom="0.75" header="0.3" footer="0.3"/>
  <pageSetup paperSize="9" scale="70" orientation="portrait" horizontalDpi="300" verticalDpi="300" r:id="rId1"/>
  <colBreaks count="1" manualBreakCount="1">
    <brk id="8"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workbookViewId="0">
      <pane ySplit="7" topLeftCell="A8" activePane="bottomLeft" state="frozen"/>
      <selection pane="bottomLeft" activeCell="F15" sqref="F15"/>
    </sheetView>
  </sheetViews>
  <sheetFormatPr defaultColWidth="9.140625" defaultRowHeight="12.75" x14ac:dyDescent="0.2"/>
  <cols>
    <col min="1" max="1" width="20.28515625" style="82" bestFit="1" customWidth="1"/>
    <col min="2" max="2" width="25.7109375" style="82" bestFit="1" customWidth="1"/>
    <col min="3" max="3" width="24.5703125" style="82" bestFit="1" customWidth="1"/>
    <col min="4" max="5" width="9.42578125" style="82" customWidth="1"/>
    <col min="6" max="6" width="23.85546875" style="82" bestFit="1" customWidth="1"/>
    <col min="7" max="7" width="14.28515625" style="82" bestFit="1" customWidth="1"/>
    <col min="8" max="8" width="12.5703125" style="82" bestFit="1" customWidth="1"/>
    <col min="9" max="16384" width="9.140625" style="82"/>
  </cols>
  <sheetData>
    <row r="1" spans="1:11" ht="13.5" customHeight="1" x14ac:dyDescent="0.2">
      <c r="A1" s="322" t="s">
        <v>135</v>
      </c>
      <c r="B1" s="188" t="str">
        <f>'ANA SAYFA'!B18</f>
        <v>AHMET SAVAŞ</v>
      </c>
      <c r="C1" s="1144" t="s">
        <v>136</v>
      </c>
      <c r="D1" s="1144"/>
      <c r="E1" s="1144"/>
      <c r="F1" s="1144"/>
      <c r="G1" s="1144"/>
      <c r="H1" s="1144"/>
      <c r="I1" s="28"/>
      <c r="J1" s="30"/>
      <c r="K1" s="30"/>
    </row>
    <row r="2" spans="1:11" ht="13.5" customHeight="1" x14ac:dyDescent="0.2">
      <c r="A2" s="322" t="s">
        <v>137</v>
      </c>
      <c r="B2" s="154">
        <f>'ANA SAYFA'!D18</f>
        <v>28546398634</v>
      </c>
      <c r="C2" s="1144"/>
      <c r="D2" s="1144"/>
      <c r="E2" s="1144"/>
      <c r="F2" s="1144"/>
      <c r="G2" s="1144"/>
      <c r="H2" s="1144"/>
      <c r="I2" s="28"/>
      <c r="J2" s="30"/>
      <c r="K2" s="30"/>
    </row>
    <row r="3" spans="1:11" ht="13.5" customHeight="1" x14ac:dyDescent="0.2">
      <c r="A3" s="322" t="s">
        <v>131</v>
      </c>
      <c r="B3" s="153" t="str">
        <f>'ANA SAYFA'!C18</f>
        <v>KAMYON ŞOFÖRÜ</v>
      </c>
      <c r="C3" s="1144"/>
      <c r="D3" s="1144"/>
      <c r="E3" s="1144"/>
      <c r="F3" s="1144"/>
      <c r="G3" s="1144"/>
      <c r="H3" s="1144"/>
      <c r="I3" s="28"/>
      <c r="J3" s="30"/>
      <c r="K3" s="30"/>
    </row>
    <row r="4" spans="1:11" ht="13.5" customHeight="1" x14ac:dyDescent="0.2">
      <c r="A4" s="322" t="s">
        <v>120</v>
      </c>
      <c r="B4" s="83">
        <f>'ANA SAYFA'!E18</f>
        <v>44928</v>
      </c>
      <c r="C4" s="1144"/>
      <c r="D4" s="1144"/>
      <c r="E4" s="1144"/>
      <c r="F4" s="1144"/>
      <c r="G4" s="1144"/>
      <c r="H4" s="1144"/>
      <c r="I4" s="28"/>
      <c r="J4" s="30"/>
      <c r="K4" s="30"/>
    </row>
    <row r="5" spans="1:11" ht="13.5" customHeight="1" thickBot="1" x14ac:dyDescent="0.25">
      <c r="A5" s="322" t="s">
        <v>130</v>
      </c>
      <c r="B5" s="83">
        <f>'ANA SAYFA'!F18</f>
        <v>25461</v>
      </c>
      <c r="C5" s="1144"/>
      <c r="D5" s="1144"/>
      <c r="E5" s="1144"/>
      <c r="F5" s="1144"/>
      <c r="G5" s="1144"/>
      <c r="H5" s="1144"/>
      <c r="I5" s="28"/>
      <c r="J5" s="30"/>
      <c r="K5" s="30"/>
    </row>
    <row r="6" spans="1:11" ht="13.5" customHeight="1" x14ac:dyDescent="0.2">
      <c r="A6" s="1141" t="s">
        <v>136</v>
      </c>
      <c r="B6" s="1141"/>
      <c r="C6" s="1141"/>
      <c r="D6" s="1141"/>
      <c r="E6" s="1141"/>
      <c r="F6" s="1141"/>
      <c r="G6" s="1141"/>
      <c r="H6" s="1141"/>
      <c r="I6" s="32"/>
      <c r="J6" s="1145" t="s">
        <v>5</v>
      </c>
      <c r="K6" s="1146"/>
    </row>
    <row r="7" spans="1:11" ht="32.25" thickBot="1" x14ac:dyDescent="0.25">
      <c r="A7" s="69" t="s">
        <v>0</v>
      </c>
      <c r="B7" s="70" t="s">
        <v>1</v>
      </c>
      <c r="C7" s="69" t="s">
        <v>2</v>
      </c>
      <c r="D7" s="71" t="s">
        <v>133</v>
      </c>
      <c r="E7" s="71" t="s">
        <v>4</v>
      </c>
      <c r="F7" s="71" t="s">
        <v>7</v>
      </c>
      <c r="G7" s="71" t="s">
        <v>6</v>
      </c>
      <c r="H7" s="71" t="s">
        <v>16</v>
      </c>
      <c r="I7" s="34"/>
      <c r="J7" s="1147"/>
      <c r="K7" s="1148"/>
    </row>
    <row r="8" spans="1:11" ht="16.149999999999999" customHeight="1" x14ac:dyDescent="0.2">
      <c r="A8" s="139"/>
      <c r="B8" s="155">
        <v>45035</v>
      </c>
      <c r="C8" s="156">
        <v>45040</v>
      </c>
      <c r="D8" s="144">
        <v>0.33333333333333331</v>
      </c>
      <c r="E8" s="144">
        <v>0.33333333333333331</v>
      </c>
      <c r="F8" s="89" t="s">
        <v>473</v>
      </c>
      <c r="G8" s="305">
        <v>20</v>
      </c>
      <c r="H8" s="305">
        <v>1</v>
      </c>
      <c r="I8" s="49"/>
      <c r="J8" s="30"/>
      <c r="K8" s="30"/>
    </row>
    <row r="9" spans="1:11" ht="13.15" customHeight="1" x14ac:dyDescent="0.2">
      <c r="A9" s="139"/>
      <c r="B9" s="36"/>
      <c r="C9" s="36"/>
      <c r="D9" s="57"/>
      <c r="E9" s="57"/>
      <c r="F9" s="89" t="s">
        <v>673</v>
      </c>
      <c r="G9" s="85">
        <v>20</v>
      </c>
      <c r="H9" s="85"/>
      <c r="I9" s="49"/>
      <c r="J9" s="30"/>
      <c r="K9" s="30"/>
    </row>
    <row r="10" spans="1:11" x14ac:dyDescent="0.2">
      <c r="A10" s="141"/>
      <c r="B10" s="36"/>
      <c r="C10" s="44"/>
      <c r="D10" s="86"/>
      <c r="E10" s="86"/>
      <c r="F10" s="89"/>
      <c r="G10" s="85"/>
      <c r="H10" s="85"/>
      <c r="I10" s="49"/>
      <c r="J10" s="30"/>
      <c r="K10" s="30"/>
    </row>
    <row r="11" spans="1:11" x14ac:dyDescent="0.2">
      <c r="A11" s="141"/>
      <c r="B11" s="36"/>
      <c r="C11" s="37"/>
      <c r="D11" s="38"/>
      <c r="E11" s="38"/>
      <c r="F11" s="89"/>
      <c r="G11" s="85"/>
      <c r="H11" s="85"/>
      <c r="I11" s="49"/>
      <c r="J11" s="30"/>
      <c r="K11" s="30"/>
    </row>
    <row r="12" spans="1:11" x14ac:dyDescent="0.2">
      <c r="A12" s="146"/>
      <c r="B12" s="155"/>
      <c r="C12" s="156"/>
      <c r="D12" s="168"/>
      <c r="E12" s="168"/>
      <c r="F12" s="89"/>
      <c r="G12" s="140"/>
      <c r="H12" s="305"/>
      <c r="I12" s="49"/>
      <c r="J12" s="30"/>
      <c r="K12" s="30"/>
    </row>
    <row r="13" spans="1:11" x14ac:dyDescent="0.2">
      <c r="A13" s="146"/>
      <c r="B13" s="155"/>
      <c r="C13" s="158"/>
      <c r="D13" s="159"/>
      <c r="E13" s="159"/>
      <c r="F13" s="145"/>
      <c r="G13" s="140"/>
      <c r="H13" s="305"/>
      <c r="I13" s="49"/>
      <c r="J13" s="30"/>
      <c r="K13" s="30"/>
    </row>
    <row r="14" spans="1:11" x14ac:dyDescent="0.2">
      <c r="A14" s="236"/>
      <c r="B14" s="245"/>
      <c r="C14" s="246"/>
      <c r="D14" s="247"/>
      <c r="E14" s="247"/>
      <c r="F14" s="145"/>
      <c r="G14" s="140"/>
      <c r="H14" s="140"/>
      <c r="I14" s="49"/>
      <c r="J14" s="30"/>
      <c r="K14" s="30"/>
    </row>
    <row r="15" spans="1:11" x14ac:dyDescent="0.2">
      <c r="A15" s="236"/>
      <c r="B15" s="245"/>
      <c r="C15" s="246"/>
      <c r="D15" s="168"/>
      <c r="E15" s="168"/>
      <c r="F15" s="145"/>
      <c r="G15" s="140"/>
      <c r="H15" s="140"/>
      <c r="I15" s="49"/>
      <c r="J15" s="30"/>
      <c r="K15" s="30"/>
    </row>
    <row r="16" spans="1:11" x14ac:dyDescent="0.2">
      <c r="A16" s="147"/>
      <c r="B16" s="142"/>
      <c r="C16" s="143"/>
      <c r="D16" s="168"/>
      <c r="E16" s="168"/>
      <c r="F16" s="145"/>
      <c r="G16" s="140"/>
      <c r="H16" s="140"/>
      <c r="I16" s="49"/>
      <c r="J16" s="30"/>
      <c r="K16" s="30"/>
    </row>
    <row r="17" spans="1:11" x14ac:dyDescent="0.2">
      <c r="A17" s="147"/>
      <c r="B17" s="142"/>
      <c r="C17" s="143"/>
      <c r="D17" s="144"/>
      <c r="E17" s="144"/>
      <c r="F17" s="145"/>
      <c r="G17" s="140"/>
      <c r="H17" s="140"/>
      <c r="I17" s="49"/>
      <c r="J17" s="30"/>
      <c r="K17" s="30"/>
    </row>
    <row r="18" spans="1:11" x14ac:dyDescent="0.2">
      <c r="A18" s="147"/>
      <c r="B18" s="142"/>
      <c r="C18" s="143"/>
      <c r="D18" s="144"/>
      <c r="E18" s="144"/>
      <c r="F18" s="145"/>
      <c r="G18" s="140"/>
      <c r="H18" s="140"/>
      <c r="I18" s="49"/>
      <c r="J18" s="30"/>
      <c r="K18" s="30"/>
    </row>
    <row r="19" spans="1:11" x14ac:dyDescent="0.2">
      <c r="A19" s="147"/>
      <c r="B19" s="142"/>
      <c r="C19" s="143"/>
      <c r="D19" s="144"/>
      <c r="E19" s="144"/>
      <c r="F19" s="81"/>
      <c r="G19" s="140"/>
      <c r="H19" s="140"/>
      <c r="I19" s="49"/>
      <c r="J19" s="30"/>
      <c r="K19" s="30"/>
    </row>
    <row r="20" spans="1:11" x14ac:dyDescent="0.2">
      <c r="A20" s="147"/>
      <c r="B20" s="155"/>
      <c r="C20" s="156"/>
      <c r="D20" s="168"/>
      <c r="E20" s="168"/>
      <c r="F20" s="81"/>
      <c r="G20" s="313"/>
      <c r="H20" s="140"/>
      <c r="I20" s="46"/>
      <c r="J20" s="30"/>
      <c r="K20" s="30"/>
    </row>
    <row r="21" spans="1:11" x14ac:dyDescent="0.2">
      <c r="A21" s="147"/>
      <c r="B21" s="155"/>
      <c r="C21" s="156"/>
      <c r="D21" s="168"/>
      <c r="E21" s="168"/>
      <c r="F21" s="81"/>
      <c r="G21" s="313"/>
      <c r="H21" s="140"/>
      <c r="I21" s="46"/>
      <c r="J21" s="30"/>
      <c r="K21" s="30"/>
    </row>
    <row r="22" spans="1:11" x14ac:dyDescent="0.2">
      <c r="A22" s="147"/>
      <c r="B22" s="155"/>
      <c r="C22" s="158"/>
      <c r="D22" s="159"/>
      <c r="E22" s="159"/>
      <c r="F22" s="78"/>
      <c r="G22" s="313"/>
      <c r="H22" s="140"/>
      <c r="I22" s="40"/>
      <c r="J22" s="30"/>
      <c r="K22" s="30"/>
    </row>
    <row r="23" spans="1:11" x14ac:dyDescent="0.2">
      <c r="A23" s="147"/>
      <c r="B23" s="155"/>
      <c r="C23" s="158"/>
      <c r="D23" s="159"/>
      <c r="E23" s="159"/>
      <c r="F23" s="78"/>
      <c r="G23" s="313"/>
      <c r="H23" s="140"/>
      <c r="I23" s="40"/>
      <c r="J23" s="30"/>
      <c r="K23" s="30"/>
    </row>
    <row r="24" spans="1:11" x14ac:dyDescent="0.2">
      <c r="A24" s="147"/>
      <c r="B24" s="142"/>
      <c r="C24" s="143"/>
      <c r="D24" s="144"/>
      <c r="E24" s="144"/>
      <c r="F24" s="78"/>
      <c r="G24" s="313"/>
      <c r="H24" s="140"/>
      <c r="I24" s="40"/>
      <c r="J24" s="41"/>
      <c r="K24" s="41"/>
    </row>
    <row r="25" spans="1:11" x14ac:dyDescent="0.2">
      <c r="A25" s="51"/>
      <c r="B25" s="52"/>
      <c r="C25" s="53"/>
      <c r="D25" s="54"/>
      <c r="E25" s="54"/>
      <c r="F25" s="48"/>
      <c r="G25" s="313"/>
      <c r="H25" s="85"/>
      <c r="I25" s="49"/>
      <c r="J25" s="30"/>
      <c r="K25" s="30"/>
    </row>
    <row r="26" spans="1:11" x14ac:dyDescent="0.2">
      <c r="A26" s="51"/>
      <c r="B26" s="52"/>
      <c r="C26" s="53"/>
      <c r="D26" s="54"/>
      <c r="E26" s="54"/>
      <c r="F26" s="48"/>
      <c r="G26" s="313"/>
      <c r="H26" s="85"/>
      <c r="I26" s="49"/>
      <c r="J26" s="30"/>
      <c r="K26" s="30"/>
    </row>
    <row r="27" spans="1:11" x14ac:dyDescent="0.2">
      <c r="A27" s="55"/>
      <c r="B27" s="58"/>
      <c r="C27" s="56"/>
      <c r="D27" s="57"/>
      <c r="E27" s="57"/>
      <c r="F27" s="48"/>
      <c r="G27" s="66"/>
      <c r="H27" s="48"/>
      <c r="I27" s="49"/>
      <c r="J27" s="30"/>
      <c r="K27" s="30"/>
    </row>
    <row r="28" spans="1:11" x14ac:dyDescent="0.2">
      <c r="A28" s="55"/>
      <c r="B28" s="58"/>
      <c r="C28" s="56"/>
      <c r="D28" s="57"/>
      <c r="E28" s="57"/>
      <c r="F28" s="48"/>
      <c r="G28" s="66"/>
      <c r="H28" s="87"/>
      <c r="I28" s="49"/>
      <c r="J28" s="30"/>
      <c r="K28" s="30"/>
    </row>
    <row r="29" spans="1:11" x14ac:dyDescent="0.2">
      <c r="A29" s="55"/>
      <c r="B29" s="58"/>
      <c r="C29" s="56"/>
      <c r="D29" s="57"/>
      <c r="E29" s="57"/>
      <c r="F29" s="48"/>
      <c r="G29" s="66"/>
      <c r="H29" s="87"/>
      <c r="I29" s="49"/>
      <c r="J29" s="30"/>
      <c r="K29" s="30"/>
    </row>
    <row r="30" spans="1:11" x14ac:dyDescent="0.2">
      <c r="A30" s="55"/>
      <c r="B30" s="58"/>
      <c r="C30" s="56"/>
      <c r="D30" s="57"/>
      <c r="E30" s="57"/>
      <c r="F30" s="48"/>
      <c r="G30" s="66"/>
      <c r="H30" s="87"/>
      <c r="I30" s="49"/>
      <c r="J30" s="30"/>
      <c r="K30" s="30"/>
    </row>
    <row r="31" spans="1:11" x14ac:dyDescent="0.2">
      <c r="A31" s="55"/>
      <c r="B31" s="58"/>
      <c r="C31" s="56"/>
      <c r="D31" s="57"/>
      <c r="E31" s="57"/>
      <c r="F31" s="48"/>
      <c r="G31" s="66"/>
      <c r="H31" s="87"/>
      <c r="I31" s="49"/>
      <c r="J31" s="30"/>
      <c r="K31" s="30"/>
    </row>
    <row r="32" spans="1:11" x14ac:dyDescent="0.2">
      <c r="A32" s="55"/>
      <c r="B32" s="58"/>
      <c r="C32" s="56"/>
      <c r="D32" s="57"/>
      <c r="E32" s="57"/>
      <c r="F32" s="48"/>
      <c r="G32" s="66"/>
      <c r="H32" s="87"/>
      <c r="I32" s="49"/>
      <c r="J32" s="30"/>
      <c r="K32" s="30"/>
    </row>
    <row r="33" spans="1:11" x14ac:dyDescent="0.2">
      <c r="A33" s="55"/>
      <c r="B33" s="58"/>
      <c r="C33" s="56"/>
      <c r="D33" s="57"/>
      <c r="E33" s="57"/>
      <c r="F33" s="48"/>
      <c r="G33" s="66"/>
      <c r="H33" s="87"/>
      <c r="I33" s="49"/>
      <c r="J33" s="30"/>
      <c r="K33" s="30"/>
    </row>
    <row r="34" spans="1:11" x14ac:dyDescent="0.2">
      <c r="A34" s="55"/>
      <c r="B34" s="58"/>
      <c r="C34" s="56"/>
      <c r="D34" s="57"/>
      <c r="E34" s="57"/>
      <c r="F34" s="48"/>
      <c r="G34" s="66"/>
      <c r="H34" s="66"/>
      <c r="I34" s="49"/>
      <c r="J34" s="30"/>
      <c r="K34" s="30"/>
    </row>
    <row r="35" spans="1:11" x14ac:dyDescent="0.2">
      <c r="A35" s="72"/>
      <c r="B35" s="73"/>
      <c r="C35" s="74"/>
      <c r="D35" s="75"/>
      <c r="E35" s="75"/>
      <c r="F35" s="314" t="s">
        <v>123</v>
      </c>
      <c r="G35" s="77">
        <f>SUM(G5:G34)</f>
        <v>40</v>
      </c>
      <c r="H35" s="77">
        <f>SUM(H8:H34)</f>
        <v>1</v>
      </c>
      <c r="I35" s="61"/>
      <c r="J35" s="30"/>
      <c r="K35" s="30"/>
    </row>
    <row r="36" spans="1:11" x14ac:dyDescent="0.2">
      <c r="A36" s="30"/>
      <c r="B36" s="30"/>
      <c r="C36" s="30"/>
      <c r="D36" s="62"/>
      <c r="E36" s="62"/>
      <c r="F36" s="62"/>
      <c r="G36" s="63"/>
      <c r="H36" s="63"/>
      <c r="I36" s="63"/>
      <c r="J36" s="30"/>
      <c r="K36" s="30"/>
    </row>
    <row r="37" spans="1:11" ht="14.25" x14ac:dyDescent="0.2">
      <c r="A37" s="30"/>
      <c r="B37" s="30"/>
      <c r="C37" s="30"/>
      <c r="D37" s="62"/>
      <c r="E37" s="62"/>
      <c r="F37" s="1153" t="s">
        <v>8</v>
      </c>
      <c r="G37" s="1154"/>
      <c r="H37" s="84">
        <f>G35-H35</f>
        <v>39</v>
      </c>
      <c r="I37" s="63"/>
      <c r="J37" s="30"/>
      <c r="K37" s="30"/>
    </row>
  </sheetData>
  <mergeCells count="4">
    <mergeCell ref="A6:H6"/>
    <mergeCell ref="J6:K7"/>
    <mergeCell ref="F37:G37"/>
    <mergeCell ref="C1:H5"/>
  </mergeCells>
  <hyperlinks>
    <hyperlink ref="J6:K7" location="'ANA SAYFA'!A1" display="AnaSayfa"/>
  </hyperlinks>
  <pageMargins left="0.7" right="0.7" top="0.75" bottom="0.75" header="0.3" footer="0.3"/>
  <pageSetup paperSize="9"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2"/>
  <sheetViews>
    <sheetView zoomScaleNormal="100" workbookViewId="0">
      <pane ySplit="7" topLeftCell="A8" activePane="bottomLeft" state="frozen"/>
      <selection pane="bottomLeft" activeCell="J6" sqref="J6:K7"/>
    </sheetView>
  </sheetViews>
  <sheetFormatPr defaultColWidth="9.140625" defaultRowHeight="11.25" x14ac:dyDescent="0.2"/>
  <cols>
    <col min="1" max="1" width="18.140625" style="120" bestFit="1" customWidth="1"/>
    <col min="2" max="2" width="33.42578125" style="120" bestFit="1" customWidth="1"/>
    <col min="3" max="3" width="25.28515625" style="120" bestFit="1" customWidth="1"/>
    <col min="4" max="5" width="9.140625" style="120"/>
    <col min="6" max="6" width="27.42578125" style="120" customWidth="1"/>
    <col min="7" max="7" width="14.28515625" style="120" bestFit="1" customWidth="1"/>
    <col min="8" max="8" width="12.5703125" style="120" bestFit="1" customWidth="1"/>
    <col min="9" max="9" width="9.28515625" style="120" customWidth="1"/>
    <col min="10" max="16384" width="9.140625" style="120"/>
  </cols>
  <sheetData>
    <row r="1" spans="1:11" ht="15" customHeight="1" x14ac:dyDescent="0.2">
      <c r="A1" s="135" t="s">
        <v>135</v>
      </c>
      <c r="B1" s="193" t="str">
        <f>'ANA SAYFA'!B19</f>
        <v>ALPEREN TORUK</v>
      </c>
      <c r="C1" s="1144" t="s">
        <v>136</v>
      </c>
      <c r="D1" s="1144"/>
      <c r="E1" s="1144"/>
      <c r="F1" s="1144"/>
      <c r="G1" s="1144"/>
      <c r="H1" s="1144"/>
      <c r="I1" s="119"/>
      <c r="J1" s="33"/>
      <c r="K1" s="33"/>
    </row>
    <row r="2" spans="1:11" ht="15" customHeight="1" x14ac:dyDescent="0.2">
      <c r="A2" s="135" t="s">
        <v>137</v>
      </c>
      <c r="B2" s="186">
        <f>'ANA SAYFA'!D19</f>
        <v>29221711892</v>
      </c>
      <c r="C2" s="1144"/>
      <c r="D2" s="1144"/>
      <c r="E2" s="1144"/>
      <c r="F2" s="1144"/>
      <c r="G2" s="1144"/>
      <c r="H2" s="1144"/>
      <c r="I2" s="119"/>
      <c r="J2" s="33"/>
      <c r="K2" s="33"/>
    </row>
    <row r="3" spans="1:11" ht="15" customHeight="1" x14ac:dyDescent="0.2">
      <c r="A3" s="135" t="s">
        <v>131</v>
      </c>
      <c r="B3" s="187" t="str">
        <f>'ANA SAYFA'!C19</f>
        <v>TIR-ÇEKİCİ ŞOFÖRÜ</v>
      </c>
      <c r="C3" s="1144"/>
      <c r="D3" s="1144"/>
      <c r="E3" s="1144"/>
      <c r="F3" s="1144"/>
      <c r="G3" s="1144"/>
      <c r="H3" s="1144"/>
      <c r="I3" s="119"/>
      <c r="J3" s="33"/>
      <c r="K3" s="33"/>
    </row>
    <row r="4" spans="1:11" ht="15" customHeight="1" x14ac:dyDescent="0.2">
      <c r="A4" s="135" t="s">
        <v>120</v>
      </c>
      <c r="B4" s="136">
        <f>'ANA SAYFA'!E19</f>
        <v>45434</v>
      </c>
      <c r="C4" s="1144"/>
      <c r="D4" s="1144"/>
      <c r="E4" s="1144"/>
      <c r="F4" s="1144"/>
      <c r="G4" s="1144"/>
      <c r="H4" s="1144"/>
      <c r="I4" s="119"/>
      <c r="J4" s="33"/>
      <c r="K4" s="33"/>
    </row>
    <row r="5" spans="1:11" ht="15" customHeight="1" thickBot="1" x14ac:dyDescent="0.25">
      <c r="A5" s="135" t="s">
        <v>130</v>
      </c>
      <c r="B5" s="136">
        <f>'ANA SAYFA'!F19</f>
        <v>36442</v>
      </c>
      <c r="C5" s="1144"/>
      <c r="D5" s="1144"/>
      <c r="E5" s="1144"/>
      <c r="F5" s="1144"/>
      <c r="G5" s="1144"/>
      <c r="H5" s="1144"/>
      <c r="I5" s="119"/>
      <c r="J5" s="33"/>
      <c r="K5" s="33"/>
    </row>
    <row r="6" spans="1:11" ht="15" customHeight="1" x14ac:dyDescent="0.2">
      <c r="A6" s="1141" t="s">
        <v>136</v>
      </c>
      <c r="B6" s="1141"/>
      <c r="C6" s="1141"/>
      <c r="D6" s="1141"/>
      <c r="E6" s="1141"/>
      <c r="F6" s="1141"/>
      <c r="G6" s="1141"/>
      <c r="H6" s="1141"/>
      <c r="I6" s="170"/>
      <c r="J6" s="1145" t="s">
        <v>5</v>
      </c>
      <c r="K6" s="1146"/>
    </row>
    <row r="7" spans="1:11" ht="32.25" thickBot="1" x14ac:dyDescent="0.25">
      <c r="A7" s="69" t="s">
        <v>0</v>
      </c>
      <c r="B7" s="70" t="s">
        <v>1</v>
      </c>
      <c r="C7" s="69" t="s">
        <v>2</v>
      </c>
      <c r="D7" s="71" t="s">
        <v>133</v>
      </c>
      <c r="E7" s="71" t="s">
        <v>4</v>
      </c>
      <c r="F7" s="71" t="s">
        <v>7</v>
      </c>
      <c r="G7" s="71" t="s">
        <v>6</v>
      </c>
      <c r="H7" s="71" t="s">
        <v>16</v>
      </c>
      <c r="I7" s="34"/>
      <c r="J7" s="1147"/>
      <c r="K7" s="1148"/>
    </row>
    <row r="8" spans="1:11" ht="14.25" customHeight="1" x14ac:dyDescent="0.2">
      <c r="A8" s="121"/>
      <c r="B8" s="36">
        <v>45463</v>
      </c>
      <c r="C8" s="37">
        <v>45467</v>
      </c>
      <c r="D8" s="38">
        <v>0.33333333333333331</v>
      </c>
      <c r="E8" s="38">
        <v>0.33333333333333331</v>
      </c>
      <c r="F8" s="202" t="s">
        <v>810</v>
      </c>
      <c r="G8" s="126">
        <v>14</v>
      </c>
      <c r="H8" s="207">
        <v>3</v>
      </c>
      <c r="I8" s="171"/>
      <c r="J8" s="33"/>
      <c r="K8" s="33"/>
    </row>
    <row r="9" spans="1:11" ht="22.5" x14ac:dyDescent="0.2">
      <c r="A9" s="121"/>
      <c r="B9" s="518" t="s">
        <v>596</v>
      </c>
      <c r="C9" s="37"/>
      <c r="D9" s="38"/>
      <c r="E9" s="38"/>
      <c r="F9" s="169" t="s">
        <v>1020</v>
      </c>
      <c r="G9" s="126">
        <v>14</v>
      </c>
      <c r="H9" s="207">
        <v>-3</v>
      </c>
      <c r="I9" s="171"/>
      <c r="J9" s="33"/>
      <c r="K9" s="33"/>
    </row>
    <row r="10" spans="1:11" ht="14.25" customHeight="1" x14ac:dyDescent="0.2">
      <c r="A10" s="128"/>
      <c r="B10" s="36">
        <v>45573</v>
      </c>
      <c r="C10" s="129">
        <v>45573</v>
      </c>
      <c r="D10" s="38">
        <v>0.5</v>
      </c>
      <c r="E10" s="38">
        <v>0.33333333333333331</v>
      </c>
      <c r="F10" s="169"/>
      <c r="G10" s="126"/>
      <c r="H10" s="591">
        <v>0.5</v>
      </c>
      <c r="I10" s="171"/>
      <c r="J10" s="33"/>
      <c r="K10" s="33"/>
    </row>
    <row r="11" spans="1:11" ht="14.25" customHeight="1" x14ac:dyDescent="0.2">
      <c r="A11" s="128"/>
      <c r="B11" s="36">
        <v>45652</v>
      </c>
      <c r="C11" s="37">
        <v>45652</v>
      </c>
      <c r="D11" s="38">
        <v>0.33333333333333331</v>
      </c>
      <c r="E11" s="38">
        <v>0.33333333333333331</v>
      </c>
      <c r="F11" s="127"/>
      <c r="G11" s="126"/>
      <c r="H11" s="208">
        <v>1</v>
      </c>
      <c r="I11" s="171"/>
      <c r="J11" s="33"/>
      <c r="K11" s="33"/>
    </row>
    <row r="12" spans="1:11" ht="14.25" customHeight="1" x14ac:dyDescent="0.2">
      <c r="A12" s="125"/>
      <c r="B12" s="36">
        <v>45677</v>
      </c>
      <c r="C12" s="37">
        <v>45677</v>
      </c>
      <c r="D12" s="38">
        <v>0.33333333333333331</v>
      </c>
      <c r="E12" s="38">
        <v>0.33333333333333331</v>
      </c>
      <c r="F12" s="127"/>
      <c r="G12" s="127"/>
      <c r="H12" s="208">
        <v>1</v>
      </c>
      <c r="I12" s="171"/>
      <c r="J12" s="33"/>
      <c r="K12" s="33"/>
    </row>
    <row r="13" spans="1:11" ht="14.25" customHeight="1" x14ac:dyDescent="0.2">
      <c r="A13" s="125"/>
      <c r="B13" s="36" t="s">
        <v>773</v>
      </c>
      <c r="C13" s="880" t="s">
        <v>773</v>
      </c>
      <c r="D13" s="676">
        <v>0.33333333333333331</v>
      </c>
      <c r="E13" s="676">
        <v>0.33333333333333331</v>
      </c>
      <c r="F13" s="127"/>
      <c r="G13" s="127"/>
      <c r="H13" s="208">
        <v>1</v>
      </c>
      <c r="I13" s="171"/>
      <c r="J13" s="33"/>
      <c r="K13" s="33"/>
    </row>
    <row r="14" spans="1:11" ht="22.5" x14ac:dyDescent="0.2">
      <c r="A14" s="174"/>
      <c r="B14" s="883" t="s">
        <v>781</v>
      </c>
      <c r="C14" s="37"/>
      <c r="D14" s="38"/>
      <c r="E14" s="38"/>
      <c r="F14" s="169"/>
      <c r="G14" s="127"/>
      <c r="H14" s="884">
        <v>-2</v>
      </c>
      <c r="I14" s="171"/>
      <c r="J14" s="33"/>
      <c r="K14" s="33"/>
    </row>
    <row r="15" spans="1:11" s="706" customFormat="1" ht="22.5" x14ac:dyDescent="0.2">
      <c r="A15" s="740"/>
      <c r="B15" s="883" t="s">
        <v>809</v>
      </c>
      <c r="C15" s="675"/>
      <c r="D15" s="676"/>
      <c r="E15" s="676"/>
      <c r="F15" s="736"/>
      <c r="G15" s="709"/>
      <c r="H15" s="884">
        <v>-1</v>
      </c>
      <c r="I15" s="737"/>
      <c r="J15" s="671"/>
      <c r="K15" s="671"/>
    </row>
    <row r="16" spans="1:11" ht="14.25" customHeight="1" x14ac:dyDescent="0.2">
      <c r="A16" s="125"/>
      <c r="B16" s="36">
        <v>45950</v>
      </c>
      <c r="C16" s="37">
        <v>45951</v>
      </c>
      <c r="D16" s="38"/>
      <c r="E16" s="38"/>
      <c r="F16" s="169"/>
      <c r="G16" s="127"/>
      <c r="H16" s="127">
        <v>1</v>
      </c>
      <c r="I16" s="171"/>
      <c r="J16" s="33"/>
      <c r="K16" s="33"/>
    </row>
    <row r="17" spans="1:11" ht="14.25" customHeight="1" x14ac:dyDescent="0.2">
      <c r="A17" s="125"/>
      <c r="B17" s="36">
        <v>45957</v>
      </c>
      <c r="C17" s="37">
        <v>45964</v>
      </c>
      <c r="D17" s="38"/>
      <c r="E17" s="38"/>
      <c r="F17" s="127"/>
      <c r="G17" s="127"/>
      <c r="H17" s="127">
        <v>5</v>
      </c>
      <c r="I17" s="171"/>
      <c r="J17" s="1000">
        <v>45959</v>
      </c>
      <c r="K17" s="33"/>
    </row>
    <row r="18" spans="1:11" ht="14.25" customHeight="1" x14ac:dyDescent="0.2">
      <c r="A18" s="125"/>
      <c r="B18" s="36">
        <v>46081</v>
      </c>
      <c r="C18" s="37">
        <v>46081</v>
      </c>
      <c r="D18" s="38">
        <v>0.375</v>
      </c>
      <c r="E18" s="38">
        <v>0.5</v>
      </c>
      <c r="F18" s="127"/>
      <c r="G18" s="127"/>
      <c r="H18" s="127">
        <v>0.5</v>
      </c>
      <c r="I18" s="171"/>
      <c r="J18" s="33"/>
      <c r="K18" s="33"/>
    </row>
    <row r="19" spans="1:11" ht="14.25" customHeight="1" x14ac:dyDescent="0.2">
      <c r="A19" s="125"/>
      <c r="B19" s="36">
        <v>46174</v>
      </c>
      <c r="C19" s="37">
        <v>46177</v>
      </c>
      <c r="D19" s="38"/>
      <c r="E19" s="38"/>
      <c r="F19" s="176"/>
      <c r="G19" s="127"/>
      <c r="H19" s="127">
        <v>3</v>
      </c>
      <c r="I19" s="171"/>
      <c r="J19" s="33"/>
      <c r="K19" s="33"/>
    </row>
    <row r="20" spans="1:11" ht="14.25" customHeight="1" x14ac:dyDescent="0.2">
      <c r="A20" s="125"/>
      <c r="B20" s="36">
        <v>46209</v>
      </c>
      <c r="C20" s="37">
        <v>46180</v>
      </c>
      <c r="D20" s="38"/>
      <c r="E20" s="38"/>
      <c r="F20" s="176"/>
      <c r="G20" s="126"/>
      <c r="H20" s="127">
        <v>1</v>
      </c>
      <c r="I20" s="177"/>
      <c r="J20" s="33"/>
      <c r="K20" s="33"/>
    </row>
    <row r="21" spans="1:11" ht="14.25" customHeight="1" x14ac:dyDescent="0.2">
      <c r="A21" s="125"/>
      <c r="B21" s="36"/>
      <c r="C21" s="37"/>
      <c r="D21" s="38"/>
      <c r="E21" s="38"/>
      <c r="F21" s="176"/>
      <c r="G21" s="126"/>
      <c r="H21" s="127"/>
      <c r="I21" s="177"/>
      <c r="J21" s="33"/>
      <c r="K21" s="33"/>
    </row>
    <row r="22" spans="1:11" ht="14.25" customHeight="1" x14ac:dyDescent="0.2">
      <c r="A22" s="125"/>
      <c r="B22" s="36"/>
      <c r="C22" s="37"/>
      <c r="D22" s="38"/>
      <c r="E22" s="38"/>
      <c r="F22" s="78"/>
      <c r="G22" s="126"/>
      <c r="H22" s="127"/>
      <c r="I22" s="40"/>
      <c r="J22" s="33"/>
      <c r="K22" s="33"/>
    </row>
    <row r="23" spans="1:11" ht="14.25" customHeight="1" x14ac:dyDescent="0.2">
      <c r="A23" s="125"/>
      <c r="B23" s="36"/>
      <c r="C23" s="37"/>
      <c r="D23" s="38"/>
      <c r="E23" s="38"/>
      <c r="F23" s="78"/>
      <c r="G23" s="126"/>
      <c r="H23" s="127"/>
      <c r="I23" s="40"/>
      <c r="J23" s="33"/>
      <c r="K23" s="33"/>
    </row>
    <row r="24" spans="1:11" ht="14.25" customHeight="1" x14ac:dyDescent="0.2">
      <c r="A24" s="125"/>
      <c r="B24" s="36"/>
      <c r="C24" s="37"/>
      <c r="D24" s="38"/>
      <c r="E24" s="38"/>
      <c r="F24" s="78"/>
      <c r="G24" s="126"/>
      <c r="H24" s="127"/>
      <c r="I24" s="40"/>
      <c r="J24" s="124"/>
      <c r="K24" s="124"/>
    </row>
    <row r="25" spans="1:11" ht="14.25" customHeight="1" x14ac:dyDescent="0.2">
      <c r="A25" s="174"/>
      <c r="B25" s="172" t="s">
        <v>677</v>
      </c>
      <c r="C25" s="173"/>
      <c r="D25" s="175"/>
      <c r="E25" s="175"/>
      <c r="F25" s="127"/>
      <c r="G25" s="126"/>
      <c r="H25" s="126"/>
      <c r="I25" s="171"/>
      <c r="J25" s="33"/>
      <c r="K25" s="33"/>
    </row>
    <row r="26" spans="1:11" ht="14.25" customHeight="1" x14ac:dyDescent="0.2">
      <c r="A26" s="174"/>
      <c r="B26" s="36"/>
      <c r="C26" s="37"/>
      <c r="D26" s="38"/>
      <c r="E26" s="38"/>
      <c r="F26" s="127"/>
      <c r="G26" s="126"/>
      <c r="H26" s="126"/>
      <c r="I26" s="171"/>
      <c r="J26" s="33"/>
      <c r="K26" s="33"/>
    </row>
    <row r="27" spans="1:11" ht="14.25" customHeight="1" x14ac:dyDescent="0.2">
      <c r="A27" s="125"/>
      <c r="B27" s="36"/>
      <c r="C27" s="37"/>
      <c r="D27" s="38"/>
      <c r="E27" s="38"/>
      <c r="F27" s="127"/>
      <c r="G27" s="127"/>
      <c r="H27" s="127"/>
      <c r="I27" s="171"/>
      <c r="J27" s="33"/>
      <c r="K27" s="33"/>
    </row>
    <row r="28" spans="1:11" ht="14.25" customHeight="1" x14ac:dyDescent="0.2">
      <c r="A28" s="125"/>
      <c r="B28" s="36"/>
      <c r="C28" s="37"/>
      <c r="D28" s="38"/>
      <c r="E28" s="38"/>
      <c r="F28" s="127"/>
      <c r="G28" s="127"/>
      <c r="H28" s="138"/>
      <c r="I28" s="171"/>
      <c r="J28" s="33"/>
      <c r="K28" s="33"/>
    </row>
    <row r="29" spans="1:11" ht="14.25" customHeight="1" x14ac:dyDescent="0.2">
      <c r="A29" s="178"/>
      <c r="B29" s="179"/>
      <c r="C29" s="180"/>
      <c r="D29" s="181"/>
      <c r="E29" s="181"/>
      <c r="F29" s="132" t="s">
        <v>123</v>
      </c>
      <c r="G29" s="182">
        <f>SUM(G5:G28)</f>
        <v>28</v>
      </c>
      <c r="H29" s="182">
        <f>SUM(H8:H28)</f>
        <v>11</v>
      </c>
      <c r="I29" s="183"/>
      <c r="J29" s="33"/>
      <c r="K29" s="33"/>
    </row>
    <row r="30" spans="1:11" ht="14.25" customHeight="1" x14ac:dyDescent="0.2">
      <c r="A30" s="33"/>
      <c r="B30" s="33"/>
      <c r="C30" s="33"/>
      <c r="D30" s="33"/>
      <c r="E30" s="33"/>
      <c r="F30" s="33"/>
      <c r="G30" s="133"/>
      <c r="H30" s="133"/>
      <c r="I30" s="133"/>
      <c r="J30" s="33"/>
      <c r="K30" s="33"/>
    </row>
    <row r="31" spans="1:11" ht="14.25" customHeight="1" x14ac:dyDescent="0.2">
      <c r="A31" s="33"/>
      <c r="B31" s="33"/>
      <c r="C31" s="33"/>
      <c r="D31" s="33"/>
      <c r="E31" s="33"/>
      <c r="F31" s="1169" t="s">
        <v>8</v>
      </c>
      <c r="G31" s="1170"/>
      <c r="H31" s="134">
        <f>G29-H29</f>
        <v>17</v>
      </c>
      <c r="I31" s="133"/>
      <c r="J31" s="33"/>
      <c r="K31" s="33"/>
    </row>
    <row r="32" spans="1:11" ht="14.25" customHeight="1" x14ac:dyDescent="0.2"/>
  </sheetData>
  <mergeCells count="4">
    <mergeCell ref="A6:H6"/>
    <mergeCell ref="J6:K7"/>
    <mergeCell ref="F31:G31"/>
    <mergeCell ref="C1:H5"/>
  </mergeCells>
  <hyperlinks>
    <hyperlink ref="J6:K7" location="'ANA SAYFA'!A1" display="AnaSayfa"/>
  </hyperlinks>
  <pageMargins left="0.7" right="0.7" top="0.75" bottom="0.75" header="0.3" footer="0.3"/>
  <pageSetup paperSize="9" scale="95"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0"/>
  <sheetViews>
    <sheetView zoomScaleNormal="100" workbookViewId="0">
      <selection activeCell="J1" sqref="J1:J3"/>
    </sheetView>
  </sheetViews>
  <sheetFormatPr defaultColWidth="9.140625" defaultRowHeight="11.25" x14ac:dyDescent="0.2"/>
  <cols>
    <col min="1" max="1" width="19.7109375" style="120" customWidth="1"/>
    <col min="2" max="2" width="27.7109375" style="120" bestFit="1" customWidth="1"/>
    <col min="3" max="3" width="26.5703125" style="120" bestFit="1" customWidth="1"/>
    <col min="4" max="5" width="8.5703125" style="120" customWidth="1"/>
    <col min="6" max="6" width="26.7109375" style="120" customWidth="1"/>
    <col min="7" max="7" width="15.28515625" style="120" bestFit="1" customWidth="1"/>
    <col min="8" max="8" width="13.85546875" style="120" bestFit="1" customWidth="1"/>
    <col min="9" max="9" width="4.28515625" style="120" customWidth="1"/>
    <col min="10" max="10" width="11.5703125" style="120" customWidth="1"/>
    <col min="11" max="16384" width="9.140625" style="120"/>
  </cols>
  <sheetData>
    <row r="1" spans="1:11" ht="13.5" customHeight="1" x14ac:dyDescent="0.2">
      <c r="A1" s="135" t="s">
        <v>135</v>
      </c>
      <c r="B1" s="193" t="str">
        <f>'ANA SAYFA'!B20</f>
        <v>İBRAHİM KURT</v>
      </c>
      <c r="C1" s="1166" t="s">
        <v>136</v>
      </c>
      <c r="D1" s="1166"/>
      <c r="E1" s="1166"/>
      <c r="F1" s="1166"/>
      <c r="G1" s="1166"/>
      <c r="H1" s="1166"/>
      <c r="I1" s="119"/>
      <c r="J1" s="1183" t="s">
        <v>712</v>
      </c>
      <c r="K1" s="33"/>
    </row>
    <row r="2" spans="1:11" ht="13.5" customHeight="1" x14ac:dyDescent="0.2">
      <c r="A2" s="135" t="s">
        <v>137</v>
      </c>
      <c r="B2" s="186">
        <f>'ANA SAYFA'!D20</f>
        <v>69652051396</v>
      </c>
      <c r="C2" s="1166"/>
      <c r="D2" s="1166"/>
      <c r="E2" s="1166"/>
      <c r="F2" s="1166"/>
      <c r="G2" s="1166"/>
      <c r="H2" s="1166"/>
      <c r="I2" s="119"/>
      <c r="J2" s="1184"/>
      <c r="K2" s="33"/>
    </row>
    <row r="3" spans="1:11" ht="13.5" customHeight="1" thickBot="1" x14ac:dyDescent="0.25">
      <c r="A3" s="135" t="s">
        <v>131</v>
      </c>
      <c r="B3" s="187" t="str">
        <f>'ANA SAYFA'!C20</f>
        <v>İŞ MAK. BAKIM VE ONARIM</v>
      </c>
      <c r="C3" s="1166"/>
      <c r="D3" s="1166"/>
      <c r="E3" s="1166"/>
      <c r="F3" s="1166"/>
      <c r="G3" s="1166"/>
      <c r="H3" s="1166"/>
      <c r="I3" s="119"/>
      <c r="J3" s="1185"/>
      <c r="K3" s="33"/>
    </row>
    <row r="4" spans="1:11" ht="13.5" customHeight="1" x14ac:dyDescent="0.2">
      <c r="A4" s="135" t="s">
        <v>120</v>
      </c>
      <c r="B4" s="136">
        <f>'ANA SAYFA'!E20</f>
        <v>44601</v>
      </c>
      <c r="C4" s="1166"/>
      <c r="D4" s="1166"/>
      <c r="E4" s="1166"/>
      <c r="F4" s="1166"/>
      <c r="G4" s="1166"/>
      <c r="H4" s="1166"/>
      <c r="I4" s="119"/>
      <c r="J4" s="33"/>
      <c r="K4" s="33"/>
    </row>
    <row r="5" spans="1:11" ht="13.5" customHeight="1" x14ac:dyDescent="0.2">
      <c r="A5" s="135" t="s">
        <v>130</v>
      </c>
      <c r="B5" s="136">
        <f>'ANA SAYFA'!F20</f>
        <v>27792</v>
      </c>
      <c r="C5" s="1166"/>
      <c r="D5" s="1166"/>
      <c r="E5" s="1166"/>
      <c r="F5" s="1166"/>
      <c r="G5" s="1166"/>
      <c r="H5" s="1166"/>
      <c r="I5" s="119"/>
    </row>
    <row r="6" spans="1:11" ht="42" x14ac:dyDescent="0.2">
      <c r="A6" s="69" t="s">
        <v>0</v>
      </c>
      <c r="B6" s="70" t="s">
        <v>1</v>
      </c>
      <c r="C6" s="69" t="s">
        <v>2</v>
      </c>
      <c r="D6" s="71" t="s">
        <v>133</v>
      </c>
      <c r="E6" s="71" t="s">
        <v>4</v>
      </c>
      <c r="F6" s="71" t="s">
        <v>7</v>
      </c>
      <c r="G6" s="71" t="s">
        <v>6</v>
      </c>
      <c r="H6" s="71" t="s">
        <v>16</v>
      </c>
      <c r="I6" s="34"/>
    </row>
    <row r="7" spans="1:11" ht="15.75" customHeight="1" x14ac:dyDescent="0.2">
      <c r="A7" s="121"/>
      <c r="B7" s="209">
        <v>45170</v>
      </c>
      <c r="C7" s="37">
        <v>45173</v>
      </c>
      <c r="D7" s="38">
        <v>0.5</v>
      </c>
      <c r="E7" s="38">
        <v>0.33333333333333331</v>
      </c>
      <c r="F7" s="204" t="s">
        <v>375</v>
      </c>
      <c r="G7" s="123">
        <v>14</v>
      </c>
      <c r="H7" s="341">
        <v>1.5</v>
      </c>
      <c r="I7" s="171"/>
      <c r="J7" s="33"/>
      <c r="K7" s="33"/>
    </row>
    <row r="8" spans="1:11" ht="15.75" customHeight="1" x14ac:dyDescent="0.2">
      <c r="A8" s="121"/>
      <c r="B8" s="209">
        <v>45201</v>
      </c>
      <c r="C8" s="129">
        <v>45215</v>
      </c>
      <c r="D8" s="38">
        <v>0.33333333333333331</v>
      </c>
      <c r="E8" s="130">
        <v>0.33333333333333331</v>
      </c>
      <c r="F8" s="204" t="s">
        <v>721</v>
      </c>
      <c r="G8" s="123">
        <v>14</v>
      </c>
      <c r="H8" s="123">
        <v>12</v>
      </c>
      <c r="I8" s="171"/>
      <c r="J8" s="33"/>
      <c r="K8" s="33"/>
    </row>
    <row r="9" spans="1:11" ht="15.75" customHeight="1" x14ac:dyDescent="0.2">
      <c r="A9" s="128"/>
      <c r="B9" s="209">
        <v>45463</v>
      </c>
      <c r="C9" s="129">
        <v>45481</v>
      </c>
      <c r="D9" s="38">
        <v>0.33333333333333331</v>
      </c>
      <c r="E9" s="130">
        <v>0.33333333333333331</v>
      </c>
      <c r="F9" s="204" t="s">
        <v>722</v>
      </c>
      <c r="G9" s="123">
        <v>14</v>
      </c>
      <c r="H9" s="127">
        <v>15</v>
      </c>
      <c r="I9" s="171"/>
      <c r="J9" s="33"/>
      <c r="K9" s="33"/>
    </row>
    <row r="10" spans="1:11" ht="15.75" customHeight="1" x14ac:dyDescent="0.2">
      <c r="A10" s="128"/>
      <c r="B10" s="210">
        <v>45528</v>
      </c>
      <c r="C10" s="173">
        <v>45528</v>
      </c>
      <c r="D10" s="38">
        <v>0.33333333333333331</v>
      </c>
      <c r="E10" s="130">
        <v>0.33333333333333331</v>
      </c>
      <c r="F10" s="38" t="s">
        <v>981</v>
      </c>
      <c r="G10" s="127">
        <v>14</v>
      </c>
      <c r="H10" s="127">
        <v>1</v>
      </c>
      <c r="I10" s="171"/>
      <c r="J10" s="33"/>
      <c r="K10" s="33"/>
    </row>
    <row r="11" spans="1:11" ht="15.75" customHeight="1" x14ac:dyDescent="0.2">
      <c r="A11" s="125"/>
      <c r="B11" s="648">
        <v>45540</v>
      </c>
      <c r="C11" s="649">
        <v>45540</v>
      </c>
      <c r="D11" s="130">
        <v>0.5</v>
      </c>
      <c r="E11" s="130">
        <v>0.33333333333333331</v>
      </c>
      <c r="F11" s="38"/>
      <c r="G11" s="127"/>
      <c r="H11" s="341">
        <v>0.5</v>
      </c>
      <c r="I11" s="171"/>
      <c r="J11" s="33"/>
      <c r="K11" s="33"/>
    </row>
    <row r="12" spans="1:11" ht="15.75" customHeight="1" x14ac:dyDescent="0.2">
      <c r="A12" s="125"/>
      <c r="B12" s="650" t="s">
        <v>631</v>
      </c>
      <c r="C12" s="651"/>
      <c r="D12" s="175"/>
      <c r="E12" s="175"/>
      <c r="F12" s="38"/>
      <c r="G12" s="127"/>
      <c r="H12" s="647">
        <v>-1</v>
      </c>
      <c r="I12" s="171"/>
      <c r="J12" s="33"/>
      <c r="K12" s="33"/>
    </row>
    <row r="13" spans="1:11" ht="15.75" customHeight="1" x14ac:dyDescent="0.2">
      <c r="A13" s="125"/>
      <c r="B13" s="210">
        <v>45642</v>
      </c>
      <c r="C13" s="173">
        <v>45657</v>
      </c>
      <c r="D13" s="130">
        <v>800</v>
      </c>
      <c r="E13" s="130">
        <v>0.33333333333333331</v>
      </c>
      <c r="F13" s="38"/>
      <c r="G13" s="127"/>
      <c r="H13" s="127">
        <v>14</v>
      </c>
    </row>
    <row r="14" spans="1:11" ht="15.75" customHeight="1" x14ac:dyDescent="0.2">
      <c r="A14" s="174"/>
      <c r="B14" s="1200" t="s">
        <v>671</v>
      </c>
      <c r="C14" s="1201"/>
      <c r="D14" s="175"/>
      <c r="E14" s="175"/>
      <c r="F14" s="38"/>
      <c r="G14" s="127"/>
      <c r="H14" s="601">
        <v>-3</v>
      </c>
    </row>
    <row r="15" spans="1:11" ht="15.75" customHeight="1" x14ac:dyDescent="0.2">
      <c r="A15" s="125"/>
      <c r="B15" s="566">
        <v>45766</v>
      </c>
      <c r="C15" s="37">
        <v>45768</v>
      </c>
      <c r="D15" s="676">
        <v>0.33333333333333331</v>
      </c>
      <c r="E15" s="712">
        <v>0.33333333333333331</v>
      </c>
      <c r="F15" s="38"/>
      <c r="G15" s="127"/>
      <c r="H15" s="127">
        <v>1</v>
      </c>
    </row>
    <row r="16" spans="1:11" ht="15.75" customHeight="1" x14ac:dyDescent="0.2">
      <c r="A16" s="125"/>
      <c r="B16" s="36">
        <v>45882</v>
      </c>
      <c r="C16" s="37">
        <v>45883</v>
      </c>
      <c r="D16" s="38">
        <v>0.33333333333333331</v>
      </c>
      <c r="E16" s="38">
        <v>0.33333333333333331</v>
      </c>
      <c r="F16" s="38"/>
      <c r="G16" s="127"/>
      <c r="H16" s="206">
        <v>0.5</v>
      </c>
    </row>
    <row r="17" spans="1:8" ht="15.75" customHeight="1" x14ac:dyDescent="0.2">
      <c r="A17" s="125"/>
      <c r="B17" s="36">
        <v>45941</v>
      </c>
      <c r="C17" s="37">
        <v>45942</v>
      </c>
      <c r="D17" s="38"/>
      <c r="E17" s="38"/>
      <c r="F17" s="38"/>
      <c r="G17" s="127"/>
      <c r="H17" s="127">
        <v>1</v>
      </c>
    </row>
    <row r="18" spans="1:8" ht="15.75" customHeight="1" x14ac:dyDescent="0.2">
      <c r="A18" s="125"/>
      <c r="B18" s="36">
        <v>46013</v>
      </c>
      <c r="C18" s="37">
        <v>46020</v>
      </c>
      <c r="D18" s="38"/>
      <c r="E18" s="38"/>
      <c r="F18" s="127"/>
      <c r="G18" s="127"/>
      <c r="H18" s="127">
        <v>6</v>
      </c>
    </row>
    <row r="19" spans="1:8" ht="15.75" customHeight="1" x14ac:dyDescent="0.2">
      <c r="A19" s="125"/>
      <c r="B19" s="36">
        <v>46167</v>
      </c>
      <c r="C19" s="37">
        <v>46181</v>
      </c>
      <c r="D19" s="38"/>
      <c r="E19" s="38"/>
      <c r="F19" s="127"/>
      <c r="G19" s="127"/>
      <c r="H19" s="127">
        <v>7</v>
      </c>
    </row>
    <row r="20" spans="1:8" ht="15.75" customHeight="1" x14ac:dyDescent="0.2">
      <c r="A20" s="125"/>
      <c r="B20" s="36"/>
      <c r="C20" s="37"/>
      <c r="D20" s="38"/>
      <c r="E20" s="38"/>
      <c r="F20" s="127"/>
      <c r="G20" s="127"/>
      <c r="H20" s="127"/>
    </row>
    <row r="21" spans="1:8" ht="15.75" customHeight="1" x14ac:dyDescent="0.2">
      <c r="A21" s="125"/>
      <c r="B21" s="36"/>
      <c r="C21" s="37"/>
      <c r="D21" s="38"/>
      <c r="E21" s="38"/>
      <c r="F21" s="127"/>
      <c r="G21" s="127"/>
      <c r="H21" s="127"/>
    </row>
    <row r="22" spans="1:8" ht="15.75" customHeight="1" x14ac:dyDescent="0.2">
      <c r="A22" s="125"/>
      <c r="B22" s="36"/>
      <c r="C22" s="37"/>
      <c r="D22" s="38"/>
      <c r="E22" s="38"/>
      <c r="F22" s="127"/>
      <c r="G22" s="127"/>
      <c r="H22" s="127"/>
    </row>
    <row r="23" spans="1:8" ht="15.75" customHeight="1" x14ac:dyDescent="0.2">
      <c r="A23" s="125"/>
      <c r="B23" s="36"/>
      <c r="C23" s="37"/>
      <c r="D23" s="38"/>
      <c r="E23" s="38"/>
      <c r="F23" s="127"/>
      <c r="G23" s="127"/>
      <c r="H23" s="127"/>
    </row>
    <row r="24" spans="1:8" ht="15.75" customHeight="1" x14ac:dyDescent="0.2">
      <c r="A24" s="125"/>
      <c r="B24" s="36"/>
      <c r="C24" s="37"/>
      <c r="D24" s="38"/>
      <c r="E24" s="38"/>
      <c r="F24" s="127"/>
      <c r="G24" s="127"/>
      <c r="H24" s="127"/>
    </row>
    <row r="25" spans="1:8" ht="15.75" customHeight="1" x14ac:dyDescent="0.2">
      <c r="A25" s="198"/>
      <c r="B25" s="36"/>
      <c r="C25" s="37"/>
      <c r="D25" s="38"/>
      <c r="E25" s="38"/>
      <c r="F25" s="127"/>
      <c r="G25" s="127"/>
      <c r="H25" s="127"/>
    </row>
    <row r="26" spans="1:8" ht="15.75" customHeight="1" x14ac:dyDescent="0.2">
      <c r="A26" s="198"/>
      <c r="B26" s="36"/>
      <c r="C26" s="37"/>
      <c r="D26" s="38"/>
      <c r="E26" s="38"/>
      <c r="F26" s="127"/>
      <c r="G26" s="127"/>
      <c r="H26" s="127"/>
    </row>
    <row r="27" spans="1:8" ht="15.75" customHeight="1" x14ac:dyDescent="0.2">
      <c r="A27" s="198"/>
      <c r="B27" s="36"/>
      <c r="C27" s="37"/>
      <c r="D27" s="38"/>
      <c r="E27" s="38"/>
      <c r="F27" s="127"/>
      <c r="G27" s="127"/>
      <c r="H27" s="127"/>
    </row>
    <row r="28" spans="1:8" ht="15.75" customHeight="1" x14ac:dyDescent="0.2">
      <c r="F28" s="132" t="s">
        <v>123</v>
      </c>
      <c r="G28" s="132">
        <f>SUM(G5:G27)</f>
        <v>56</v>
      </c>
      <c r="H28" s="338">
        <f>SUM(H7:H27)</f>
        <v>55.5</v>
      </c>
    </row>
    <row r="29" spans="1:8" ht="15.75" customHeight="1" x14ac:dyDescent="0.2">
      <c r="F29" s="33"/>
      <c r="G29" s="133"/>
      <c r="H29" s="133"/>
    </row>
    <row r="30" spans="1:8" ht="15.75" customHeight="1" x14ac:dyDescent="0.2">
      <c r="F30" s="1169" t="s">
        <v>8</v>
      </c>
      <c r="G30" s="1170"/>
      <c r="H30" s="134">
        <f>G28-H28</f>
        <v>0.5</v>
      </c>
    </row>
  </sheetData>
  <mergeCells count="4">
    <mergeCell ref="F30:G30"/>
    <mergeCell ref="J1:J3"/>
    <mergeCell ref="C1:H5"/>
    <mergeCell ref="B14:C14"/>
  </mergeCells>
  <hyperlinks>
    <hyperlink ref="J1:J3" location="'ANA SAYFA'!A1" display="ANA SAYFA"/>
  </hyperlinks>
  <pageMargins left="0.7" right="0.12" top="0.28999999999999998" bottom="0.75" header="0.3" footer="0.3"/>
  <pageSetup paperSize="9" scale="65"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
  <sheetViews>
    <sheetView zoomScaleNormal="100" zoomScaleSheetLayoutView="115" workbookViewId="0">
      <selection activeCell="J1" sqref="J1:J3"/>
    </sheetView>
  </sheetViews>
  <sheetFormatPr defaultColWidth="9.140625" defaultRowHeight="11.25" x14ac:dyDescent="0.2"/>
  <cols>
    <col min="1" max="1" width="18.140625" style="120" bestFit="1" customWidth="1"/>
    <col min="2" max="3" width="26.7109375" style="120" bestFit="1" customWidth="1"/>
    <col min="4" max="5" width="8.85546875" style="120" customWidth="1"/>
    <col min="6" max="6" width="20.140625" style="120" customWidth="1"/>
    <col min="7" max="7" width="14.28515625" style="120" customWidth="1"/>
    <col min="8" max="8" width="12.5703125" style="120" bestFit="1" customWidth="1"/>
    <col min="9" max="9" width="9.140625" style="120"/>
    <col min="10" max="10" width="11" style="120" customWidth="1"/>
    <col min="11" max="12" width="11.28515625" style="120" bestFit="1" customWidth="1"/>
    <col min="13" max="16384" width="9.140625" style="120"/>
  </cols>
  <sheetData>
    <row r="1" spans="1:12" ht="16.5" customHeight="1" x14ac:dyDescent="0.2">
      <c r="A1" s="135" t="s">
        <v>135</v>
      </c>
      <c r="B1" s="193" t="str">
        <f>'ANA SAYFA'!B21</f>
        <v xml:space="preserve">İBRAHİM SEVEN </v>
      </c>
      <c r="C1" s="1166" t="s">
        <v>136</v>
      </c>
      <c r="D1" s="1166"/>
      <c r="E1" s="1166"/>
      <c r="F1" s="1166"/>
      <c r="G1" s="1166"/>
      <c r="H1" s="1166"/>
      <c r="I1" s="119"/>
      <c r="J1" s="1183" t="s">
        <v>712</v>
      </c>
      <c r="K1" s="33"/>
    </row>
    <row r="2" spans="1:12" ht="16.5" customHeight="1" x14ac:dyDescent="0.2">
      <c r="A2" s="135" t="s">
        <v>137</v>
      </c>
      <c r="B2" s="186">
        <f>'ANA SAYFA'!D21</f>
        <v>28438730016</v>
      </c>
      <c r="C2" s="1166"/>
      <c r="D2" s="1166"/>
      <c r="E2" s="1166"/>
      <c r="F2" s="1166"/>
      <c r="G2" s="1166"/>
      <c r="H2" s="1166"/>
      <c r="I2" s="119"/>
      <c r="J2" s="1184"/>
      <c r="K2" s="33"/>
    </row>
    <row r="3" spans="1:12" ht="16.5" customHeight="1" thickBot="1" x14ac:dyDescent="0.25">
      <c r="A3" s="135" t="s">
        <v>131</v>
      </c>
      <c r="B3" s="187" t="str">
        <f>'ANA SAYFA'!C21</f>
        <v>TIR ŞOFÖRÜ</v>
      </c>
      <c r="C3" s="1166"/>
      <c r="D3" s="1166"/>
      <c r="E3" s="1166"/>
      <c r="F3" s="1166"/>
      <c r="G3" s="1166"/>
      <c r="H3" s="1166"/>
      <c r="I3" s="119"/>
      <c r="J3" s="1185"/>
      <c r="K3" s="33"/>
    </row>
    <row r="4" spans="1:12" ht="16.5" customHeight="1" x14ac:dyDescent="0.2">
      <c r="A4" s="135" t="s">
        <v>120</v>
      </c>
      <c r="B4" s="136">
        <f>'ANA SAYFA'!E21</f>
        <v>44946</v>
      </c>
      <c r="C4" s="1166"/>
      <c r="D4" s="1166"/>
      <c r="E4" s="1166"/>
      <c r="F4" s="1166"/>
      <c r="G4" s="1166"/>
      <c r="H4" s="1166"/>
      <c r="I4" s="119"/>
      <c r="J4" s="33"/>
      <c r="K4" s="33"/>
    </row>
    <row r="5" spans="1:12" ht="16.5" customHeight="1" x14ac:dyDescent="0.2">
      <c r="A5" s="135" t="s">
        <v>130</v>
      </c>
      <c r="B5" s="136">
        <f>'ANA SAYFA'!F21</f>
        <v>28074</v>
      </c>
      <c r="C5" s="1166"/>
      <c r="D5" s="1166"/>
      <c r="E5" s="1166"/>
      <c r="F5" s="1166"/>
      <c r="G5" s="1166"/>
      <c r="H5" s="1166"/>
      <c r="I5" s="119"/>
      <c r="J5" s="706"/>
      <c r="K5" s="706"/>
    </row>
    <row r="6" spans="1:12" ht="31.5" x14ac:dyDescent="0.2">
      <c r="A6" s="69" t="s">
        <v>0</v>
      </c>
      <c r="B6" s="70" t="s">
        <v>1</v>
      </c>
      <c r="C6" s="69" t="s">
        <v>2</v>
      </c>
      <c r="D6" s="71" t="s">
        <v>133</v>
      </c>
      <c r="E6" s="71" t="s">
        <v>4</v>
      </c>
      <c r="F6" s="71" t="s">
        <v>7</v>
      </c>
      <c r="G6" s="71" t="s">
        <v>6</v>
      </c>
      <c r="H6" s="71" t="s">
        <v>16</v>
      </c>
      <c r="I6" s="34"/>
      <c r="J6" s="706"/>
      <c r="K6" s="706"/>
    </row>
    <row r="7" spans="1:12" ht="13.5" customHeight="1" x14ac:dyDescent="0.2">
      <c r="A7" s="1203" t="s">
        <v>921</v>
      </c>
      <c r="B7" s="1202" t="s">
        <v>376</v>
      </c>
      <c r="C7" s="1202"/>
      <c r="D7" s="38"/>
      <c r="E7" s="38"/>
      <c r="F7" s="126"/>
      <c r="G7" s="126">
        <v>28</v>
      </c>
      <c r="H7" s="39"/>
      <c r="I7" s="171"/>
      <c r="J7" s="33"/>
      <c r="K7" s="33"/>
    </row>
    <row r="8" spans="1:12" ht="13.5" customHeight="1" x14ac:dyDescent="0.2">
      <c r="A8" s="1204"/>
      <c r="B8" s="36">
        <v>44927</v>
      </c>
      <c r="C8" s="36">
        <v>44941</v>
      </c>
      <c r="D8" s="38">
        <v>0.33333333333333331</v>
      </c>
      <c r="E8" s="38">
        <v>0.33333333333333331</v>
      </c>
      <c r="F8" s="708" t="s">
        <v>487</v>
      </c>
      <c r="G8" s="126">
        <v>26</v>
      </c>
      <c r="H8" s="340">
        <v>12</v>
      </c>
      <c r="I8" s="342" t="s">
        <v>438</v>
      </c>
      <c r="J8" s="33"/>
      <c r="K8" s="33"/>
    </row>
    <row r="9" spans="1:12" ht="13.5" customHeight="1" x14ac:dyDescent="0.2">
      <c r="A9" s="1204"/>
      <c r="B9" s="36">
        <v>44990</v>
      </c>
      <c r="C9" s="36">
        <v>45000</v>
      </c>
      <c r="D9" s="38">
        <v>0.33333333333333331</v>
      </c>
      <c r="E9" s="38">
        <v>0.33333333333333331</v>
      </c>
      <c r="F9" s="708" t="s">
        <v>687</v>
      </c>
      <c r="G9" s="126">
        <v>26</v>
      </c>
      <c r="H9" s="340">
        <v>8</v>
      </c>
      <c r="I9" s="342" t="s">
        <v>438</v>
      </c>
      <c r="J9" s="33"/>
      <c r="K9" s="33"/>
    </row>
    <row r="10" spans="1:12" s="828" customFormat="1" ht="13.5" customHeight="1" x14ac:dyDescent="0.2">
      <c r="A10" s="1205"/>
      <c r="B10" s="674">
        <v>45042</v>
      </c>
      <c r="C10" s="675">
        <v>45043</v>
      </c>
      <c r="D10" s="676">
        <v>0.33333333333333331</v>
      </c>
      <c r="E10" s="676">
        <v>0.33333333333333331</v>
      </c>
      <c r="F10" s="708" t="s">
        <v>941</v>
      </c>
      <c r="G10" s="708">
        <v>26</v>
      </c>
      <c r="H10" s="796">
        <v>1</v>
      </c>
      <c r="I10" s="737"/>
      <c r="J10" s="671"/>
      <c r="K10" s="988">
        <v>45505</v>
      </c>
      <c r="L10" s="989" t="s">
        <v>899</v>
      </c>
    </row>
    <row r="11" spans="1:12" s="828" customFormat="1" ht="13.5" customHeight="1" x14ac:dyDescent="0.2">
      <c r="A11" s="710"/>
      <c r="B11" s="674">
        <v>45069</v>
      </c>
      <c r="C11" s="675">
        <v>45070</v>
      </c>
      <c r="D11" s="676">
        <v>0.33333333333333331</v>
      </c>
      <c r="E11" s="676">
        <v>0.33333333333333331</v>
      </c>
      <c r="F11" s="708"/>
      <c r="G11" s="708"/>
      <c r="H11" s="796">
        <v>1</v>
      </c>
      <c r="I11" s="737"/>
      <c r="J11" s="671"/>
      <c r="K11" s="671"/>
    </row>
    <row r="12" spans="1:12" s="828" customFormat="1" ht="13.5" customHeight="1" x14ac:dyDescent="0.2">
      <c r="A12" s="710"/>
      <c r="B12" s="674">
        <v>45131</v>
      </c>
      <c r="C12" s="711">
        <v>45132</v>
      </c>
      <c r="D12" s="676">
        <v>0.33333333333333331</v>
      </c>
      <c r="E12" s="676">
        <v>0.33333333333333331</v>
      </c>
      <c r="F12" s="709"/>
      <c r="G12" s="709"/>
      <c r="H12" s="708">
        <v>1</v>
      </c>
      <c r="I12" s="737"/>
      <c r="J12" s="671"/>
      <c r="K12" s="671"/>
    </row>
    <row r="13" spans="1:12" s="828" customFormat="1" ht="13.5" customHeight="1" x14ac:dyDescent="0.2">
      <c r="A13" s="710"/>
      <c r="B13" s="674">
        <v>45146</v>
      </c>
      <c r="C13" s="711">
        <v>45147</v>
      </c>
      <c r="D13" s="676">
        <v>0.33333333333333331</v>
      </c>
      <c r="E13" s="676">
        <v>0.33333333333333331</v>
      </c>
      <c r="F13" s="709"/>
      <c r="G13" s="709"/>
      <c r="H13" s="708">
        <v>1</v>
      </c>
      <c r="I13" s="737"/>
      <c r="J13" s="671"/>
      <c r="K13" s="671"/>
    </row>
    <row r="14" spans="1:12" s="828" customFormat="1" ht="13.5" customHeight="1" x14ac:dyDescent="0.2">
      <c r="A14" s="710"/>
      <c r="B14" s="674">
        <v>45173</v>
      </c>
      <c r="C14" s="711">
        <v>45174</v>
      </c>
      <c r="D14" s="712">
        <v>0.33333333333333331</v>
      </c>
      <c r="E14" s="712">
        <v>0.33333333333333331</v>
      </c>
      <c r="F14" s="709"/>
      <c r="G14" s="709"/>
      <c r="H14" s="708">
        <v>1</v>
      </c>
      <c r="I14" s="737"/>
      <c r="J14" s="671"/>
      <c r="K14" s="671"/>
    </row>
    <row r="15" spans="1:12" s="828" customFormat="1" ht="13.5" customHeight="1" x14ac:dyDescent="0.2">
      <c r="A15" s="710"/>
      <c r="B15" s="674">
        <v>45198</v>
      </c>
      <c r="C15" s="711">
        <v>45199</v>
      </c>
      <c r="D15" s="712">
        <v>0.33333333333333331</v>
      </c>
      <c r="E15" s="712">
        <v>0.33333333333333331</v>
      </c>
      <c r="F15" s="709"/>
      <c r="G15" s="709"/>
      <c r="H15" s="708">
        <v>1</v>
      </c>
      <c r="I15" s="737"/>
      <c r="J15" s="671"/>
      <c r="K15" s="671"/>
    </row>
    <row r="16" spans="1:12" s="828" customFormat="1" ht="13.5" customHeight="1" x14ac:dyDescent="0.2">
      <c r="A16" s="710"/>
      <c r="B16" s="674">
        <v>45351</v>
      </c>
      <c r="C16" s="711">
        <v>45352</v>
      </c>
      <c r="D16" s="712">
        <v>0.33333333333333331</v>
      </c>
      <c r="E16" s="712">
        <v>0.33333333333333331</v>
      </c>
      <c r="F16" s="709"/>
      <c r="G16" s="709"/>
      <c r="H16" s="708">
        <v>1</v>
      </c>
      <c r="I16" s="737"/>
      <c r="J16" s="671"/>
      <c r="K16" s="671"/>
      <c r="L16" s="943"/>
    </row>
    <row r="17" spans="1:13" s="828" customFormat="1" ht="13.5" customHeight="1" x14ac:dyDescent="0.2">
      <c r="A17" s="710"/>
      <c r="B17" s="674">
        <v>45479</v>
      </c>
      <c r="C17" s="711">
        <v>45481</v>
      </c>
      <c r="D17" s="712">
        <v>0.33333333333333331</v>
      </c>
      <c r="E17" s="712">
        <v>0.33333333333333331</v>
      </c>
      <c r="F17" s="709"/>
      <c r="G17" s="709"/>
      <c r="H17" s="708">
        <v>2</v>
      </c>
      <c r="I17" s="737"/>
      <c r="J17" s="671"/>
      <c r="K17" s="671"/>
      <c r="L17" s="943"/>
    </row>
    <row r="18" spans="1:13" s="828" customFormat="1" ht="13.5" customHeight="1" x14ac:dyDescent="0.2">
      <c r="A18" s="710"/>
      <c r="B18" s="674">
        <v>45491</v>
      </c>
      <c r="C18" s="711">
        <v>45491</v>
      </c>
      <c r="D18" s="712">
        <v>0.33333333333333331</v>
      </c>
      <c r="E18" s="712">
        <v>0.33333333333333331</v>
      </c>
      <c r="F18" s="709"/>
      <c r="G18" s="709"/>
      <c r="H18" s="708">
        <v>1</v>
      </c>
      <c r="I18" s="737"/>
      <c r="J18" s="671"/>
      <c r="K18" s="671"/>
    </row>
    <row r="19" spans="1:13" s="828" customFormat="1" ht="13.5" customHeight="1" x14ac:dyDescent="0.2">
      <c r="A19" s="710"/>
      <c r="B19" s="674">
        <v>45495</v>
      </c>
      <c r="C19" s="711">
        <v>45495</v>
      </c>
      <c r="D19" s="712">
        <v>0.5</v>
      </c>
      <c r="E19" s="712">
        <v>0.33333333333333331</v>
      </c>
      <c r="F19" s="709"/>
      <c r="G19" s="709"/>
      <c r="H19" s="708">
        <v>0.5</v>
      </c>
      <c r="I19" s="737"/>
      <c r="J19" s="671"/>
      <c r="K19" s="671"/>
      <c r="L19" s="828">
        <f>L16-L17</f>
        <v>0</v>
      </c>
    </row>
    <row r="20" spans="1:13" s="828" customFormat="1" ht="13.5" customHeight="1" x14ac:dyDescent="0.2">
      <c r="A20" s="710"/>
      <c r="B20" s="674">
        <v>45497</v>
      </c>
      <c r="C20" s="711">
        <v>45497</v>
      </c>
      <c r="D20" s="712">
        <v>0.33333333333333331</v>
      </c>
      <c r="E20" s="712">
        <v>0.33333333333333331</v>
      </c>
      <c r="F20" s="709"/>
      <c r="G20" s="709"/>
      <c r="H20" s="708">
        <v>1</v>
      </c>
      <c r="I20" s="737"/>
      <c r="J20" s="671"/>
      <c r="K20" s="671"/>
    </row>
    <row r="21" spans="1:13" s="828" customFormat="1" ht="13.5" customHeight="1" x14ac:dyDescent="0.2">
      <c r="A21" s="710"/>
      <c r="B21" s="674">
        <v>45502</v>
      </c>
      <c r="C21" s="711">
        <v>45502</v>
      </c>
      <c r="D21" s="712">
        <v>0.5</v>
      </c>
      <c r="E21" s="712">
        <v>0.33333333333333331</v>
      </c>
      <c r="F21" s="709"/>
      <c r="G21" s="709"/>
      <c r="H21" s="708">
        <v>0.5</v>
      </c>
      <c r="I21" s="737"/>
      <c r="J21" s="671"/>
      <c r="K21" s="671"/>
    </row>
    <row r="22" spans="1:13" s="828" customFormat="1" ht="13.5" customHeight="1" x14ac:dyDescent="0.2">
      <c r="A22" s="707"/>
      <c r="B22" s="674">
        <v>45525</v>
      </c>
      <c r="C22" s="711">
        <v>45525</v>
      </c>
      <c r="D22" s="712">
        <v>0.33333333333333331</v>
      </c>
      <c r="E22" s="712">
        <v>0.33333333333333331</v>
      </c>
      <c r="F22" s="709"/>
      <c r="G22" s="709"/>
      <c r="H22" s="708">
        <v>1</v>
      </c>
      <c r="I22" s="737"/>
      <c r="J22" s="671"/>
      <c r="K22" s="671"/>
      <c r="M22" s="828">
        <v>18</v>
      </c>
    </row>
    <row r="23" spans="1:13" s="828" customFormat="1" ht="13.5" customHeight="1" x14ac:dyDescent="0.2">
      <c r="A23" s="707"/>
      <c r="B23" s="738">
        <v>45546</v>
      </c>
      <c r="C23" s="739">
        <v>45546</v>
      </c>
      <c r="D23" s="712">
        <v>0.33333333333333331</v>
      </c>
      <c r="E23" s="712">
        <v>0.33333333333333331</v>
      </c>
      <c r="F23" s="709"/>
      <c r="G23" s="709"/>
      <c r="H23" s="709">
        <v>1</v>
      </c>
      <c r="I23" s="737"/>
      <c r="J23" s="671"/>
      <c r="K23" s="671"/>
      <c r="M23" s="828">
        <v>3</v>
      </c>
    </row>
    <row r="24" spans="1:13" s="828" customFormat="1" ht="13.5" customHeight="1" x14ac:dyDescent="0.2">
      <c r="A24" s="740"/>
      <c r="B24" s="738">
        <v>45505</v>
      </c>
      <c r="C24" s="739">
        <v>45505</v>
      </c>
      <c r="D24" s="712">
        <v>0.33333333333333331</v>
      </c>
      <c r="E24" s="712">
        <v>0.33333333333333331</v>
      </c>
      <c r="F24" s="709"/>
      <c r="G24" s="709"/>
      <c r="H24" s="708">
        <v>1</v>
      </c>
      <c r="I24" s="737"/>
      <c r="J24" s="671"/>
      <c r="K24" s="671"/>
      <c r="M24" s="828">
        <v>3</v>
      </c>
    </row>
    <row r="25" spans="1:13" s="828" customFormat="1" ht="13.5" customHeight="1" x14ac:dyDescent="0.2">
      <c r="A25" s="740"/>
      <c r="B25" s="738">
        <v>45561</v>
      </c>
      <c r="C25" s="739">
        <v>45561</v>
      </c>
      <c r="D25" s="712">
        <v>0.33333333333333331</v>
      </c>
      <c r="E25" s="712">
        <v>0.33333333333333331</v>
      </c>
      <c r="F25" s="709"/>
      <c r="G25" s="709"/>
      <c r="H25" s="708">
        <v>1</v>
      </c>
      <c r="I25" s="737"/>
      <c r="J25" s="671"/>
      <c r="K25" s="671"/>
      <c r="M25" s="828">
        <v>1</v>
      </c>
    </row>
    <row r="26" spans="1:13" s="828" customFormat="1" ht="13.5" customHeight="1" x14ac:dyDescent="0.2">
      <c r="A26" s="707"/>
      <c r="B26" s="738">
        <v>45598</v>
      </c>
      <c r="C26" s="738">
        <v>45598</v>
      </c>
      <c r="D26" s="712">
        <v>0.33333333333333331</v>
      </c>
      <c r="E26" s="712">
        <v>0.33333333333333331</v>
      </c>
      <c r="F26" s="709"/>
      <c r="G26" s="709"/>
      <c r="H26" s="708">
        <v>1</v>
      </c>
      <c r="I26" s="737"/>
      <c r="J26" s="671"/>
      <c r="K26" s="671"/>
      <c r="M26" s="828">
        <v>1</v>
      </c>
    </row>
    <row r="27" spans="1:13" s="828" customFormat="1" ht="13.5" customHeight="1" x14ac:dyDescent="0.2">
      <c r="A27" s="707"/>
      <c r="B27" s="738">
        <v>45735</v>
      </c>
      <c r="C27" s="739">
        <v>45737</v>
      </c>
      <c r="D27" s="712">
        <v>0.33333333333333331</v>
      </c>
      <c r="E27" s="712">
        <v>0.33333333333333331</v>
      </c>
      <c r="F27" s="709"/>
      <c r="G27" s="709"/>
      <c r="H27" s="708">
        <v>3</v>
      </c>
      <c r="I27" s="737"/>
      <c r="J27" s="671"/>
      <c r="K27" s="671"/>
    </row>
    <row r="28" spans="1:13" s="828" customFormat="1" ht="13.5" customHeight="1" x14ac:dyDescent="0.2">
      <c r="A28" s="707"/>
      <c r="B28" s="738">
        <v>45749</v>
      </c>
      <c r="C28" s="739">
        <v>45751</v>
      </c>
      <c r="D28" s="712">
        <v>0.33333333333333331</v>
      </c>
      <c r="E28" s="712">
        <v>0.33333333333333331</v>
      </c>
      <c r="F28" s="709"/>
      <c r="G28" s="709"/>
      <c r="H28" s="709">
        <v>3</v>
      </c>
      <c r="I28" s="737"/>
      <c r="J28" s="671"/>
      <c r="K28" s="671"/>
      <c r="M28" s="828">
        <f>SUM(M22:M27)</f>
        <v>26</v>
      </c>
    </row>
    <row r="29" spans="1:13" s="828" customFormat="1" ht="13.5" customHeight="1" x14ac:dyDescent="0.2">
      <c r="A29" s="707"/>
      <c r="B29" s="738">
        <v>45947</v>
      </c>
      <c r="C29" s="739">
        <v>45948</v>
      </c>
      <c r="D29" s="712">
        <v>0.33333333333333331</v>
      </c>
      <c r="E29" s="712">
        <v>0.33333333333333331</v>
      </c>
      <c r="F29" s="709"/>
      <c r="G29" s="709"/>
      <c r="H29" s="709">
        <v>1</v>
      </c>
      <c r="I29" s="737"/>
      <c r="J29" s="671"/>
      <c r="K29" s="671"/>
    </row>
    <row r="30" spans="1:13" s="828" customFormat="1" ht="13.5" customHeight="1" x14ac:dyDescent="0.2">
      <c r="A30" s="707"/>
      <c r="B30" s="738">
        <v>45957</v>
      </c>
      <c r="C30" s="739">
        <v>45958</v>
      </c>
      <c r="D30" s="712">
        <v>0.33333333333333331</v>
      </c>
      <c r="E30" s="712">
        <v>0.33333333333333331</v>
      </c>
      <c r="F30" s="709"/>
      <c r="G30" s="709"/>
      <c r="H30" s="709">
        <v>1</v>
      </c>
      <c r="I30" s="737"/>
      <c r="J30" s="671"/>
      <c r="K30" s="671"/>
    </row>
    <row r="31" spans="1:13" s="828" customFormat="1" ht="13.5" customHeight="1" x14ac:dyDescent="0.2">
      <c r="A31" s="707"/>
      <c r="B31" s="738">
        <v>45870</v>
      </c>
      <c r="C31" s="739">
        <v>45876</v>
      </c>
      <c r="D31" s="741"/>
      <c r="E31" s="741"/>
      <c r="F31" s="709"/>
      <c r="G31" s="709"/>
      <c r="H31" s="709">
        <v>5</v>
      </c>
      <c r="I31" s="737"/>
      <c r="J31" s="671"/>
      <c r="K31" s="671"/>
    </row>
    <row r="32" spans="1:13" s="828" customFormat="1" ht="13.5" customHeight="1" x14ac:dyDescent="0.2">
      <c r="A32" s="707"/>
      <c r="B32" s="738">
        <v>45908</v>
      </c>
      <c r="C32" s="739">
        <v>45919</v>
      </c>
      <c r="D32" s="741"/>
      <c r="E32" s="741"/>
      <c r="F32" s="709"/>
      <c r="G32" s="709"/>
      <c r="H32" s="709">
        <v>10</v>
      </c>
      <c r="I32" s="737"/>
      <c r="J32" s="671"/>
      <c r="K32" s="671"/>
    </row>
    <row r="33" spans="1:11" s="828" customFormat="1" ht="13.5" customHeight="1" x14ac:dyDescent="0.2">
      <c r="A33" s="707"/>
      <c r="B33" s="738">
        <v>45931</v>
      </c>
      <c r="C33" s="739">
        <v>45948</v>
      </c>
      <c r="D33" s="741"/>
      <c r="E33" s="741"/>
      <c r="F33" s="709"/>
      <c r="G33" s="709"/>
      <c r="H33" s="709">
        <v>15</v>
      </c>
      <c r="I33" s="737"/>
      <c r="J33" s="671"/>
      <c r="K33" s="671"/>
    </row>
    <row r="34" spans="1:11" s="828" customFormat="1" ht="13.5" customHeight="1" x14ac:dyDescent="0.2">
      <c r="A34" s="707"/>
      <c r="B34" s="738">
        <v>45972</v>
      </c>
      <c r="C34" s="739">
        <v>45983</v>
      </c>
      <c r="D34" s="741"/>
      <c r="E34" s="741"/>
      <c r="F34" s="709"/>
      <c r="G34" s="709"/>
      <c r="H34" s="709">
        <v>10</v>
      </c>
      <c r="I34" s="737"/>
      <c r="J34" s="671"/>
      <c r="K34" s="671"/>
    </row>
    <row r="35" spans="1:11" s="828" customFormat="1" ht="13.5" customHeight="1" x14ac:dyDescent="0.2">
      <c r="A35" s="707"/>
      <c r="B35" s="738">
        <v>46006</v>
      </c>
      <c r="C35" s="739">
        <v>46011</v>
      </c>
      <c r="D35" s="741"/>
      <c r="E35" s="741"/>
      <c r="F35" s="709"/>
      <c r="G35" s="709"/>
      <c r="H35" s="709">
        <v>5</v>
      </c>
      <c r="I35" s="737"/>
      <c r="J35" s="671"/>
      <c r="K35" s="671"/>
    </row>
    <row r="36" spans="1:11" s="828" customFormat="1" ht="13.5" customHeight="1" x14ac:dyDescent="0.2">
      <c r="A36" s="707"/>
      <c r="B36" s="738">
        <v>46167</v>
      </c>
      <c r="C36" s="739">
        <v>46176</v>
      </c>
      <c r="D36" s="741"/>
      <c r="E36" s="741"/>
      <c r="F36" s="709"/>
      <c r="G36" s="709"/>
      <c r="H36" s="709">
        <v>3</v>
      </c>
      <c r="I36" s="737"/>
      <c r="J36" s="671"/>
      <c r="K36" s="671"/>
    </row>
    <row r="37" spans="1:11" ht="13.5" customHeight="1" x14ac:dyDescent="0.2">
      <c r="A37" s="125"/>
      <c r="B37" s="172">
        <v>46162</v>
      </c>
      <c r="C37" s="173">
        <v>46163</v>
      </c>
      <c r="D37" s="175"/>
      <c r="E37" s="175"/>
      <c r="F37" s="127"/>
      <c r="G37" s="127"/>
      <c r="H37" s="39">
        <v>1</v>
      </c>
      <c r="I37" s="177"/>
      <c r="J37" s="33"/>
      <c r="K37" s="33"/>
    </row>
    <row r="38" spans="1:11" s="706" customFormat="1" ht="13.5" customHeight="1" x14ac:dyDescent="0.2">
      <c r="A38" s="707"/>
      <c r="B38" s="738">
        <v>46174</v>
      </c>
      <c r="C38" s="739">
        <v>46175</v>
      </c>
      <c r="D38" s="741"/>
      <c r="E38" s="741"/>
      <c r="F38" s="709"/>
      <c r="G38" s="709"/>
      <c r="H38" s="677">
        <v>1</v>
      </c>
      <c r="I38" s="177"/>
      <c r="J38" s="671"/>
      <c r="K38" s="671"/>
    </row>
    <row r="39" spans="1:11" s="706" customFormat="1" ht="13.5" customHeight="1" x14ac:dyDescent="0.2">
      <c r="A39" s="707"/>
      <c r="B39" s="738"/>
      <c r="C39" s="739"/>
      <c r="D39" s="741"/>
      <c r="E39" s="741"/>
      <c r="F39" s="709"/>
      <c r="G39" s="709"/>
      <c r="H39" s="677"/>
      <c r="I39" s="177"/>
      <c r="J39" s="671"/>
      <c r="K39" s="671"/>
    </row>
    <row r="40" spans="1:11" ht="13.5" customHeight="1" x14ac:dyDescent="0.2">
      <c r="A40" s="125"/>
      <c r="B40" s="172"/>
      <c r="C40" s="173"/>
      <c r="D40" s="175"/>
      <c r="E40" s="175"/>
      <c r="F40" s="127"/>
      <c r="G40" s="127"/>
      <c r="H40" s="127"/>
      <c r="I40" s="177"/>
      <c r="J40" s="33"/>
      <c r="K40" s="33"/>
    </row>
    <row r="41" spans="1:11" ht="13.5" customHeight="1" x14ac:dyDescent="0.2">
      <c r="F41" s="132" t="s">
        <v>123</v>
      </c>
      <c r="G41" s="182">
        <f>SUM(G5:G40)</f>
        <v>106</v>
      </c>
      <c r="H41" s="182">
        <f>SUM(H7:H40)</f>
        <v>95</v>
      </c>
    </row>
    <row r="42" spans="1:11" ht="13.5" customHeight="1" x14ac:dyDescent="0.2">
      <c r="F42" s="33"/>
      <c r="G42" s="133"/>
      <c r="H42" s="133"/>
    </row>
    <row r="43" spans="1:11" ht="13.5" customHeight="1" x14ac:dyDescent="0.2">
      <c r="F43" s="1169" t="s">
        <v>8</v>
      </c>
      <c r="G43" s="1170"/>
      <c r="H43" s="134">
        <f>G41-H41</f>
        <v>11</v>
      </c>
    </row>
    <row r="44" spans="1:11" ht="13.5" customHeight="1" x14ac:dyDescent="0.2"/>
  </sheetData>
  <mergeCells count="5">
    <mergeCell ref="F43:G43"/>
    <mergeCell ref="B7:C7"/>
    <mergeCell ref="J1:J3"/>
    <mergeCell ref="C1:H5"/>
    <mergeCell ref="A7:A10"/>
  </mergeCells>
  <hyperlinks>
    <hyperlink ref="I1:I3" location="'ANA SAYFA'!A1" display="ANA SAYFA"/>
    <hyperlink ref="J1:J3" location="'ANA SAYFA'!A1" display="ANA SAYFA"/>
  </hyperlinks>
  <pageMargins left="0.70866141732283472" right="0.19685039370078741" top="0.27559055118110237" bottom="0.27559055118110237" header="0.28000000000000003" footer="0.31496062992125984"/>
  <pageSetup paperSize="9" scale="69" orientation="portrait" r:id="rId1"/>
  <colBreaks count="1" manualBreakCount="1">
    <brk id="8" max="32"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5"/>
  <sheetViews>
    <sheetView workbookViewId="0">
      <selection activeCell="J1" sqref="J1:J3"/>
    </sheetView>
  </sheetViews>
  <sheetFormatPr defaultColWidth="9.140625" defaultRowHeight="12.75" x14ac:dyDescent="0.2"/>
  <cols>
    <col min="1" max="1" width="18.140625" style="82" bestFit="1" customWidth="1"/>
    <col min="2" max="2" width="27" style="82" bestFit="1" customWidth="1"/>
    <col min="3" max="3" width="24.7109375" style="82" bestFit="1" customWidth="1"/>
    <col min="4" max="5" width="9.140625" style="82"/>
    <col min="6" max="6" width="27.5703125" style="82" customWidth="1"/>
    <col min="7" max="7" width="14.28515625" style="82" bestFit="1" customWidth="1"/>
    <col min="8" max="8" width="12.5703125" style="82" bestFit="1" customWidth="1"/>
    <col min="9" max="9" width="3.85546875" style="82" customWidth="1"/>
    <col min="10" max="10" width="12" style="82" customWidth="1"/>
    <col min="11" max="16384" width="9.140625" style="82"/>
  </cols>
  <sheetData>
    <row r="1" spans="1:11" ht="14.25" customHeight="1" x14ac:dyDescent="0.2">
      <c r="A1" s="29" t="s">
        <v>135</v>
      </c>
      <c r="B1" s="188" t="str">
        <f>'ANA SAYFA'!B22</f>
        <v>EMİRHAN GÜRBÜZ</v>
      </c>
      <c r="C1" s="1166" t="s">
        <v>136</v>
      </c>
      <c r="D1" s="1166"/>
      <c r="E1" s="1166"/>
      <c r="F1" s="1166"/>
      <c r="G1" s="1166"/>
      <c r="H1" s="1166"/>
      <c r="I1" s="28"/>
      <c r="J1" s="1157" t="s">
        <v>712</v>
      </c>
      <c r="K1" s="30"/>
    </row>
    <row r="2" spans="1:11" ht="14.25" customHeight="1" x14ac:dyDescent="0.2">
      <c r="A2" s="29" t="s">
        <v>137</v>
      </c>
      <c r="B2" s="154">
        <f>'ANA SAYFA'!D22</f>
        <v>20473884860</v>
      </c>
      <c r="C2" s="1166"/>
      <c r="D2" s="1166"/>
      <c r="E2" s="1166"/>
      <c r="F2" s="1166"/>
      <c r="G2" s="1166"/>
      <c r="H2" s="1166"/>
      <c r="I2" s="28"/>
      <c r="J2" s="1158"/>
      <c r="K2" s="30"/>
    </row>
    <row r="3" spans="1:11" ht="14.25" customHeight="1" thickBot="1" x14ac:dyDescent="0.25">
      <c r="A3" s="29" t="s">
        <v>131</v>
      </c>
      <c r="B3" s="153" t="str">
        <f>'ANA SAYFA'!C22</f>
        <v xml:space="preserve">İŞ MAKİNELERİ YAĞCISI </v>
      </c>
      <c r="C3" s="1166"/>
      <c r="D3" s="1166"/>
      <c r="E3" s="1166"/>
      <c r="F3" s="1166"/>
      <c r="G3" s="1166"/>
      <c r="H3" s="1166"/>
      <c r="I3" s="28"/>
      <c r="J3" s="1159"/>
      <c r="K3" s="30"/>
    </row>
    <row r="4" spans="1:11" ht="14.25" customHeight="1" x14ac:dyDescent="0.2">
      <c r="A4" s="29" t="s">
        <v>120</v>
      </c>
      <c r="B4" s="83">
        <f>'ANA SAYFA'!E22</f>
        <v>45568</v>
      </c>
      <c r="C4" s="1166"/>
      <c r="D4" s="1166"/>
      <c r="E4" s="1166"/>
      <c r="F4" s="1166"/>
      <c r="G4" s="1166"/>
      <c r="H4" s="1166"/>
      <c r="I4" s="28"/>
      <c r="J4" s="30"/>
      <c r="K4" s="30"/>
    </row>
    <row r="5" spans="1:11" ht="14.25" customHeight="1" x14ac:dyDescent="0.2">
      <c r="A5" s="29" t="s">
        <v>130</v>
      </c>
      <c r="B5" s="83">
        <f>'ANA SAYFA'!F22</f>
        <v>38058</v>
      </c>
      <c r="C5" s="1166"/>
      <c r="D5" s="1166"/>
      <c r="E5" s="1166"/>
      <c r="F5" s="1166"/>
      <c r="G5" s="1166"/>
      <c r="H5" s="1166"/>
      <c r="I5" s="28"/>
    </row>
    <row r="6" spans="1:11" ht="31.5" x14ac:dyDescent="0.2">
      <c r="A6" s="69" t="s">
        <v>0</v>
      </c>
      <c r="B6" s="70" t="s">
        <v>1</v>
      </c>
      <c r="C6" s="69" t="s">
        <v>2</v>
      </c>
      <c r="D6" s="71" t="s">
        <v>133</v>
      </c>
      <c r="E6" s="71" t="s">
        <v>4</v>
      </c>
      <c r="F6" s="71" t="s">
        <v>7</v>
      </c>
      <c r="G6" s="71" t="s">
        <v>6</v>
      </c>
      <c r="H6" s="71" t="s">
        <v>16</v>
      </c>
      <c r="I6" s="34"/>
    </row>
    <row r="7" spans="1:11" x14ac:dyDescent="0.2">
      <c r="A7" s="139"/>
      <c r="B7" s="155">
        <v>45629</v>
      </c>
      <c r="C7" s="156">
        <v>45632</v>
      </c>
      <c r="D7" s="168">
        <v>0.33333333333333331</v>
      </c>
      <c r="E7" s="735">
        <v>0.33333333333333331</v>
      </c>
      <c r="F7" s="244" t="s">
        <v>1045</v>
      </c>
      <c r="G7" s="191"/>
      <c r="H7" s="191">
        <v>4</v>
      </c>
      <c r="I7" s="49"/>
      <c r="J7" s="30"/>
      <c r="K7" s="30"/>
    </row>
    <row r="8" spans="1:11" x14ac:dyDescent="0.2">
      <c r="A8" s="139"/>
      <c r="B8" s="1206" t="s">
        <v>661</v>
      </c>
      <c r="C8" s="1207"/>
      <c r="D8" s="168"/>
      <c r="E8" s="168"/>
      <c r="F8" s="244"/>
      <c r="G8" s="191"/>
      <c r="H8" s="632">
        <v>-2</v>
      </c>
      <c r="I8" s="49"/>
      <c r="J8" s="30"/>
      <c r="K8" s="30"/>
    </row>
    <row r="9" spans="1:11" x14ac:dyDescent="0.2">
      <c r="A9" s="141"/>
      <c r="B9" s="155">
        <v>45681</v>
      </c>
      <c r="C9" s="158">
        <v>45681</v>
      </c>
      <c r="D9" s="735">
        <v>0.33333333333333331</v>
      </c>
      <c r="E9" s="735">
        <v>0.33333333333333331</v>
      </c>
      <c r="F9" s="244"/>
      <c r="G9" s="191"/>
      <c r="H9" s="191">
        <v>1</v>
      </c>
      <c r="I9" s="49"/>
      <c r="J9" s="30"/>
      <c r="K9" s="30"/>
    </row>
    <row r="10" spans="1:11" x14ac:dyDescent="0.2">
      <c r="A10" s="141"/>
      <c r="B10" s="1195" t="s">
        <v>678</v>
      </c>
      <c r="C10" s="1196"/>
      <c r="D10" s="159"/>
      <c r="E10" s="159"/>
      <c r="F10" s="244"/>
      <c r="G10" s="191"/>
      <c r="H10" s="632">
        <v>-2</v>
      </c>
      <c r="I10" s="49"/>
      <c r="J10" s="30"/>
      <c r="K10" s="30"/>
    </row>
    <row r="11" spans="1:11" x14ac:dyDescent="0.2">
      <c r="A11" s="146"/>
      <c r="B11" s="245">
        <v>45719</v>
      </c>
      <c r="C11" s="246">
        <v>45719</v>
      </c>
      <c r="D11" s="735">
        <v>0.33333333333333331</v>
      </c>
      <c r="E11" s="735">
        <v>0.33333333333333331</v>
      </c>
      <c r="F11" s="244"/>
      <c r="G11" s="145"/>
      <c r="H11" s="191">
        <v>1</v>
      </c>
      <c r="I11" s="49"/>
      <c r="J11" s="30"/>
      <c r="K11" s="30"/>
    </row>
    <row r="12" spans="1:11" x14ac:dyDescent="0.2">
      <c r="A12" s="146"/>
      <c r="B12" s="245">
        <v>45727</v>
      </c>
      <c r="C12" s="246">
        <v>45727</v>
      </c>
      <c r="D12" s="735">
        <v>0.33333333333333331</v>
      </c>
      <c r="E12" s="735">
        <v>0.33333333333333331</v>
      </c>
      <c r="F12" s="244"/>
      <c r="G12" s="145"/>
      <c r="H12" s="191">
        <v>1</v>
      </c>
      <c r="I12" s="49"/>
      <c r="J12" s="30"/>
      <c r="K12" s="30"/>
    </row>
    <row r="13" spans="1:11" x14ac:dyDescent="0.2">
      <c r="A13" s="236"/>
      <c r="B13" s="245">
        <v>45743</v>
      </c>
      <c r="C13" s="246">
        <v>45740</v>
      </c>
      <c r="D13" s="735">
        <v>0.33333333333333331</v>
      </c>
      <c r="E13" s="735">
        <v>0.33333333333333331</v>
      </c>
      <c r="F13" s="244"/>
      <c r="G13" s="145"/>
      <c r="H13" s="145">
        <v>1</v>
      </c>
      <c r="I13" s="49"/>
      <c r="J13" s="30"/>
      <c r="K13" s="30"/>
    </row>
    <row r="14" spans="1:11" s="653" customFormat="1" x14ac:dyDescent="0.2">
      <c r="A14" s="725"/>
      <c r="B14" s="1195" t="s">
        <v>706</v>
      </c>
      <c r="C14" s="1196"/>
      <c r="D14" s="778"/>
      <c r="E14" s="778"/>
      <c r="F14" s="788"/>
      <c r="G14" s="723"/>
      <c r="H14" s="587">
        <v>-2</v>
      </c>
      <c r="I14" s="584"/>
      <c r="J14" s="699"/>
    </row>
    <row r="15" spans="1:11" s="699" customFormat="1" x14ac:dyDescent="0.2">
      <c r="A15" s="753"/>
      <c r="B15" s="885" t="s">
        <v>782</v>
      </c>
      <c r="C15" s="886"/>
      <c r="D15" s="735"/>
      <c r="E15" s="735"/>
      <c r="F15" s="244"/>
      <c r="G15" s="723"/>
      <c r="H15" s="887">
        <v>-2</v>
      </c>
      <c r="I15" s="684"/>
      <c r="J15" s="670"/>
      <c r="K15" s="670"/>
    </row>
    <row r="16" spans="1:11" s="699" customFormat="1" x14ac:dyDescent="0.2">
      <c r="A16" s="753"/>
      <c r="B16" s="760">
        <v>46163</v>
      </c>
      <c r="C16" s="761">
        <v>46174</v>
      </c>
      <c r="D16" s="735"/>
      <c r="E16" s="735"/>
      <c r="F16" s="244"/>
      <c r="G16" s="723"/>
      <c r="H16" s="723">
        <v>4</v>
      </c>
      <c r="I16" s="684"/>
      <c r="J16" s="670"/>
      <c r="K16" s="670"/>
    </row>
    <row r="17" spans="1:11" s="699" customFormat="1" x14ac:dyDescent="0.2">
      <c r="A17" s="753"/>
      <c r="B17" s="760"/>
      <c r="C17" s="761"/>
      <c r="D17" s="735"/>
      <c r="E17" s="735"/>
      <c r="F17" s="244"/>
      <c r="G17" s="723"/>
      <c r="H17" s="723"/>
      <c r="I17" s="684"/>
      <c r="J17" s="670"/>
      <c r="K17" s="670"/>
    </row>
    <row r="18" spans="1:11" s="699" customFormat="1" x14ac:dyDescent="0.2">
      <c r="A18" s="753"/>
      <c r="B18" s="760"/>
      <c r="C18" s="761"/>
      <c r="D18" s="735"/>
      <c r="E18" s="735"/>
      <c r="F18" s="244"/>
      <c r="G18" s="723"/>
      <c r="H18" s="723"/>
      <c r="I18" s="684"/>
      <c r="J18" s="670"/>
      <c r="K18" s="670"/>
    </row>
    <row r="19" spans="1:11" s="699" customFormat="1" x14ac:dyDescent="0.2">
      <c r="A19" s="753"/>
      <c r="B19" s="760"/>
      <c r="C19" s="761"/>
      <c r="D19" s="735"/>
      <c r="E19" s="735"/>
      <c r="F19" s="244"/>
      <c r="G19" s="723"/>
      <c r="H19" s="723"/>
      <c r="I19" s="684"/>
      <c r="J19" s="670"/>
      <c r="K19" s="670"/>
    </row>
    <row r="20" spans="1:11" s="699" customFormat="1" x14ac:dyDescent="0.2">
      <c r="A20" s="753"/>
      <c r="B20" s="760"/>
      <c r="C20" s="761"/>
      <c r="D20" s="735"/>
      <c r="E20" s="735"/>
      <c r="F20" s="244"/>
      <c r="G20" s="723"/>
      <c r="H20" s="723"/>
      <c r="I20" s="684"/>
      <c r="J20" s="670"/>
      <c r="K20" s="670"/>
    </row>
    <row r="21" spans="1:11" s="699" customFormat="1" x14ac:dyDescent="0.2">
      <c r="A21" s="753"/>
      <c r="B21" s="760"/>
      <c r="C21" s="761"/>
      <c r="D21" s="735"/>
      <c r="E21" s="735"/>
      <c r="F21" s="244"/>
      <c r="G21" s="723"/>
      <c r="H21" s="723"/>
      <c r="I21" s="684"/>
      <c r="J21" s="670"/>
      <c r="K21" s="670"/>
    </row>
    <row r="22" spans="1:11" s="699" customFormat="1" x14ac:dyDescent="0.2">
      <c r="A22" s="753"/>
      <c r="B22" s="760"/>
      <c r="C22" s="761"/>
      <c r="D22" s="735"/>
      <c r="E22" s="735"/>
      <c r="F22" s="244"/>
      <c r="G22" s="723"/>
      <c r="H22" s="723"/>
      <c r="I22" s="684"/>
      <c r="J22" s="670"/>
      <c r="K22" s="670"/>
    </row>
    <row r="23" spans="1:11" s="699" customFormat="1" x14ac:dyDescent="0.2">
      <c r="A23" s="753"/>
      <c r="B23" s="760"/>
      <c r="C23" s="761"/>
      <c r="D23" s="735"/>
      <c r="E23" s="735"/>
      <c r="F23" s="244"/>
      <c r="G23" s="723"/>
      <c r="H23" s="723"/>
      <c r="I23" s="684"/>
      <c r="J23" s="670"/>
      <c r="K23" s="670"/>
    </row>
    <row r="24" spans="1:11" s="699" customFormat="1" x14ac:dyDescent="0.2">
      <c r="A24" s="753"/>
      <c r="B24" s="760"/>
      <c r="C24" s="761"/>
      <c r="D24" s="735"/>
      <c r="E24" s="735"/>
      <c r="F24" s="244"/>
      <c r="G24" s="723"/>
      <c r="H24" s="723"/>
      <c r="I24" s="684"/>
      <c r="J24" s="670"/>
      <c r="K24" s="670"/>
    </row>
    <row r="25" spans="1:11" x14ac:dyDescent="0.2">
      <c r="A25" s="236"/>
      <c r="B25" s="245"/>
      <c r="C25" s="246"/>
      <c r="D25" s="168"/>
      <c r="E25" s="168"/>
      <c r="F25" s="244"/>
      <c r="G25" s="145"/>
      <c r="H25" s="145"/>
      <c r="I25" s="49"/>
      <c r="J25" s="30"/>
      <c r="K25" s="30"/>
    </row>
    <row r="26" spans="1:11" x14ac:dyDescent="0.2">
      <c r="A26" s="147"/>
      <c r="B26" s="142"/>
      <c r="C26" s="143"/>
      <c r="D26" s="168"/>
      <c r="E26" s="168"/>
      <c r="F26" s="244"/>
      <c r="G26" s="145"/>
      <c r="H26" s="145"/>
      <c r="I26" s="49"/>
      <c r="J26" s="30"/>
      <c r="K26" s="30"/>
    </row>
    <row r="27" spans="1:11" x14ac:dyDescent="0.2">
      <c r="A27" s="147"/>
      <c r="B27" s="142"/>
      <c r="C27" s="143"/>
      <c r="D27" s="144"/>
      <c r="E27" s="144"/>
      <c r="F27" s="253"/>
      <c r="G27" s="145"/>
      <c r="H27" s="145"/>
      <c r="I27" s="49"/>
      <c r="J27" s="30"/>
      <c r="K27" s="30"/>
    </row>
    <row r="28" spans="1:11" x14ac:dyDescent="0.2">
      <c r="A28" s="147"/>
      <c r="B28" s="142"/>
      <c r="C28" s="143"/>
      <c r="D28" s="144"/>
      <c r="E28" s="144"/>
      <c r="F28" s="253"/>
      <c r="G28" s="145"/>
      <c r="H28" s="145"/>
      <c r="I28" s="49"/>
      <c r="J28" s="30"/>
      <c r="K28" s="30"/>
    </row>
    <row r="29" spans="1:11" x14ac:dyDescent="0.2">
      <c r="A29" s="147"/>
      <c r="B29" s="142"/>
      <c r="C29" s="143"/>
      <c r="D29" s="144"/>
      <c r="E29" s="144"/>
      <c r="F29" s="81"/>
      <c r="G29" s="145"/>
      <c r="H29" s="145"/>
      <c r="I29" s="49"/>
      <c r="J29" s="30"/>
      <c r="K29" s="30"/>
    </row>
    <row r="30" spans="1:11" x14ac:dyDescent="0.2">
      <c r="A30" s="147"/>
      <c r="B30" s="142"/>
      <c r="C30" s="143"/>
      <c r="D30" s="144"/>
      <c r="E30" s="144"/>
      <c r="F30" s="81"/>
      <c r="G30" s="293"/>
      <c r="H30" s="145"/>
      <c r="I30" s="46"/>
      <c r="J30" s="30"/>
      <c r="K30" s="30"/>
    </row>
    <row r="31" spans="1:11" x14ac:dyDescent="0.2">
      <c r="A31" s="147"/>
      <c r="B31" s="142"/>
      <c r="C31" s="143"/>
      <c r="D31" s="144"/>
      <c r="E31" s="144"/>
      <c r="F31" s="81"/>
      <c r="G31" s="293"/>
      <c r="H31" s="145"/>
      <c r="I31" s="46"/>
      <c r="J31" s="30"/>
      <c r="K31" s="30"/>
    </row>
    <row r="32" spans="1:11" x14ac:dyDescent="0.2">
      <c r="A32" s="147"/>
      <c r="B32" s="142"/>
      <c r="C32" s="143"/>
      <c r="D32" s="144"/>
      <c r="E32" s="144"/>
      <c r="F32" s="78"/>
      <c r="G32" s="293"/>
      <c r="H32" s="145"/>
      <c r="I32" s="40"/>
      <c r="J32" s="30"/>
      <c r="K32" s="30"/>
    </row>
    <row r="33" spans="1:11" x14ac:dyDescent="0.2">
      <c r="A33" s="72"/>
      <c r="B33" s="73"/>
      <c r="C33" s="74"/>
      <c r="D33" s="75"/>
      <c r="E33" s="75"/>
      <c r="F33" s="294" t="s">
        <v>123</v>
      </c>
      <c r="G33" s="77">
        <f>SUM(G7:G32)</f>
        <v>0</v>
      </c>
      <c r="H33" s="77">
        <f>SUM(H7:H32)</f>
        <v>4</v>
      </c>
      <c r="I33" s="61"/>
      <c r="J33" s="30"/>
      <c r="K33" s="30"/>
    </row>
    <row r="34" spans="1:11" x14ac:dyDescent="0.2">
      <c r="A34" s="30"/>
      <c r="B34" s="30"/>
      <c r="C34" s="30"/>
      <c r="D34" s="62"/>
      <c r="E34" s="62"/>
      <c r="F34" s="62"/>
      <c r="G34" s="63"/>
      <c r="H34" s="63"/>
      <c r="I34" s="63"/>
      <c r="J34" s="30"/>
      <c r="K34" s="30"/>
    </row>
    <row r="35" spans="1:11" ht="14.25" x14ac:dyDescent="0.2">
      <c r="A35" s="30"/>
      <c r="B35" s="30"/>
      <c r="C35" s="30"/>
      <c r="D35" s="62"/>
      <c r="E35" s="62"/>
      <c r="F35" s="1153" t="s">
        <v>8</v>
      </c>
      <c r="G35" s="1154"/>
      <c r="H35" s="84">
        <f>G33-H33</f>
        <v>-4</v>
      </c>
      <c r="I35" s="63"/>
      <c r="J35" s="30"/>
      <c r="K35" s="30"/>
    </row>
  </sheetData>
  <mergeCells count="6">
    <mergeCell ref="F35:G35"/>
    <mergeCell ref="C1:H5"/>
    <mergeCell ref="J1:J3"/>
    <mergeCell ref="B8:C8"/>
    <mergeCell ref="B10:C10"/>
    <mergeCell ref="B14:C14"/>
  </mergeCells>
  <hyperlinks>
    <hyperlink ref="J1" location="'ANA SAYFA'!A1" display="ANA SAYFA"/>
  </hyperlinks>
  <pageMargins left="0.25" right="0.25" top="0.31" bottom="0.75" header="0.3" footer="0.3"/>
  <pageSetup paperSize="9" scale="76"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zoomScaleNormal="100" workbookViewId="0">
      <selection activeCell="J1" sqref="J1:J3"/>
    </sheetView>
  </sheetViews>
  <sheetFormatPr defaultColWidth="9.140625" defaultRowHeight="11.25" x14ac:dyDescent="0.2"/>
  <cols>
    <col min="1" max="1" width="18.140625" style="120" bestFit="1" customWidth="1"/>
    <col min="2" max="2" width="26.7109375" style="120" bestFit="1" customWidth="1"/>
    <col min="3" max="3" width="26.5703125" style="120" bestFit="1" customWidth="1"/>
    <col min="4" max="4" width="9.42578125" style="120" customWidth="1"/>
    <col min="5" max="5" width="8.85546875" style="120" bestFit="1" customWidth="1"/>
    <col min="6" max="6" width="20.140625" style="120" bestFit="1" customWidth="1"/>
    <col min="7" max="7" width="14.28515625" style="120" bestFit="1" customWidth="1"/>
    <col min="8" max="8" width="12.5703125" style="120" bestFit="1" customWidth="1"/>
    <col min="9" max="9" width="3.7109375" style="120" customWidth="1"/>
    <col min="10" max="10" width="10.5703125" style="120" customWidth="1"/>
    <col min="11" max="16384" width="9.140625" style="120"/>
  </cols>
  <sheetData>
    <row r="1" spans="1:10" ht="14.25" customHeight="1" x14ac:dyDescent="0.2">
      <c r="A1" s="135" t="s">
        <v>135</v>
      </c>
      <c r="B1" s="193" t="str">
        <f>'ANA SAYFA'!B23</f>
        <v>DOĞAN YAĞMUR</v>
      </c>
      <c r="C1" s="1166" t="s">
        <v>136</v>
      </c>
      <c r="D1" s="1166"/>
      <c r="E1" s="1166"/>
      <c r="F1" s="1166"/>
      <c r="G1" s="1166"/>
      <c r="H1" s="1166"/>
      <c r="I1" s="119"/>
      <c r="J1" s="1183" t="s">
        <v>712</v>
      </c>
    </row>
    <row r="2" spans="1:10" ht="14.25" customHeight="1" x14ac:dyDescent="0.2">
      <c r="A2" s="135" t="s">
        <v>137</v>
      </c>
      <c r="B2" s="186">
        <f>'ANA SAYFA'!D23</f>
        <v>59386205738</v>
      </c>
      <c r="C2" s="1166"/>
      <c r="D2" s="1166"/>
      <c r="E2" s="1166"/>
      <c r="F2" s="1166"/>
      <c r="G2" s="1166"/>
      <c r="H2" s="1166"/>
      <c r="I2" s="119"/>
      <c r="J2" s="1184"/>
    </row>
    <row r="3" spans="1:10" ht="14.25" customHeight="1" thickBot="1" x14ac:dyDescent="0.25">
      <c r="A3" s="135" t="s">
        <v>131</v>
      </c>
      <c r="B3" s="187" t="str">
        <f>'ANA SAYFA'!C23</f>
        <v>KAMYON ŞOFÖRÜ</v>
      </c>
      <c r="C3" s="1166"/>
      <c r="D3" s="1166"/>
      <c r="E3" s="1166"/>
      <c r="F3" s="1166"/>
      <c r="G3" s="1166"/>
      <c r="H3" s="1166"/>
      <c r="I3" s="119"/>
      <c r="J3" s="1185"/>
    </row>
    <row r="4" spans="1:10" ht="14.25" customHeight="1" x14ac:dyDescent="0.2">
      <c r="A4" s="135" t="s">
        <v>120</v>
      </c>
      <c r="B4" s="136">
        <f>'ANA SAYFA'!E23</f>
        <v>45418</v>
      </c>
      <c r="C4" s="1166"/>
      <c r="D4" s="1166"/>
      <c r="E4" s="1166"/>
      <c r="F4" s="1166"/>
      <c r="G4" s="1166"/>
      <c r="H4" s="1166"/>
      <c r="I4" s="119"/>
    </row>
    <row r="5" spans="1:10" ht="14.25" customHeight="1" x14ac:dyDescent="0.2">
      <c r="A5" s="135" t="s">
        <v>130</v>
      </c>
      <c r="B5" s="136">
        <f>'ANA SAYFA'!F23</f>
        <v>31973</v>
      </c>
      <c r="C5" s="1166"/>
      <c r="D5" s="1166"/>
      <c r="E5" s="1166"/>
      <c r="F5" s="1166"/>
      <c r="G5" s="1166"/>
      <c r="H5" s="1166"/>
      <c r="I5" s="119"/>
    </row>
    <row r="6" spans="1:10" ht="31.5" x14ac:dyDescent="0.2">
      <c r="A6" s="69" t="s">
        <v>0</v>
      </c>
      <c r="B6" s="70" t="s">
        <v>1</v>
      </c>
      <c r="C6" s="69" t="s">
        <v>2</v>
      </c>
      <c r="D6" s="71" t="s">
        <v>133</v>
      </c>
      <c r="E6" s="71" t="s">
        <v>4</v>
      </c>
      <c r="F6" s="71" t="s">
        <v>7</v>
      </c>
      <c r="G6" s="71" t="s">
        <v>6</v>
      </c>
      <c r="H6" s="71" t="s">
        <v>16</v>
      </c>
      <c r="I6" s="34"/>
    </row>
    <row r="7" spans="1:10" ht="14.25" customHeight="1" x14ac:dyDescent="0.2">
      <c r="A7" s="121"/>
      <c r="B7" s="36">
        <v>45467</v>
      </c>
      <c r="C7" s="37">
        <v>45468</v>
      </c>
      <c r="D7" s="38">
        <v>0.33333333333333331</v>
      </c>
      <c r="E7" s="676">
        <v>0.33333333333333331</v>
      </c>
      <c r="F7" s="169" t="s">
        <v>716</v>
      </c>
      <c r="G7" s="123">
        <v>14</v>
      </c>
      <c r="H7" s="115">
        <v>1</v>
      </c>
      <c r="I7" s="171"/>
    </row>
    <row r="8" spans="1:10" ht="14.25" customHeight="1" x14ac:dyDescent="0.2">
      <c r="A8" s="121"/>
      <c r="B8" s="36">
        <v>45483</v>
      </c>
      <c r="C8" s="37">
        <v>45483</v>
      </c>
      <c r="D8" s="676">
        <v>0.33333333333333331</v>
      </c>
      <c r="E8" s="676">
        <v>0.33333333333333331</v>
      </c>
      <c r="F8" s="169" t="s">
        <v>1041</v>
      </c>
      <c r="G8" s="123">
        <v>14</v>
      </c>
      <c r="H8" s="115">
        <v>1</v>
      </c>
      <c r="I8" s="171"/>
    </row>
    <row r="9" spans="1:10" ht="14.25" customHeight="1" x14ac:dyDescent="0.2">
      <c r="A9" s="121"/>
      <c r="B9" s="36">
        <v>45502</v>
      </c>
      <c r="C9" s="37">
        <v>45502</v>
      </c>
      <c r="D9" s="676">
        <v>0.33333333333333331</v>
      </c>
      <c r="E9" s="676">
        <v>0.33333333333333331</v>
      </c>
      <c r="F9" s="169"/>
      <c r="G9" s="123"/>
      <c r="H9" s="115">
        <v>1</v>
      </c>
      <c r="I9" s="171"/>
    </row>
    <row r="10" spans="1:10" ht="14.25" customHeight="1" x14ac:dyDescent="0.2">
      <c r="A10" s="128"/>
      <c r="B10" s="36">
        <v>45511</v>
      </c>
      <c r="C10" s="508">
        <v>45511</v>
      </c>
      <c r="D10" s="676">
        <v>0.33333333333333331</v>
      </c>
      <c r="E10" s="676">
        <v>0.33333333333333331</v>
      </c>
      <c r="F10" s="169"/>
      <c r="G10" s="123"/>
      <c r="H10" s="123">
        <v>1</v>
      </c>
      <c r="I10" s="171"/>
    </row>
    <row r="11" spans="1:10" ht="14.25" customHeight="1" x14ac:dyDescent="0.2">
      <c r="A11" s="128"/>
      <c r="B11" s="1208" t="s">
        <v>632</v>
      </c>
      <c r="C11" s="1209"/>
      <c r="D11" s="130"/>
      <c r="E11" s="130"/>
      <c r="F11" s="169"/>
      <c r="G11" s="127"/>
      <c r="H11" s="627">
        <v>-3</v>
      </c>
      <c r="I11" s="171"/>
    </row>
    <row r="12" spans="1:10" ht="14.25" customHeight="1" x14ac:dyDescent="0.2">
      <c r="A12" s="125"/>
      <c r="B12" s="36">
        <v>45590</v>
      </c>
      <c r="C12" s="173">
        <v>45590</v>
      </c>
      <c r="D12" s="676">
        <v>0.33333333333333331</v>
      </c>
      <c r="E12" s="676">
        <v>0.33333333333333331</v>
      </c>
      <c r="F12" s="127"/>
      <c r="G12" s="127"/>
      <c r="H12" s="127">
        <v>1</v>
      </c>
      <c r="I12" s="171"/>
    </row>
    <row r="13" spans="1:10" ht="14.25" customHeight="1" x14ac:dyDescent="0.2">
      <c r="A13" s="125"/>
      <c r="B13" s="1210" t="s">
        <v>666</v>
      </c>
      <c r="C13" s="1211"/>
      <c r="D13" s="38"/>
      <c r="E13" s="38"/>
      <c r="F13" s="127"/>
      <c r="G13" s="127"/>
      <c r="H13" s="601">
        <v>-2</v>
      </c>
      <c r="I13" s="171"/>
    </row>
    <row r="14" spans="1:10" ht="14.25" customHeight="1" x14ac:dyDescent="0.2">
      <c r="A14" s="174"/>
      <c r="B14" s="36">
        <v>45789</v>
      </c>
      <c r="C14" s="37">
        <v>45789</v>
      </c>
      <c r="D14" s="38">
        <v>0.33333333333333331</v>
      </c>
      <c r="E14" s="38">
        <v>0.5</v>
      </c>
      <c r="F14" s="127"/>
      <c r="G14" s="127"/>
      <c r="H14" s="127">
        <v>0.5</v>
      </c>
      <c r="I14" s="171"/>
    </row>
    <row r="15" spans="1:10" ht="14.25" customHeight="1" x14ac:dyDescent="0.2">
      <c r="A15" s="174"/>
      <c r="B15" s="560">
        <v>45821</v>
      </c>
      <c r="C15" s="37">
        <v>45821</v>
      </c>
      <c r="D15" s="38">
        <v>0.33333333333333331</v>
      </c>
      <c r="E15" s="38">
        <v>0.33333333333333331</v>
      </c>
      <c r="F15" s="127"/>
      <c r="G15" s="127"/>
      <c r="H15" s="127">
        <v>1</v>
      </c>
      <c r="I15" s="171"/>
    </row>
    <row r="16" spans="1:10" ht="14.25" customHeight="1" x14ac:dyDescent="0.2">
      <c r="A16" s="174"/>
      <c r="B16" s="560">
        <v>45793</v>
      </c>
      <c r="C16" s="37">
        <v>45793</v>
      </c>
      <c r="D16" s="38">
        <v>0.33333333333333331</v>
      </c>
      <c r="E16" s="38">
        <v>0.33333333333333331</v>
      </c>
      <c r="F16" s="127"/>
      <c r="G16" s="127"/>
      <c r="H16" s="127">
        <v>1</v>
      </c>
      <c r="I16" s="171"/>
    </row>
    <row r="17" spans="1:10" ht="14.25" customHeight="1" x14ac:dyDescent="0.2">
      <c r="A17" s="174"/>
      <c r="B17" s="560">
        <v>45825</v>
      </c>
      <c r="C17" s="37">
        <v>45825</v>
      </c>
      <c r="D17" s="38">
        <v>0.33333333333333331</v>
      </c>
      <c r="E17" s="38">
        <v>0.33333333333333331</v>
      </c>
      <c r="F17" s="127"/>
      <c r="G17" s="127"/>
      <c r="H17" s="127">
        <v>0.5</v>
      </c>
      <c r="I17" s="171"/>
    </row>
    <row r="18" spans="1:10" ht="14.25" customHeight="1" x14ac:dyDescent="0.2">
      <c r="A18" s="174"/>
      <c r="B18" s="560">
        <v>45871</v>
      </c>
      <c r="C18" s="37">
        <v>45871</v>
      </c>
      <c r="D18" s="676">
        <v>0.33333333333333331</v>
      </c>
      <c r="E18" s="676">
        <v>0.33333333333333331</v>
      </c>
      <c r="F18" s="127"/>
      <c r="G18" s="127"/>
      <c r="H18" s="127">
        <v>1</v>
      </c>
      <c r="I18" s="171"/>
    </row>
    <row r="19" spans="1:10" ht="14.25" customHeight="1" x14ac:dyDescent="0.2">
      <c r="A19" s="174"/>
      <c r="B19" s="560">
        <v>45887</v>
      </c>
      <c r="C19" s="37">
        <v>45888</v>
      </c>
      <c r="D19" s="38">
        <v>0.33333333333333331</v>
      </c>
      <c r="E19" s="38">
        <v>0.33333333333333331</v>
      </c>
      <c r="F19" s="127"/>
      <c r="G19" s="127"/>
      <c r="H19" s="127">
        <v>1</v>
      </c>
      <c r="I19" s="171"/>
    </row>
    <row r="20" spans="1:10" ht="14.25" customHeight="1" x14ac:dyDescent="0.2">
      <c r="A20" s="174"/>
      <c r="B20" s="560">
        <v>45890</v>
      </c>
      <c r="C20" s="37">
        <v>45891</v>
      </c>
      <c r="D20" s="38">
        <v>0.33333333333333331</v>
      </c>
      <c r="E20" s="38">
        <v>0.33333333333333331</v>
      </c>
      <c r="F20" s="127"/>
      <c r="G20" s="127"/>
      <c r="H20" s="127">
        <v>1</v>
      </c>
      <c r="I20" s="171"/>
    </row>
    <row r="21" spans="1:10" ht="14.25" customHeight="1" x14ac:dyDescent="0.2">
      <c r="A21" s="174"/>
      <c r="B21" s="560">
        <v>45926</v>
      </c>
      <c r="C21" s="37">
        <v>45927</v>
      </c>
      <c r="D21" s="38">
        <v>0.33333333333333331</v>
      </c>
      <c r="E21" s="38">
        <v>0.33333333333333331</v>
      </c>
      <c r="F21" s="127"/>
      <c r="G21" s="127"/>
      <c r="H21" s="127">
        <v>1</v>
      </c>
      <c r="I21" s="171"/>
    </row>
    <row r="22" spans="1:10" ht="14.25" customHeight="1" x14ac:dyDescent="0.2">
      <c r="A22" s="174"/>
      <c r="B22" s="560">
        <v>45936</v>
      </c>
      <c r="C22" s="37">
        <v>45937</v>
      </c>
      <c r="D22" s="676">
        <v>0.33333333333333331</v>
      </c>
      <c r="E22" s="676">
        <v>0.33333333333333331</v>
      </c>
      <c r="F22" s="127"/>
      <c r="G22" s="127"/>
      <c r="H22" s="127">
        <v>1</v>
      </c>
      <c r="I22" s="171"/>
    </row>
    <row r="23" spans="1:10" ht="14.25" customHeight="1" x14ac:dyDescent="0.2">
      <c r="A23" s="174"/>
      <c r="B23" s="36">
        <v>46009</v>
      </c>
      <c r="C23" s="37">
        <v>46010</v>
      </c>
      <c r="D23" s="676">
        <v>0.33333333333333331</v>
      </c>
      <c r="E23" s="676">
        <v>0.33333333333333331</v>
      </c>
      <c r="F23" s="127"/>
      <c r="G23" s="127"/>
      <c r="H23" s="127">
        <v>1</v>
      </c>
      <c r="I23" s="171"/>
    </row>
    <row r="24" spans="1:10" ht="14.25" customHeight="1" x14ac:dyDescent="0.2">
      <c r="A24" s="125"/>
      <c r="B24" s="36">
        <v>46108</v>
      </c>
      <c r="C24" s="37">
        <v>46109</v>
      </c>
      <c r="D24" s="38"/>
      <c r="E24" s="38"/>
      <c r="F24" s="127"/>
      <c r="G24" s="127"/>
      <c r="H24" s="127">
        <v>1</v>
      </c>
      <c r="I24" s="171"/>
    </row>
    <row r="25" spans="1:10" ht="14.25" customHeight="1" x14ac:dyDescent="0.2">
      <c r="A25" s="125"/>
      <c r="B25" s="36">
        <v>46139</v>
      </c>
      <c r="C25" s="37">
        <v>46140</v>
      </c>
      <c r="D25" s="38"/>
      <c r="E25" s="38"/>
      <c r="F25" s="127"/>
      <c r="G25" s="127"/>
      <c r="H25" s="127">
        <v>1</v>
      </c>
      <c r="I25" s="171"/>
      <c r="J25" s="120" t="s">
        <v>830</v>
      </c>
    </row>
    <row r="26" spans="1:10" ht="14.25" customHeight="1" x14ac:dyDescent="0.2">
      <c r="A26" s="125"/>
      <c r="B26" s="36">
        <v>46197</v>
      </c>
      <c r="C26" s="37">
        <v>46198</v>
      </c>
      <c r="D26" s="38"/>
      <c r="E26" s="38"/>
      <c r="F26" s="127"/>
      <c r="G26" s="127"/>
      <c r="H26" s="127">
        <v>1</v>
      </c>
      <c r="I26" s="171"/>
    </row>
    <row r="27" spans="1:10" ht="14.25" customHeight="1" x14ac:dyDescent="0.2">
      <c r="A27" s="125"/>
      <c r="B27" s="36"/>
      <c r="C27" s="37"/>
      <c r="D27" s="38"/>
      <c r="E27" s="38"/>
      <c r="F27" s="176"/>
      <c r="G27" s="127"/>
      <c r="H27" s="127"/>
      <c r="I27" s="171"/>
    </row>
    <row r="28" spans="1:10" ht="14.25" customHeight="1" x14ac:dyDescent="0.2">
      <c r="A28" s="125"/>
      <c r="B28" s="36"/>
      <c r="C28" s="37"/>
      <c r="D28" s="38"/>
      <c r="E28" s="38"/>
      <c r="F28" s="176"/>
      <c r="G28" s="123"/>
      <c r="H28" s="127"/>
      <c r="I28" s="177"/>
    </row>
    <row r="29" spans="1:10" ht="14.25" customHeight="1" x14ac:dyDescent="0.2">
      <c r="A29" s="125"/>
      <c r="B29" s="36"/>
      <c r="C29" s="37"/>
      <c r="D29" s="38"/>
      <c r="E29" s="38"/>
      <c r="F29" s="176"/>
      <c r="G29" s="123"/>
      <c r="H29" s="127"/>
      <c r="I29" s="177"/>
    </row>
    <row r="30" spans="1:10" ht="14.25" customHeight="1" x14ac:dyDescent="0.2">
      <c r="A30" s="125"/>
      <c r="B30" s="36"/>
      <c r="C30" s="37"/>
      <c r="D30" s="38"/>
      <c r="E30" s="38"/>
      <c r="F30" s="78"/>
      <c r="G30" s="123"/>
      <c r="H30" s="127"/>
      <c r="I30" s="40"/>
    </row>
    <row r="31" spans="1:10" ht="14.25" customHeight="1" x14ac:dyDescent="0.2">
      <c r="A31" s="125"/>
      <c r="B31" s="36"/>
      <c r="C31" s="37"/>
      <c r="D31" s="38"/>
      <c r="E31" s="38"/>
      <c r="F31" s="78"/>
      <c r="G31" s="123"/>
      <c r="H31" s="127"/>
      <c r="I31" s="40"/>
    </row>
    <row r="32" spans="1:10" ht="14.25" customHeight="1" x14ac:dyDescent="0.2">
      <c r="A32" s="125"/>
      <c r="B32" s="36"/>
      <c r="C32" s="37"/>
      <c r="D32" s="38"/>
      <c r="E32" s="38"/>
      <c r="F32" s="78"/>
      <c r="G32" s="123"/>
      <c r="H32" s="127"/>
      <c r="I32" s="40"/>
    </row>
    <row r="33" spans="1:9" ht="14.25" customHeight="1" x14ac:dyDescent="0.2">
      <c r="A33" s="174"/>
      <c r="B33" s="172"/>
      <c r="C33" s="173"/>
      <c r="D33" s="175"/>
      <c r="E33" s="175"/>
      <c r="F33" s="127"/>
      <c r="G33" s="123"/>
      <c r="H33" s="123"/>
      <c r="I33" s="171"/>
    </row>
    <row r="34" spans="1:9" ht="14.25" customHeight="1" x14ac:dyDescent="0.2">
      <c r="A34" s="174"/>
      <c r="B34" s="172"/>
      <c r="C34" s="173"/>
      <c r="D34" s="175"/>
      <c r="E34" s="175"/>
      <c r="F34" s="127"/>
      <c r="G34" s="123"/>
      <c r="H34" s="123"/>
      <c r="I34" s="171"/>
    </row>
    <row r="35" spans="1:9" ht="14.25" customHeight="1" x14ac:dyDescent="0.2">
      <c r="A35" s="125"/>
      <c r="B35" s="36"/>
      <c r="C35" s="37"/>
      <c r="D35" s="38"/>
      <c r="E35" s="38"/>
      <c r="F35" s="127"/>
      <c r="G35" s="127"/>
      <c r="H35" s="127"/>
      <c r="I35" s="171"/>
    </row>
    <row r="36" spans="1:9" ht="14.25" customHeight="1" x14ac:dyDescent="0.2">
      <c r="A36" s="125"/>
      <c r="B36" s="36"/>
      <c r="C36" s="37"/>
      <c r="D36" s="38"/>
      <c r="E36" s="38"/>
      <c r="F36" s="127"/>
      <c r="G36" s="127"/>
      <c r="H36" s="127"/>
      <c r="I36" s="171"/>
    </row>
    <row r="37" spans="1:9" ht="14.25" customHeight="1" x14ac:dyDescent="0.2">
      <c r="A37" s="125"/>
      <c r="B37" s="36"/>
      <c r="C37" s="37"/>
      <c r="D37" s="38"/>
      <c r="E37" s="38"/>
      <c r="F37" s="127"/>
      <c r="G37" s="127"/>
      <c r="H37" s="127"/>
      <c r="I37" s="171"/>
    </row>
    <row r="38" spans="1:9" ht="14.25" customHeight="1" x14ac:dyDescent="0.2">
      <c r="A38" s="178"/>
      <c r="B38" s="179"/>
      <c r="C38" s="180"/>
      <c r="D38" s="181"/>
      <c r="E38" s="181"/>
      <c r="F38" s="132" t="s">
        <v>123</v>
      </c>
      <c r="G38" s="132">
        <f>SUM(G5:G37)</f>
        <v>28</v>
      </c>
      <c r="H38" s="338">
        <f>SUM(H7:H37)</f>
        <v>12</v>
      </c>
      <c r="I38" s="183"/>
    </row>
    <row r="39" spans="1:9" ht="14.25" customHeight="1" x14ac:dyDescent="0.2">
      <c r="A39" s="33"/>
      <c r="B39" s="33"/>
      <c r="C39" s="33"/>
      <c r="D39" s="33"/>
      <c r="E39" s="33"/>
      <c r="F39" s="33"/>
      <c r="G39" s="133"/>
      <c r="H39" s="133"/>
      <c r="I39" s="133"/>
    </row>
    <row r="40" spans="1:9" ht="14.25" customHeight="1" x14ac:dyDescent="0.2">
      <c r="A40" s="33"/>
      <c r="B40" s="33"/>
      <c r="C40" s="33"/>
      <c r="D40" s="33"/>
      <c r="E40" s="33"/>
      <c r="F40" s="1169" t="s">
        <v>8</v>
      </c>
      <c r="G40" s="1170"/>
      <c r="H40" s="134">
        <f>G38-H38</f>
        <v>16</v>
      </c>
      <c r="I40" s="133"/>
    </row>
    <row r="41" spans="1:9" ht="14.25" customHeight="1" x14ac:dyDescent="0.2"/>
  </sheetData>
  <mergeCells count="5">
    <mergeCell ref="J1:J3"/>
    <mergeCell ref="C1:H5"/>
    <mergeCell ref="F40:G40"/>
    <mergeCell ref="B11:C11"/>
    <mergeCell ref="B13:C13"/>
  </mergeCells>
  <hyperlinks>
    <hyperlink ref="J1:J3" location="'ANA SAYFA'!A1" display="ANA SAYFA"/>
  </hyperlinks>
  <pageMargins left="0.5" right="0.12" top="0.28999999999999998" bottom="0.75" header="0.3" footer="0.3"/>
  <pageSetup paperSize="9" scale="71" orientation="portrait" r:id="rId1"/>
  <colBreaks count="1" manualBreakCount="1">
    <brk id="8"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workbookViewId="0">
      <pane ySplit="6" topLeftCell="A7" activePane="bottomLeft" state="frozen"/>
      <selection pane="bottomLeft" activeCell="J1" sqref="J1:J3"/>
    </sheetView>
  </sheetViews>
  <sheetFormatPr defaultRowHeight="12.75" x14ac:dyDescent="0.2"/>
  <cols>
    <col min="1" max="1" width="18.140625" bestFit="1" customWidth="1"/>
    <col min="2" max="2" width="25.42578125" bestFit="1" customWidth="1"/>
    <col min="3" max="3" width="23.28515625" bestFit="1" customWidth="1"/>
    <col min="6" max="6" width="20.85546875" bestFit="1" customWidth="1"/>
    <col min="7" max="8" width="14.140625" customWidth="1"/>
    <col min="9" max="9" width="3.5703125" customWidth="1"/>
    <col min="10" max="10" width="11.28515625" customWidth="1"/>
  </cols>
  <sheetData>
    <row r="1" spans="1:11" ht="14.25" customHeight="1" x14ac:dyDescent="0.2">
      <c r="A1" s="29" t="s">
        <v>135</v>
      </c>
      <c r="B1" s="232" t="str">
        <f>'ANA SAYFA'!B24</f>
        <v>NEVZAT KAŞIKÇI</v>
      </c>
      <c r="C1" s="1166" t="s">
        <v>136</v>
      </c>
      <c r="D1" s="1166"/>
      <c r="E1" s="1166"/>
      <c r="F1" s="1166"/>
      <c r="G1" s="1166"/>
      <c r="H1" s="1166"/>
      <c r="I1" s="28"/>
      <c r="J1" s="1183" t="s">
        <v>712</v>
      </c>
      <c r="K1" s="30"/>
    </row>
    <row r="2" spans="1:11" ht="14.25" customHeight="1" x14ac:dyDescent="0.2">
      <c r="A2" s="29" t="s">
        <v>137</v>
      </c>
      <c r="B2" s="154">
        <f>'ANA SAYFA'!D24</f>
        <v>39316375052</v>
      </c>
      <c r="C2" s="1166"/>
      <c r="D2" s="1166"/>
      <c r="E2" s="1166"/>
      <c r="F2" s="1166"/>
      <c r="G2" s="1166"/>
      <c r="H2" s="1166"/>
      <c r="I2" s="28"/>
      <c r="J2" s="1184"/>
      <c r="K2" s="30"/>
    </row>
    <row r="3" spans="1:11" ht="14.25" customHeight="1" thickBot="1" x14ac:dyDescent="0.25">
      <c r="A3" s="29" t="s">
        <v>131</v>
      </c>
      <c r="B3" s="153" t="str">
        <f>'ANA SAYFA'!C24</f>
        <v>BULDOZER OPERATÖRÜ</v>
      </c>
      <c r="C3" s="1166"/>
      <c r="D3" s="1166"/>
      <c r="E3" s="1166"/>
      <c r="F3" s="1166"/>
      <c r="G3" s="1166"/>
      <c r="H3" s="1166"/>
      <c r="I3" s="28"/>
      <c r="J3" s="1185"/>
      <c r="K3" s="30"/>
    </row>
    <row r="4" spans="1:11" ht="14.25" customHeight="1" x14ac:dyDescent="0.2">
      <c r="A4" s="29" t="s">
        <v>120</v>
      </c>
      <c r="B4" s="83">
        <f>'ANA SAYFA'!E24</f>
        <v>45404</v>
      </c>
      <c r="C4" s="1166"/>
      <c r="D4" s="1166"/>
      <c r="E4" s="1166"/>
      <c r="F4" s="1166"/>
      <c r="G4" s="1166"/>
      <c r="H4" s="1166"/>
      <c r="I4" s="28"/>
      <c r="J4" s="30"/>
      <c r="K4" s="30"/>
    </row>
    <row r="5" spans="1:11" ht="14.25" customHeight="1" x14ac:dyDescent="0.2">
      <c r="A5" s="29" t="s">
        <v>130</v>
      </c>
      <c r="B5" s="83">
        <f>'ANA SAYFA'!F24</f>
        <v>22945</v>
      </c>
      <c r="C5" s="1166"/>
      <c r="D5" s="1166"/>
      <c r="E5" s="1166"/>
      <c r="F5" s="1166"/>
      <c r="G5" s="1166"/>
      <c r="H5" s="1166"/>
      <c r="I5" s="28"/>
      <c r="J5" s="653"/>
      <c r="K5" s="653"/>
    </row>
    <row r="6" spans="1:11" ht="31.5" x14ac:dyDescent="0.2">
      <c r="A6" s="69" t="s">
        <v>0</v>
      </c>
      <c r="B6" s="70" t="s">
        <v>1</v>
      </c>
      <c r="C6" s="69" t="s">
        <v>2</v>
      </c>
      <c r="D6" s="71" t="s">
        <v>133</v>
      </c>
      <c r="E6" s="71" t="s">
        <v>4</v>
      </c>
      <c r="F6" s="71" t="s">
        <v>7</v>
      </c>
      <c r="G6" s="71" t="s">
        <v>6</v>
      </c>
      <c r="H6" s="71" t="s">
        <v>16</v>
      </c>
      <c r="I6" s="34"/>
      <c r="J6" s="653"/>
      <c r="K6" s="653"/>
    </row>
    <row r="7" spans="1:11" x14ac:dyDescent="0.2">
      <c r="A7" s="12"/>
      <c r="B7" s="17">
        <v>45482</v>
      </c>
      <c r="C7" s="18">
        <v>45488</v>
      </c>
      <c r="D7" s="13">
        <v>0.33333333333333331</v>
      </c>
      <c r="E7" s="13">
        <v>0.33333333333333331</v>
      </c>
      <c r="F7" s="752" t="s">
        <v>795</v>
      </c>
      <c r="G7" s="6">
        <v>20</v>
      </c>
      <c r="H7" s="6">
        <v>6</v>
      </c>
      <c r="I7" s="49"/>
      <c r="J7" s="30"/>
      <c r="K7" s="30"/>
    </row>
    <row r="8" spans="1:11" ht="14.45" customHeight="1" x14ac:dyDescent="0.2">
      <c r="A8" s="1212" t="s">
        <v>596</v>
      </c>
      <c r="B8" s="1213"/>
      <c r="C8" s="1214"/>
      <c r="D8" s="13"/>
      <c r="E8" s="13"/>
      <c r="F8" s="231"/>
      <c r="G8" s="26"/>
      <c r="H8" s="854">
        <v>-3</v>
      </c>
      <c r="I8" s="49"/>
      <c r="J8" s="30"/>
      <c r="K8" s="30"/>
    </row>
    <row r="9" spans="1:11" ht="14.45" customHeight="1" x14ac:dyDescent="0.2">
      <c r="A9" s="1212" t="s">
        <v>632</v>
      </c>
      <c r="B9" s="1213"/>
      <c r="C9" s="1214"/>
      <c r="D9" s="13"/>
      <c r="E9" s="13"/>
      <c r="F9" s="231"/>
      <c r="G9" s="26"/>
      <c r="H9" s="854">
        <v>-3</v>
      </c>
      <c r="I9" s="49"/>
      <c r="J9" s="30"/>
      <c r="K9" s="30"/>
    </row>
    <row r="10" spans="1:11" x14ac:dyDescent="0.2">
      <c r="A10" s="2"/>
      <c r="B10" s="17">
        <v>45722</v>
      </c>
      <c r="C10" s="19">
        <v>45727</v>
      </c>
      <c r="D10" s="660">
        <v>0.33333333333333331</v>
      </c>
      <c r="E10" s="660">
        <v>0.33333333333333331</v>
      </c>
      <c r="F10" s="231"/>
      <c r="G10" s="6"/>
      <c r="H10" s="6">
        <v>5</v>
      </c>
      <c r="I10" s="49"/>
      <c r="J10" s="30"/>
      <c r="K10" s="30"/>
    </row>
    <row r="11" spans="1:11" s="653" customFormat="1" x14ac:dyDescent="0.2">
      <c r="A11" s="1212" t="s">
        <v>777</v>
      </c>
      <c r="B11" s="1213"/>
      <c r="C11" s="1214"/>
      <c r="D11" s="660"/>
      <c r="E11" s="660"/>
      <c r="F11" s="752"/>
      <c r="G11" s="657"/>
      <c r="H11" s="854">
        <v>-2</v>
      </c>
      <c r="I11" s="684"/>
      <c r="J11" s="670"/>
      <c r="K11" s="670"/>
    </row>
    <row r="12" spans="1:11" s="699" customFormat="1" x14ac:dyDescent="0.2">
      <c r="A12" s="930"/>
      <c r="B12" s="928" t="s">
        <v>804</v>
      </c>
      <c r="C12" s="931"/>
      <c r="D12" s="733"/>
      <c r="E12" s="733"/>
      <c r="F12" s="723"/>
      <c r="G12" s="723"/>
      <c r="H12" s="929">
        <v>-3</v>
      </c>
      <c r="I12" s="684"/>
      <c r="J12" s="670"/>
    </row>
    <row r="13" spans="1:11" s="653" customFormat="1" x14ac:dyDescent="0.2">
      <c r="A13" s="2"/>
      <c r="B13" s="17">
        <v>45834</v>
      </c>
      <c r="C13" s="19">
        <v>45836</v>
      </c>
      <c r="D13" s="660">
        <v>0.33333333333333331</v>
      </c>
      <c r="E13" s="660">
        <v>0.33333333333333331</v>
      </c>
      <c r="F13" s="752"/>
      <c r="G13" s="657"/>
      <c r="H13" s="657">
        <v>3</v>
      </c>
      <c r="I13" s="684"/>
      <c r="J13" s="670"/>
      <c r="K13" s="670"/>
    </row>
    <row r="14" spans="1:11" s="653" customFormat="1" x14ac:dyDescent="0.2">
      <c r="A14" s="2"/>
      <c r="B14" s="17">
        <v>45869</v>
      </c>
      <c r="C14" s="19">
        <v>45870</v>
      </c>
      <c r="D14" s="660">
        <v>0.33333333333333331</v>
      </c>
      <c r="E14" s="660">
        <v>0.33333333333333331</v>
      </c>
      <c r="F14" s="752"/>
      <c r="G14" s="657"/>
      <c r="H14" s="657">
        <v>1</v>
      </c>
      <c r="I14" s="684"/>
      <c r="J14" s="670"/>
      <c r="K14" s="670"/>
    </row>
    <row r="15" spans="1:11" s="653" customFormat="1" x14ac:dyDescent="0.2">
      <c r="A15" s="2"/>
      <c r="B15" s="17">
        <v>45985</v>
      </c>
      <c r="C15" s="19">
        <v>45995</v>
      </c>
      <c r="D15" s="660"/>
      <c r="E15" s="660"/>
      <c r="F15" s="752"/>
      <c r="G15" s="657"/>
      <c r="H15" s="657">
        <v>9</v>
      </c>
      <c r="I15" s="684"/>
      <c r="J15" s="670" t="s">
        <v>830</v>
      </c>
      <c r="K15" s="670"/>
    </row>
    <row r="16" spans="1:11" s="653" customFormat="1" x14ac:dyDescent="0.2">
      <c r="A16" s="2"/>
      <c r="B16" s="17">
        <v>46015</v>
      </c>
      <c r="C16" s="19">
        <v>46016</v>
      </c>
      <c r="D16" s="660"/>
      <c r="E16" s="660"/>
      <c r="F16" s="752"/>
      <c r="G16" s="657"/>
      <c r="H16" s="657">
        <v>1</v>
      </c>
      <c r="I16" s="684"/>
      <c r="J16" s="670" t="s">
        <v>830</v>
      </c>
      <c r="K16" s="670"/>
    </row>
    <row r="17" spans="1:11" s="653" customFormat="1" x14ac:dyDescent="0.2">
      <c r="A17" s="2"/>
      <c r="B17" s="17">
        <v>46097</v>
      </c>
      <c r="C17" s="19">
        <v>46099</v>
      </c>
      <c r="D17" s="660"/>
      <c r="E17" s="660"/>
      <c r="F17" s="752"/>
      <c r="G17" s="657"/>
      <c r="H17" s="657">
        <v>2</v>
      </c>
      <c r="I17" s="684"/>
      <c r="J17" s="670" t="s">
        <v>830</v>
      </c>
      <c r="K17" s="670"/>
    </row>
    <row r="18" spans="1:11" s="653" customFormat="1" x14ac:dyDescent="0.2">
      <c r="A18" s="2"/>
      <c r="B18" s="17"/>
      <c r="C18" s="19"/>
      <c r="D18" s="660"/>
      <c r="E18" s="660"/>
      <c r="F18" s="752"/>
      <c r="G18" s="657"/>
      <c r="H18" s="657"/>
      <c r="I18" s="684"/>
      <c r="J18" s="670"/>
      <c r="K18" s="670"/>
    </row>
    <row r="19" spans="1:11" s="653" customFormat="1" x14ac:dyDescent="0.2">
      <c r="A19" s="2"/>
      <c r="B19" s="17"/>
      <c r="C19" s="19"/>
      <c r="D19" s="660"/>
      <c r="E19" s="660"/>
      <c r="F19" s="752"/>
      <c r="G19" s="657"/>
      <c r="H19" s="657"/>
      <c r="I19" s="684"/>
      <c r="J19" s="670"/>
      <c r="K19" s="670"/>
    </row>
    <row r="20" spans="1:11" s="653" customFormat="1" x14ac:dyDescent="0.2">
      <c r="A20" s="2"/>
      <c r="B20" s="17"/>
      <c r="C20" s="19"/>
      <c r="D20" s="660"/>
      <c r="E20" s="660"/>
      <c r="F20" s="752"/>
      <c r="G20" s="657"/>
      <c r="H20" s="657"/>
      <c r="I20" s="684"/>
      <c r="J20" s="670"/>
      <c r="K20" s="670"/>
    </row>
    <row r="21" spans="1:11" s="653" customFormat="1" x14ac:dyDescent="0.2">
      <c r="A21" s="2"/>
      <c r="B21" s="17"/>
      <c r="C21" s="19"/>
      <c r="D21" s="660"/>
      <c r="E21" s="660"/>
      <c r="F21" s="752"/>
      <c r="G21" s="657"/>
      <c r="H21" s="657"/>
      <c r="I21" s="684"/>
      <c r="J21" s="670"/>
      <c r="K21" s="670"/>
    </row>
    <row r="22" spans="1:11" s="653" customFormat="1" x14ac:dyDescent="0.2">
      <c r="A22" s="2"/>
      <c r="B22" s="17"/>
      <c r="C22" s="19"/>
      <c r="D22" s="660"/>
      <c r="E22" s="660"/>
      <c r="F22" s="752"/>
      <c r="G22" s="657"/>
      <c r="H22" s="657"/>
      <c r="I22" s="684"/>
      <c r="J22" s="670"/>
      <c r="K22" s="670"/>
    </row>
    <row r="23" spans="1:11" x14ac:dyDescent="0.2">
      <c r="A23" s="2"/>
      <c r="B23" s="17"/>
      <c r="C23" s="19"/>
      <c r="D23" s="9"/>
      <c r="E23" s="9"/>
      <c r="F23" s="231"/>
      <c r="G23" s="6"/>
      <c r="H23" s="6"/>
      <c r="I23" s="49"/>
      <c r="J23" s="30"/>
      <c r="K23" s="30"/>
    </row>
    <row r="24" spans="1:11" x14ac:dyDescent="0.2">
      <c r="A24" s="4"/>
      <c r="B24" s="14"/>
      <c r="C24" s="20"/>
      <c r="D24" s="9"/>
      <c r="E24" s="9"/>
      <c r="F24" s="231"/>
      <c r="G24" s="25"/>
      <c r="H24" s="6"/>
      <c r="I24" s="49"/>
      <c r="J24" s="30"/>
      <c r="K24" s="30"/>
    </row>
    <row r="25" spans="1:11" x14ac:dyDescent="0.2">
      <c r="A25" s="4"/>
      <c r="B25" s="14"/>
      <c r="C25" s="20"/>
      <c r="D25" s="9"/>
      <c r="E25" s="9"/>
      <c r="F25" s="231"/>
      <c r="G25" s="25"/>
      <c r="H25" s="6"/>
      <c r="I25" s="49"/>
      <c r="J25" s="30"/>
      <c r="K25" s="30"/>
    </row>
    <row r="26" spans="1:11" ht="14.25" x14ac:dyDescent="0.2">
      <c r="A26" s="5"/>
      <c r="B26" s="93"/>
      <c r="C26" s="94"/>
      <c r="D26" s="9"/>
      <c r="E26" s="9"/>
      <c r="F26" s="91"/>
      <c r="G26" s="25"/>
      <c r="H26" s="230"/>
      <c r="I26" s="49" t="s">
        <v>9</v>
      </c>
      <c r="J26" s="30"/>
      <c r="K26" s="30"/>
    </row>
    <row r="27" spans="1:11" x14ac:dyDescent="0.2">
      <c r="A27" s="55"/>
      <c r="B27" s="93"/>
      <c r="C27" s="93"/>
      <c r="D27" s="9"/>
      <c r="E27" s="9"/>
      <c r="F27" s="66"/>
      <c r="G27" s="66"/>
      <c r="H27" s="68"/>
      <c r="I27" s="49"/>
      <c r="J27" s="30"/>
      <c r="K27" s="30"/>
    </row>
    <row r="28" spans="1:11" x14ac:dyDescent="0.2">
      <c r="A28" s="55"/>
      <c r="B28" s="93"/>
      <c r="C28" s="94"/>
      <c r="D28" s="92"/>
      <c r="E28" s="92"/>
      <c r="F28" s="66"/>
      <c r="G28" s="66"/>
      <c r="H28" s="68"/>
      <c r="I28" s="49"/>
      <c r="J28" s="30"/>
      <c r="K28" s="30"/>
    </row>
    <row r="29" spans="1:11" x14ac:dyDescent="0.2">
      <c r="A29" s="55"/>
      <c r="B29" s="93"/>
      <c r="C29" s="93"/>
      <c r="D29" s="92"/>
      <c r="E29" s="92"/>
      <c r="F29" s="66"/>
      <c r="G29" s="66"/>
      <c r="H29" s="68"/>
      <c r="I29" s="61"/>
      <c r="J29" s="30"/>
      <c r="K29" s="30"/>
    </row>
    <row r="30" spans="1:11" x14ac:dyDescent="0.2">
      <c r="A30" s="55"/>
      <c r="B30" s="93"/>
      <c r="C30" s="94"/>
      <c r="D30" s="92"/>
      <c r="E30" s="92"/>
      <c r="F30" s="66"/>
      <c r="G30" s="66"/>
      <c r="H30" s="68"/>
      <c r="I30" s="63"/>
      <c r="J30" s="30"/>
      <c r="K30" s="30"/>
    </row>
    <row r="31" spans="1:11" x14ac:dyDescent="0.2">
      <c r="A31" s="55"/>
      <c r="B31" s="93"/>
      <c r="C31" s="94"/>
      <c r="D31" s="92"/>
      <c r="E31" s="92"/>
      <c r="F31" s="66"/>
      <c r="G31" s="66"/>
      <c r="H31" s="68"/>
      <c r="I31" s="63"/>
      <c r="J31" s="30"/>
      <c r="K31" s="30"/>
    </row>
    <row r="32" spans="1:11" x14ac:dyDescent="0.2">
      <c r="A32" s="55"/>
      <c r="B32" s="93"/>
      <c r="C32" s="94"/>
      <c r="D32" s="92"/>
      <c r="E32" s="92"/>
      <c r="F32" s="66"/>
      <c r="G32" s="66"/>
      <c r="H32" s="68"/>
    </row>
    <row r="33" spans="1:8" x14ac:dyDescent="0.2">
      <c r="A33" s="55"/>
      <c r="B33" s="58"/>
      <c r="C33" s="56"/>
      <c r="D33" s="57"/>
      <c r="E33" s="57"/>
      <c r="F33" s="66"/>
      <c r="G33" s="66"/>
      <c r="H33" s="68"/>
    </row>
    <row r="34" spans="1:8" x14ac:dyDescent="0.2">
      <c r="A34" s="55"/>
      <c r="B34" s="58"/>
      <c r="C34" s="56"/>
      <c r="D34" s="57"/>
      <c r="E34" s="57"/>
      <c r="F34" s="66"/>
      <c r="G34" s="66"/>
      <c r="H34" s="66"/>
    </row>
    <row r="35" spans="1:8" x14ac:dyDescent="0.2">
      <c r="A35" s="72"/>
      <c r="B35" s="73"/>
      <c r="C35" s="74"/>
      <c r="D35" s="75"/>
      <c r="E35" s="75"/>
      <c r="F35" s="76" t="s">
        <v>123</v>
      </c>
      <c r="G35" s="77">
        <f>SUM(G7:G34)</f>
        <v>20</v>
      </c>
      <c r="H35" s="77">
        <f>SUM(H7:H34)</f>
        <v>16</v>
      </c>
    </row>
    <row r="36" spans="1:8" x14ac:dyDescent="0.2">
      <c r="A36" s="30"/>
      <c r="B36" s="30"/>
      <c r="C36" s="30"/>
      <c r="D36" s="62"/>
      <c r="E36" s="62"/>
      <c r="F36" s="62"/>
      <c r="G36" s="63"/>
      <c r="H36" s="63"/>
    </row>
    <row r="37" spans="1:8" ht="14.25" x14ac:dyDescent="0.2">
      <c r="A37" s="30"/>
      <c r="B37" s="30"/>
      <c r="C37" s="30"/>
      <c r="D37" s="62"/>
      <c r="E37" s="62"/>
      <c r="F37" s="1153" t="s">
        <v>8</v>
      </c>
      <c r="G37" s="1154"/>
      <c r="H37" s="84">
        <f>G35-H35</f>
        <v>4</v>
      </c>
    </row>
  </sheetData>
  <mergeCells count="6">
    <mergeCell ref="F37:G37"/>
    <mergeCell ref="J1:J3"/>
    <mergeCell ref="C1:H5"/>
    <mergeCell ref="A8:C8"/>
    <mergeCell ref="A9:C9"/>
    <mergeCell ref="A11:C11"/>
  </mergeCells>
  <hyperlinks>
    <hyperlink ref="J1:J3" location="'ANA SAYFA'!A1" display="ANA SAYFA"/>
  </hyperlinks>
  <pageMargins left="0.7" right="0.12" top="0.3" bottom="0.75" header="0.3" footer="0.3"/>
  <pageSetup paperSize="9" scale="71"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0"/>
  <sheetViews>
    <sheetView workbookViewId="0">
      <selection activeCell="J1" sqref="J1:J3"/>
    </sheetView>
  </sheetViews>
  <sheetFormatPr defaultRowHeight="12.75" x14ac:dyDescent="0.2"/>
  <cols>
    <col min="1" max="1" width="18.140625" bestFit="1" customWidth="1"/>
    <col min="2" max="2" width="26.5703125" customWidth="1"/>
    <col min="3" max="3" width="22.85546875" bestFit="1" customWidth="1"/>
    <col min="6" max="6" width="20.85546875" bestFit="1" customWidth="1"/>
    <col min="7" max="7" width="13.85546875" customWidth="1"/>
    <col min="8" max="8" width="13.28515625" customWidth="1"/>
    <col min="9" max="9" width="3" customWidth="1"/>
    <col min="10" max="10" width="11.85546875" customWidth="1"/>
  </cols>
  <sheetData>
    <row r="1" spans="1:11" x14ac:dyDescent="0.2">
      <c r="A1" s="29" t="s">
        <v>135</v>
      </c>
      <c r="B1" s="88" t="s">
        <v>568</v>
      </c>
      <c r="C1" s="1166" t="s">
        <v>136</v>
      </c>
      <c r="D1" s="1166"/>
      <c r="E1" s="1166"/>
      <c r="F1" s="1166"/>
      <c r="G1" s="1166"/>
      <c r="H1" s="1166"/>
      <c r="I1" s="28"/>
      <c r="J1" s="1183" t="s">
        <v>712</v>
      </c>
      <c r="K1" s="30"/>
    </row>
    <row r="2" spans="1:11" x14ac:dyDescent="0.2">
      <c r="A2" s="29" t="s">
        <v>137</v>
      </c>
      <c r="B2" s="88">
        <v>19988726864</v>
      </c>
      <c r="C2" s="1166"/>
      <c r="D2" s="1166"/>
      <c r="E2" s="1166"/>
      <c r="F2" s="1166"/>
      <c r="G2" s="1166"/>
      <c r="H2" s="1166"/>
      <c r="I2" s="28"/>
      <c r="J2" s="1184"/>
      <c r="K2" s="30"/>
    </row>
    <row r="3" spans="1:11" ht="13.5" thickBot="1" x14ac:dyDescent="0.25">
      <c r="A3" s="29" t="s">
        <v>131</v>
      </c>
      <c r="B3" s="88" t="s">
        <v>569</v>
      </c>
      <c r="C3" s="1166"/>
      <c r="D3" s="1166"/>
      <c r="E3" s="1166"/>
      <c r="F3" s="1166"/>
      <c r="G3" s="1166"/>
      <c r="H3" s="1166"/>
      <c r="I3" s="28"/>
      <c r="J3" s="1185"/>
      <c r="K3" s="30"/>
    </row>
    <row r="4" spans="1:11" x14ac:dyDescent="0.2">
      <c r="A4" s="29" t="s">
        <v>120</v>
      </c>
      <c r="B4" s="83">
        <v>45124</v>
      </c>
      <c r="C4" s="1166"/>
      <c r="D4" s="1166"/>
      <c r="E4" s="1166"/>
      <c r="F4" s="1166"/>
      <c r="G4" s="1166"/>
      <c r="H4" s="1166"/>
      <c r="I4" s="28"/>
      <c r="J4" s="30"/>
      <c r="K4" s="30"/>
    </row>
    <row r="5" spans="1:11" x14ac:dyDescent="0.2">
      <c r="A5" s="29" t="s">
        <v>130</v>
      </c>
      <c r="B5" s="83">
        <v>24108</v>
      </c>
      <c r="C5" s="1166"/>
      <c r="D5" s="1166"/>
      <c r="E5" s="1166"/>
      <c r="F5" s="1166"/>
      <c r="G5" s="1166"/>
      <c r="H5" s="1166"/>
      <c r="I5" s="28"/>
      <c r="J5" s="653"/>
      <c r="K5" s="653"/>
    </row>
    <row r="6" spans="1:11" ht="31.5" x14ac:dyDescent="0.2">
      <c r="A6" s="69" t="s">
        <v>0</v>
      </c>
      <c r="B6" s="70" t="s">
        <v>1</v>
      </c>
      <c r="C6" s="69" t="s">
        <v>2</v>
      </c>
      <c r="D6" s="71" t="s">
        <v>133</v>
      </c>
      <c r="E6" s="71" t="s">
        <v>4</v>
      </c>
      <c r="F6" s="71" t="s">
        <v>7</v>
      </c>
      <c r="G6" s="71" t="s">
        <v>6</v>
      </c>
      <c r="H6" s="71" t="s">
        <v>16</v>
      </c>
      <c r="I6" s="34"/>
      <c r="J6" s="653"/>
      <c r="K6" s="653"/>
    </row>
    <row r="7" spans="1:11" ht="15" customHeight="1" x14ac:dyDescent="0.2">
      <c r="A7" s="2"/>
      <c r="B7" s="17" t="s">
        <v>570</v>
      </c>
      <c r="C7" s="19">
        <v>45465</v>
      </c>
      <c r="D7" s="13">
        <v>0.33333333333333331</v>
      </c>
      <c r="E7" s="660">
        <v>0.33333333333333331</v>
      </c>
      <c r="F7" s="83" t="s">
        <v>741</v>
      </c>
      <c r="G7" s="657">
        <v>20</v>
      </c>
      <c r="H7" s="657">
        <v>3</v>
      </c>
      <c r="I7" s="49"/>
      <c r="J7" s="30"/>
      <c r="K7" s="30"/>
    </row>
    <row r="8" spans="1:11" ht="15" customHeight="1" x14ac:dyDescent="0.2">
      <c r="A8" s="2"/>
      <c r="B8" s="17">
        <v>45523</v>
      </c>
      <c r="C8" s="19">
        <v>45542</v>
      </c>
      <c r="D8" s="660">
        <v>0.33333333333333331</v>
      </c>
      <c r="E8" s="660">
        <v>0.33333333333333331</v>
      </c>
      <c r="F8" s="83" t="s">
        <v>895</v>
      </c>
      <c r="G8" s="666">
        <v>20</v>
      </c>
      <c r="H8" s="667">
        <v>18</v>
      </c>
      <c r="I8" s="49"/>
      <c r="J8" s="30"/>
      <c r="K8" s="30"/>
    </row>
    <row r="9" spans="1:11" ht="15" customHeight="1" x14ac:dyDescent="0.2">
      <c r="A9" s="4"/>
      <c r="B9" s="14">
        <v>45943</v>
      </c>
      <c r="C9" s="20">
        <v>45955</v>
      </c>
      <c r="D9" s="13"/>
      <c r="E9" s="13"/>
      <c r="F9" s="83"/>
      <c r="G9" s="666"/>
      <c r="H9" s="666">
        <v>11</v>
      </c>
      <c r="I9" s="49"/>
      <c r="J9" s="30"/>
      <c r="K9" s="30"/>
    </row>
    <row r="10" spans="1:11" s="653" customFormat="1" ht="15" customHeight="1" x14ac:dyDescent="0.2">
      <c r="A10" s="656"/>
      <c r="B10" s="661">
        <v>46048</v>
      </c>
      <c r="C10" s="664">
        <v>46055</v>
      </c>
      <c r="D10" s="660"/>
      <c r="E10" s="660"/>
      <c r="F10" s="700"/>
      <c r="G10" s="666"/>
      <c r="H10" s="666">
        <v>6</v>
      </c>
      <c r="I10" s="684"/>
      <c r="J10" s="670"/>
      <c r="K10" s="670"/>
    </row>
    <row r="11" spans="1:11" s="653" customFormat="1" ht="15" customHeight="1" x14ac:dyDescent="0.2">
      <c r="A11" s="656"/>
      <c r="B11" s="661"/>
      <c r="C11" s="664"/>
      <c r="D11" s="660"/>
      <c r="E11" s="660"/>
      <c r="F11" s="700"/>
      <c r="G11" s="666"/>
      <c r="H11" s="666"/>
      <c r="I11" s="684"/>
      <c r="J11" s="670"/>
      <c r="K11" s="670"/>
    </row>
    <row r="12" spans="1:11" s="653" customFormat="1" ht="15" customHeight="1" x14ac:dyDescent="0.2">
      <c r="A12" s="656"/>
      <c r="B12" s="661"/>
      <c r="C12" s="664"/>
      <c r="D12" s="660"/>
      <c r="E12" s="660"/>
      <c r="F12" s="700"/>
      <c r="G12" s="666"/>
      <c r="H12" s="666"/>
      <c r="I12" s="684"/>
      <c r="J12" s="670"/>
      <c r="K12" s="670"/>
    </row>
    <row r="13" spans="1:11" s="653" customFormat="1" ht="15" customHeight="1" x14ac:dyDescent="0.2">
      <c r="A13" s="656"/>
      <c r="B13" s="661"/>
      <c r="C13" s="664"/>
      <c r="D13" s="660"/>
      <c r="E13" s="660"/>
      <c r="F13" s="700"/>
      <c r="G13" s="666"/>
      <c r="H13" s="666"/>
      <c r="I13" s="684"/>
      <c r="J13" s="670"/>
      <c r="K13" s="670"/>
    </row>
    <row r="14" spans="1:11" s="653" customFormat="1" ht="15" customHeight="1" x14ac:dyDescent="0.2">
      <c r="A14" s="656"/>
      <c r="B14" s="661"/>
      <c r="C14" s="664"/>
      <c r="D14" s="660"/>
      <c r="E14" s="660"/>
      <c r="F14" s="700"/>
      <c r="G14" s="666"/>
      <c r="H14" s="666"/>
      <c r="I14" s="684"/>
      <c r="J14" s="670"/>
      <c r="K14" s="670"/>
    </row>
    <row r="15" spans="1:11" ht="15" customHeight="1" x14ac:dyDescent="0.2">
      <c r="A15" s="4"/>
      <c r="B15" s="14"/>
      <c r="C15" s="20"/>
      <c r="D15" s="13"/>
      <c r="E15" s="13"/>
      <c r="F15" s="7"/>
      <c r="G15" s="666"/>
      <c r="H15" s="666"/>
      <c r="I15" s="49"/>
      <c r="J15" s="30"/>
      <c r="K15" s="30"/>
    </row>
    <row r="16" spans="1:11" ht="15" customHeight="1" x14ac:dyDescent="0.2">
      <c r="A16" s="5"/>
      <c r="B16" s="14"/>
      <c r="C16" s="20"/>
      <c r="D16" s="13"/>
      <c r="E16" s="13"/>
      <c r="F16" s="7"/>
      <c r="G16" s="666"/>
      <c r="H16" s="666"/>
      <c r="I16" s="49"/>
      <c r="J16" s="30"/>
      <c r="K16" s="30"/>
    </row>
    <row r="17" spans="1:11" ht="15" customHeight="1" x14ac:dyDescent="0.2">
      <c r="A17" s="5"/>
      <c r="B17" s="14"/>
      <c r="C17" s="20"/>
      <c r="D17" s="10"/>
      <c r="E17" s="10"/>
      <c r="F17" s="21"/>
      <c r="G17" s="666"/>
      <c r="H17" s="666"/>
      <c r="I17" s="49"/>
      <c r="J17" s="30"/>
      <c r="K17" s="30"/>
    </row>
    <row r="18" spans="1:11" ht="15" customHeight="1" x14ac:dyDescent="0.2">
      <c r="A18" s="1"/>
      <c r="B18" s="15"/>
      <c r="C18" s="16"/>
      <c r="D18" s="8"/>
      <c r="E18" s="8"/>
      <c r="F18" s="83"/>
      <c r="G18" s="666"/>
      <c r="H18" s="751"/>
      <c r="I18" s="49"/>
      <c r="J18" s="30"/>
      <c r="K18" s="30"/>
    </row>
    <row r="19" spans="1:11" ht="15" customHeight="1" x14ac:dyDescent="0.2">
      <c r="A19" s="1"/>
      <c r="B19" s="15"/>
      <c r="C19" s="16"/>
      <c r="D19" s="8"/>
      <c r="E19" s="8"/>
      <c r="F19" s="83"/>
      <c r="G19" s="666"/>
      <c r="H19" s="751"/>
      <c r="I19" s="49"/>
      <c r="J19" s="30"/>
      <c r="K19" s="30"/>
    </row>
    <row r="20" spans="1:11" ht="15" customHeight="1" x14ac:dyDescent="0.2">
      <c r="A20" s="1"/>
      <c r="B20" s="15"/>
      <c r="C20" s="16"/>
      <c r="D20" s="8"/>
      <c r="E20" s="8"/>
      <c r="F20" s="83"/>
      <c r="G20" s="666"/>
      <c r="H20" s="751"/>
      <c r="I20" s="49"/>
      <c r="J20" s="30"/>
      <c r="K20" s="30"/>
    </row>
    <row r="21" spans="1:11" ht="15" customHeight="1" x14ac:dyDescent="0.2">
      <c r="A21" s="1"/>
      <c r="B21" s="93"/>
      <c r="C21" s="94"/>
      <c r="D21" s="92"/>
      <c r="E21" s="92"/>
      <c r="F21" s="81"/>
      <c r="G21" s="666"/>
      <c r="H21" s="751"/>
      <c r="I21" s="49"/>
      <c r="J21" s="30"/>
      <c r="K21" s="30"/>
    </row>
    <row r="22" spans="1:11" ht="15" customHeight="1" x14ac:dyDescent="0.2">
      <c r="A22" s="1"/>
      <c r="B22" s="93"/>
      <c r="C22" s="94"/>
      <c r="D22" s="92"/>
      <c r="E22" s="92"/>
      <c r="F22" s="81"/>
      <c r="G22" s="681"/>
      <c r="H22" s="751"/>
      <c r="I22" s="46"/>
      <c r="J22" s="30"/>
      <c r="K22" s="30"/>
    </row>
    <row r="23" spans="1:11" ht="15" customHeight="1" x14ac:dyDescent="0.2">
      <c r="A23" s="1"/>
      <c r="B23" s="93"/>
      <c r="C23" s="94"/>
      <c r="D23" s="92"/>
      <c r="E23" s="92"/>
      <c r="F23" s="81"/>
      <c r="G23" s="681"/>
      <c r="H23" s="751"/>
      <c r="I23" s="46"/>
      <c r="J23" s="30"/>
      <c r="K23" s="30"/>
    </row>
    <row r="24" spans="1:11" ht="15" customHeight="1" x14ac:dyDescent="0.2">
      <c r="A24" s="1"/>
      <c r="B24" s="93"/>
      <c r="C24" s="94"/>
      <c r="D24" s="92"/>
      <c r="E24" s="92"/>
      <c r="F24" s="78"/>
      <c r="G24" s="681"/>
      <c r="H24" s="666"/>
      <c r="I24" s="40"/>
      <c r="J24" s="30"/>
      <c r="K24" s="30"/>
    </row>
    <row r="25" spans="1:11" ht="15" customHeight="1" x14ac:dyDescent="0.2">
      <c r="A25" s="1"/>
      <c r="B25" s="93"/>
      <c r="C25" s="94"/>
      <c r="D25" s="92"/>
      <c r="E25" s="92"/>
      <c r="F25" s="78"/>
      <c r="G25" s="681"/>
      <c r="H25" s="666"/>
      <c r="I25" s="40"/>
      <c r="J25" s="30"/>
      <c r="K25" s="30"/>
    </row>
    <row r="26" spans="1:11" ht="15" customHeight="1" x14ac:dyDescent="0.2">
      <c r="A26" s="1"/>
      <c r="B26" s="93"/>
      <c r="C26" s="94"/>
      <c r="D26" s="92"/>
      <c r="E26" s="92"/>
      <c r="F26" s="78"/>
      <c r="G26" s="681"/>
      <c r="H26" s="666"/>
      <c r="I26" s="40"/>
      <c r="J26" s="41"/>
      <c r="K26" s="41"/>
    </row>
    <row r="27" spans="1:11" ht="15" customHeight="1" x14ac:dyDescent="0.2">
      <c r="A27" s="51"/>
      <c r="B27" s="93"/>
      <c r="C27" s="94"/>
      <c r="D27" s="92"/>
      <c r="E27" s="92"/>
      <c r="F27" s="48"/>
      <c r="G27" s="681"/>
      <c r="H27" s="666"/>
      <c r="I27" s="49"/>
      <c r="J27" s="30"/>
      <c r="K27" s="30"/>
    </row>
    <row r="28" spans="1:11" ht="15" customHeight="1" x14ac:dyDescent="0.2">
      <c r="A28" s="51"/>
      <c r="B28" s="93"/>
      <c r="C28" s="94"/>
      <c r="D28" s="92"/>
      <c r="E28" s="92"/>
      <c r="F28" s="48"/>
      <c r="G28" s="681"/>
      <c r="H28" s="666"/>
      <c r="I28" s="49"/>
      <c r="J28" s="30"/>
      <c r="K28" s="30"/>
    </row>
    <row r="29" spans="1:11" ht="15" customHeight="1" x14ac:dyDescent="0.2">
      <c r="A29" s="55"/>
      <c r="B29" s="93"/>
      <c r="C29" s="94"/>
      <c r="D29" s="92"/>
      <c r="E29" s="92"/>
      <c r="F29" s="48"/>
      <c r="G29" s="691"/>
      <c r="H29" s="666"/>
      <c r="I29" s="49"/>
      <c r="J29" s="30"/>
      <c r="K29" s="30"/>
    </row>
    <row r="30" spans="1:11" ht="15" customHeight="1" x14ac:dyDescent="0.2">
      <c r="A30" s="55"/>
      <c r="B30" s="93"/>
      <c r="C30" s="94"/>
      <c r="D30" s="92"/>
      <c r="E30" s="92"/>
      <c r="F30" s="48"/>
      <c r="G30" s="691"/>
      <c r="H30" s="666"/>
      <c r="I30" s="49"/>
      <c r="J30" s="30"/>
      <c r="K30" s="30"/>
    </row>
    <row r="31" spans="1:11" ht="15" customHeight="1" x14ac:dyDescent="0.2">
      <c r="A31" s="55"/>
      <c r="B31" s="93"/>
      <c r="C31" s="94"/>
      <c r="D31" s="92"/>
      <c r="E31" s="92"/>
      <c r="F31" s="48"/>
      <c r="G31" s="691"/>
      <c r="H31" s="666"/>
      <c r="I31" s="49"/>
      <c r="J31" s="30"/>
      <c r="K31" s="30"/>
    </row>
    <row r="32" spans="1:11" ht="15" customHeight="1" x14ac:dyDescent="0.2">
      <c r="A32" s="55"/>
      <c r="B32" s="93"/>
      <c r="C32" s="94"/>
      <c r="D32" s="92"/>
      <c r="E32" s="92"/>
      <c r="F32" s="48"/>
      <c r="G32" s="691"/>
      <c r="H32" s="667"/>
      <c r="I32" s="49"/>
      <c r="J32" s="30"/>
      <c r="K32" s="30"/>
    </row>
    <row r="33" spans="1:11" ht="15" customHeight="1" x14ac:dyDescent="0.2">
      <c r="A33" s="55"/>
      <c r="B33" s="93"/>
      <c r="C33" s="94"/>
      <c r="D33" s="92"/>
      <c r="E33" s="92"/>
      <c r="F33" s="48"/>
      <c r="G33" s="691"/>
      <c r="H33" s="666"/>
      <c r="I33" s="49"/>
      <c r="J33" s="30"/>
      <c r="K33" s="30"/>
    </row>
    <row r="34" spans="1:11" ht="15" customHeight="1" x14ac:dyDescent="0.2">
      <c r="A34" s="55"/>
      <c r="B34" s="93"/>
      <c r="C34" s="94"/>
      <c r="D34" s="92"/>
      <c r="E34" s="92"/>
      <c r="F34" s="48"/>
      <c r="G34" s="691"/>
      <c r="H34" s="692"/>
      <c r="I34" s="49"/>
      <c r="J34" s="30"/>
      <c r="K34" s="30"/>
    </row>
    <row r="35" spans="1:11" ht="15" customHeight="1" x14ac:dyDescent="0.2">
      <c r="A35" s="55"/>
      <c r="B35" s="58"/>
      <c r="C35" s="56"/>
      <c r="D35" s="57"/>
      <c r="E35" s="57"/>
      <c r="F35" s="48"/>
      <c r="G35" s="691"/>
      <c r="H35" s="692"/>
      <c r="I35" s="49"/>
      <c r="J35" s="30"/>
      <c r="K35" s="30"/>
    </row>
    <row r="36" spans="1:11" ht="15" customHeight="1" x14ac:dyDescent="0.2">
      <c r="A36" s="55"/>
      <c r="B36" s="58"/>
      <c r="C36" s="56"/>
      <c r="D36" s="57"/>
      <c r="E36" s="57"/>
      <c r="F36" s="48"/>
      <c r="G36" s="691"/>
      <c r="H36" s="691"/>
      <c r="I36" s="49"/>
      <c r="J36" s="30"/>
      <c r="K36" s="30"/>
    </row>
    <row r="37" spans="1:11" ht="15" customHeight="1" x14ac:dyDescent="0.2">
      <c r="A37" s="72"/>
      <c r="B37" s="73"/>
      <c r="C37" s="74"/>
      <c r="D37" s="75"/>
      <c r="E37" s="75"/>
      <c r="F37" s="772" t="s">
        <v>123</v>
      </c>
      <c r="G37" s="827">
        <f>SUM(G5:G36)</f>
        <v>40</v>
      </c>
      <c r="H37" s="827">
        <f>SUM(H7:H36)</f>
        <v>38</v>
      </c>
      <c r="I37" s="61"/>
      <c r="J37" s="30"/>
      <c r="K37" s="30"/>
    </row>
    <row r="38" spans="1:11" x14ac:dyDescent="0.2">
      <c r="A38" s="30"/>
      <c r="B38" s="30"/>
      <c r="C38" s="30"/>
      <c r="D38" s="62"/>
      <c r="E38" s="62"/>
      <c r="F38" s="671"/>
      <c r="G38" s="714"/>
      <c r="H38" s="714"/>
      <c r="I38" s="63"/>
      <c r="J38" s="30"/>
      <c r="K38" s="30"/>
    </row>
    <row r="39" spans="1:11" ht="14.25" x14ac:dyDescent="0.2">
      <c r="A39" s="30"/>
      <c r="B39" s="30"/>
      <c r="C39" s="30"/>
      <c r="D39" s="62"/>
      <c r="E39" s="62"/>
      <c r="F39" s="1215" t="s">
        <v>8</v>
      </c>
      <c r="G39" s="1216"/>
      <c r="H39" s="797">
        <f>G37-H37</f>
        <v>2</v>
      </c>
      <c r="I39" s="63"/>
      <c r="J39" s="30"/>
      <c r="K39" s="30"/>
    </row>
    <row r="40" spans="1:11" x14ac:dyDescent="0.2">
      <c r="G40" s="1217"/>
      <c r="H40" s="1217"/>
    </row>
  </sheetData>
  <mergeCells count="4">
    <mergeCell ref="J1:J3"/>
    <mergeCell ref="C1:H5"/>
    <mergeCell ref="F39:G39"/>
    <mergeCell ref="G40:H40"/>
  </mergeCells>
  <hyperlinks>
    <hyperlink ref="J1:J3" location="'ANA SAYFA'!A1" display="ANA SAYFA"/>
  </hyperlinks>
  <pageMargins left="0.25" right="0.25" top="0.31" bottom="0.32" header="0.3" footer="0.3"/>
  <pageSetup paperSize="9" scale="74"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7"/>
  <sheetViews>
    <sheetView zoomScaleNormal="100" workbookViewId="0">
      <selection activeCell="J1" sqref="J1:J3"/>
    </sheetView>
  </sheetViews>
  <sheetFormatPr defaultColWidth="9.140625" defaultRowHeight="11.25" x14ac:dyDescent="0.2"/>
  <cols>
    <col min="1" max="1" width="18.140625" style="120" bestFit="1" customWidth="1"/>
    <col min="2" max="2" width="27.28515625" style="120" bestFit="1" customWidth="1"/>
    <col min="3" max="3" width="25.140625" style="120" bestFit="1" customWidth="1"/>
    <col min="4" max="4" width="9.28515625" style="120" bestFit="1" customWidth="1"/>
    <col min="5" max="5" width="9.85546875" style="120" customWidth="1"/>
    <col min="6" max="6" width="17.28515625" style="120" bestFit="1" customWidth="1"/>
    <col min="7" max="7" width="15.28515625" style="120" customWidth="1"/>
    <col min="8" max="8" width="13.85546875" style="120" bestFit="1" customWidth="1"/>
    <col min="9" max="9" width="3.85546875" style="120" customWidth="1"/>
    <col min="10" max="10" width="11.85546875" style="120" customWidth="1"/>
    <col min="11" max="12" width="9.140625" style="120"/>
    <col min="13" max="13" width="28.7109375" style="120" bestFit="1" customWidth="1"/>
    <col min="14" max="16384" width="9.140625" style="120"/>
  </cols>
  <sheetData>
    <row r="1" spans="1:13" ht="13.5" customHeight="1" x14ac:dyDescent="0.2">
      <c r="A1" s="135" t="s">
        <v>135</v>
      </c>
      <c r="B1" s="193" t="str">
        <f>'ANA SAYFA'!B26</f>
        <v>HASAN AKÇAYOĞLU</v>
      </c>
      <c r="C1" s="1166" t="s">
        <v>136</v>
      </c>
      <c r="D1" s="1166"/>
      <c r="E1" s="1166"/>
      <c r="F1" s="1166"/>
      <c r="G1" s="1166"/>
      <c r="H1" s="1166"/>
      <c r="I1" s="119"/>
      <c r="J1" s="1183" t="s">
        <v>712</v>
      </c>
      <c r="K1" s="33"/>
    </row>
    <row r="2" spans="1:13" ht="13.5" customHeight="1" x14ac:dyDescent="0.2">
      <c r="A2" s="135" t="s">
        <v>137</v>
      </c>
      <c r="B2" s="186">
        <f>'ANA SAYFA'!D26</f>
        <v>47494140430</v>
      </c>
      <c r="C2" s="1166"/>
      <c r="D2" s="1166"/>
      <c r="E2" s="1166"/>
      <c r="F2" s="1166"/>
      <c r="G2" s="1166"/>
      <c r="H2" s="1166"/>
      <c r="I2" s="119"/>
      <c r="J2" s="1184"/>
      <c r="K2" s="33"/>
    </row>
    <row r="3" spans="1:13" ht="13.5" customHeight="1" thickBot="1" x14ac:dyDescent="0.25">
      <c r="A3" s="135" t="s">
        <v>131</v>
      </c>
      <c r="B3" s="162" t="str">
        <f>'ANA SAYFA'!C26</f>
        <v>KAMYON ŞOFÖRÜ</v>
      </c>
      <c r="C3" s="1166"/>
      <c r="D3" s="1166"/>
      <c r="E3" s="1166"/>
      <c r="F3" s="1166"/>
      <c r="G3" s="1166"/>
      <c r="H3" s="1166"/>
      <c r="I3" s="119"/>
      <c r="J3" s="1185"/>
      <c r="K3" s="33"/>
    </row>
    <row r="4" spans="1:13" ht="13.5" customHeight="1" x14ac:dyDescent="0.2">
      <c r="A4" s="135" t="s">
        <v>120</v>
      </c>
      <c r="B4" s="136">
        <f>'ANA SAYFA'!E26</f>
        <v>46056</v>
      </c>
      <c r="C4" s="1166"/>
      <c r="D4" s="1166"/>
      <c r="E4" s="1166"/>
      <c r="F4" s="1166"/>
      <c r="G4" s="1166"/>
      <c r="H4" s="1166"/>
      <c r="I4" s="119"/>
      <c r="J4" s="33"/>
      <c r="K4" s="33"/>
    </row>
    <row r="5" spans="1:13" ht="13.5" customHeight="1" x14ac:dyDescent="0.2">
      <c r="A5" s="135" t="s">
        <v>130</v>
      </c>
      <c r="B5" s="136">
        <f>'ANA SAYFA'!F26</f>
        <v>27560</v>
      </c>
      <c r="C5" s="1166"/>
      <c r="D5" s="1166"/>
      <c r="E5" s="1166"/>
      <c r="F5" s="1166"/>
      <c r="G5" s="1166"/>
      <c r="H5" s="1166"/>
      <c r="I5" s="119"/>
      <c r="J5" s="706"/>
      <c r="K5" s="706"/>
    </row>
    <row r="6" spans="1:13" ht="33.75" x14ac:dyDescent="0.2">
      <c r="A6" s="99" t="s">
        <v>0</v>
      </c>
      <c r="B6" s="100" t="s">
        <v>1</v>
      </c>
      <c r="C6" s="99" t="s">
        <v>2</v>
      </c>
      <c r="D6" s="101" t="s">
        <v>133</v>
      </c>
      <c r="E6" s="101" t="s">
        <v>4</v>
      </c>
      <c r="F6" s="101" t="s">
        <v>7</v>
      </c>
      <c r="G6" s="101" t="s">
        <v>6</v>
      </c>
      <c r="H6" s="101" t="s">
        <v>16</v>
      </c>
      <c r="I6" s="34"/>
      <c r="J6" s="706"/>
      <c r="K6" s="706"/>
    </row>
    <row r="7" spans="1:13" ht="13.5" customHeight="1" x14ac:dyDescent="0.2">
      <c r="A7" s="121"/>
      <c r="B7" s="1084">
        <v>46175</v>
      </c>
      <c r="C7" s="675">
        <v>46176</v>
      </c>
      <c r="D7" s="676"/>
      <c r="E7" s="676"/>
      <c r="F7" s="709"/>
      <c r="G7" s="123"/>
      <c r="H7" s="206">
        <v>1</v>
      </c>
      <c r="I7" s="171"/>
      <c r="J7" s="33"/>
      <c r="K7" s="33"/>
      <c r="M7" s="507"/>
    </row>
    <row r="8" spans="1:13" ht="13.5" customHeight="1" x14ac:dyDescent="0.2">
      <c r="A8" s="121"/>
      <c r="B8" s="1084"/>
      <c r="C8" s="675"/>
      <c r="D8" s="676"/>
      <c r="E8" s="676"/>
      <c r="F8" s="709"/>
      <c r="G8" s="123"/>
      <c r="H8" s="206"/>
      <c r="I8" s="171"/>
      <c r="J8" s="671"/>
      <c r="K8" s="33"/>
    </row>
    <row r="9" spans="1:13" ht="13.5" customHeight="1" x14ac:dyDescent="0.2">
      <c r="A9" s="128"/>
      <c r="B9" s="1084"/>
      <c r="C9" s="675"/>
      <c r="D9" s="676"/>
      <c r="E9" s="676"/>
      <c r="F9" s="709"/>
      <c r="G9" s="123"/>
      <c r="H9" s="206"/>
      <c r="I9" s="171"/>
      <c r="J9" s="671"/>
      <c r="K9" s="33"/>
    </row>
    <row r="10" spans="1:13" ht="13.5" customHeight="1" x14ac:dyDescent="0.2">
      <c r="A10" s="877"/>
      <c r="B10" s="1084"/>
      <c r="C10" s="675"/>
      <c r="D10" s="676"/>
      <c r="E10" s="676"/>
      <c r="F10" s="709"/>
      <c r="G10" s="123"/>
      <c r="H10" s="206"/>
      <c r="I10" s="878"/>
      <c r="J10" s="671"/>
      <c r="K10" s="879"/>
    </row>
    <row r="11" spans="1:13" ht="13.5" customHeight="1" x14ac:dyDescent="0.2">
      <c r="A11" s="125"/>
      <c r="B11" s="1084"/>
      <c r="C11" s="675"/>
      <c r="D11" s="676"/>
      <c r="E11" s="676"/>
      <c r="F11" s="709"/>
      <c r="G11" s="123"/>
      <c r="H11" s="206"/>
      <c r="I11" s="171"/>
      <c r="J11" s="671"/>
      <c r="K11" s="33"/>
    </row>
    <row r="12" spans="1:13" ht="13.5" customHeight="1" x14ac:dyDescent="0.2">
      <c r="A12" s="125"/>
      <c r="B12" s="1084"/>
      <c r="C12" s="675"/>
      <c r="D12" s="676"/>
      <c r="E12" s="676"/>
      <c r="F12" s="709"/>
      <c r="G12" s="123"/>
      <c r="H12" s="206"/>
      <c r="I12" s="171"/>
      <c r="J12" s="33"/>
      <c r="K12" s="33"/>
    </row>
    <row r="13" spans="1:13" ht="13.5" customHeight="1" x14ac:dyDescent="0.2">
      <c r="A13" s="174"/>
      <c r="B13" s="1084"/>
      <c r="C13" s="675"/>
      <c r="D13" s="676"/>
      <c r="E13" s="676"/>
      <c r="F13" s="709"/>
      <c r="G13" s="123"/>
      <c r="H13" s="206"/>
      <c r="I13" s="171"/>
      <c r="J13" s="33"/>
      <c r="K13" s="33"/>
    </row>
    <row r="14" spans="1:13" ht="13.5" customHeight="1" x14ac:dyDescent="0.2">
      <c r="A14" s="174"/>
      <c r="B14" s="1084"/>
      <c r="C14" s="675"/>
      <c r="D14" s="676"/>
      <c r="E14" s="676"/>
      <c r="F14" s="709"/>
      <c r="G14" s="123"/>
      <c r="H14" s="206"/>
      <c r="I14" s="171"/>
      <c r="J14" s="33"/>
      <c r="K14" s="33"/>
    </row>
    <row r="15" spans="1:13" s="828" customFormat="1" ht="13.5" customHeight="1" x14ac:dyDescent="0.2">
      <c r="A15" s="740"/>
      <c r="B15" s="1084"/>
      <c r="C15" s="675"/>
      <c r="D15" s="676"/>
      <c r="E15" s="676"/>
      <c r="F15" s="709"/>
      <c r="G15" s="123"/>
      <c r="H15" s="206"/>
      <c r="I15" s="737"/>
      <c r="J15" s="671"/>
      <c r="K15" s="671"/>
    </row>
    <row r="16" spans="1:13" ht="13.5" customHeight="1" x14ac:dyDescent="0.2">
      <c r="A16" s="125"/>
      <c r="B16" s="1084"/>
      <c r="C16" s="675"/>
      <c r="D16" s="676"/>
      <c r="E16" s="676"/>
      <c r="F16" s="709"/>
      <c r="G16" s="123"/>
      <c r="H16" s="206"/>
      <c r="I16" s="171"/>
      <c r="J16" s="33"/>
      <c r="K16" s="33"/>
    </row>
    <row r="17" spans="1:11" ht="13.5" customHeight="1" x14ac:dyDescent="0.2">
      <c r="A17" s="125"/>
      <c r="B17" s="1084"/>
      <c r="C17" s="675"/>
      <c r="D17" s="676"/>
      <c r="E17" s="676"/>
      <c r="F17" s="709"/>
      <c r="G17" s="123"/>
      <c r="H17" s="206"/>
      <c r="I17" s="171"/>
      <c r="J17" s="33"/>
      <c r="K17" s="33"/>
    </row>
    <row r="18" spans="1:11" ht="13.5" customHeight="1" x14ac:dyDescent="0.2">
      <c r="A18" s="125"/>
      <c r="B18" s="1084"/>
      <c r="C18" s="675"/>
      <c r="D18" s="676"/>
      <c r="E18" s="676"/>
      <c r="F18" s="709"/>
      <c r="G18" s="123"/>
      <c r="H18" s="206"/>
      <c r="I18" s="171"/>
      <c r="J18" s="33"/>
      <c r="K18" s="33"/>
    </row>
    <row r="19" spans="1:11" ht="13.5" customHeight="1" x14ac:dyDescent="0.2">
      <c r="A19" s="125"/>
      <c r="B19" s="1084"/>
      <c r="C19" s="675"/>
      <c r="D19" s="676"/>
      <c r="E19" s="676"/>
      <c r="F19" s="709"/>
      <c r="G19" s="123"/>
      <c r="H19" s="206"/>
      <c r="I19" s="171"/>
      <c r="J19" s="33"/>
      <c r="K19" s="33"/>
    </row>
    <row r="20" spans="1:11" s="706" customFormat="1" ht="13.5" customHeight="1" x14ac:dyDescent="0.2">
      <c r="A20" s="740"/>
      <c r="B20" s="1084"/>
      <c r="C20" s="675"/>
      <c r="D20" s="676"/>
      <c r="E20" s="676"/>
      <c r="F20" s="709"/>
      <c r="G20" s="123"/>
      <c r="H20" s="206"/>
      <c r="I20" s="737"/>
      <c r="J20" s="671"/>
      <c r="K20" s="671"/>
    </row>
    <row r="21" spans="1:11" ht="13.5" customHeight="1" x14ac:dyDescent="0.2">
      <c r="A21" s="125"/>
      <c r="B21" s="1084"/>
      <c r="C21" s="675"/>
      <c r="D21" s="676"/>
      <c r="E21" s="676"/>
      <c r="F21" s="709"/>
      <c r="G21" s="123"/>
      <c r="H21" s="206"/>
      <c r="I21" s="177"/>
      <c r="J21" s="33"/>
      <c r="K21" s="33"/>
    </row>
    <row r="22" spans="1:11" ht="13.5" customHeight="1" x14ac:dyDescent="0.2">
      <c r="A22" s="125"/>
      <c r="B22" s="1084"/>
      <c r="C22" s="675"/>
      <c r="D22" s="676"/>
      <c r="E22" s="676"/>
      <c r="F22" s="709"/>
      <c r="G22" s="123"/>
      <c r="H22" s="206"/>
      <c r="I22" s="40"/>
      <c r="J22" s="33"/>
      <c r="K22" s="33"/>
    </row>
    <row r="23" spans="1:11" ht="13.5" customHeight="1" x14ac:dyDescent="0.2">
      <c r="A23" s="125"/>
      <c r="B23" s="1084"/>
      <c r="C23" s="675"/>
      <c r="D23" s="676"/>
      <c r="E23" s="676"/>
      <c r="F23" s="709"/>
      <c r="G23" s="123"/>
      <c r="H23" s="206"/>
      <c r="I23" s="40"/>
      <c r="J23" s="33"/>
      <c r="K23" s="33"/>
    </row>
    <row r="24" spans="1:11" ht="13.5" customHeight="1" x14ac:dyDescent="0.2">
      <c r="A24" s="125"/>
      <c r="B24" s="1084"/>
      <c r="C24" s="675"/>
      <c r="D24" s="676"/>
      <c r="E24" s="676"/>
      <c r="F24" s="709"/>
      <c r="G24" s="123"/>
      <c r="H24" s="206"/>
      <c r="I24" s="40"/>
      <c r="J24" s="124"/>
      <c r="K24" s="124"/>
    </row>
    <row r="25" spans="1:11" ht="13.5" customHeight="1" x14ac:dyDescent="0.2">
      <c r="A25" s="174"/>
      <c r="B25" s="36"/>
      <c r="C25" s="37"/>
      <c r="D25" s="38"/>
      <c r="E25" s="38"/>
      <c r="F25" s="127"/>
      <c r="G25" s="123"/>
      <c r="H25" s="206"/>
      <c r="I25" s="171"/>
      <c r="J25" s="33"/>
      <c r="K25" s="33"/>
    </row>
    <row r="26" spans="1:11" ht="13.5" customHeight="1" x14ac:dyDescent="0.2">
      <c r="A26" s="174"/>
      <c r="B26" s="36"/>
      <c r="C26" s="37"/>
      <c r="D26" s="38"/>
      <c r="E26" s="38"/>
      <c r="F26" s="127"/>
      <c r="G26" s="123"/>
      <c r="H26" s="206"/>
      <c r="I26" s="171"/>
      <c r="J26" s="33"/>
      <c r="K26" s="33"/>
    </row>
    <row r="27" spans="1:11" ht="13.5" customHeight="1" x14ac:dyDescent="0.2">
      <c r="A27" s="125"/>
      <c r="B27" s="36"/>
      <c r="C27" s="37"/>
      <c r="D27" s="38"/>
      <c r="E27" s="38"/>
      <c r="F27" s="127"/>
      <c r="G27" s="127"/>
      <c r="H27" s="206"/>
      <c r="I27" s="171"/>
      <c r="J27" s="33"/>
      <c r="K27" s="33"/>
    </row>
    <row r="28" spans="1:11" ht="13.5" customHeight="1" x14ac:dyDescent="0.2">
      <c r="A28" s="125"/>
      <c r="B28" s="36"/>
      <c r="C28" s="37"/>
      <c r="D28" s="38"/>
      <c r="E28" s="38"/>
      <c r="F28" s="127"/>
      <c r="G28" s="127"/>
      <c r="H28" s="206"/>
      <c r="I28" s="171"/>
      <c r="J28" s="33"/>
      <c r="K28" s="33"/>
    </row>
    <row r="29" spans="1:11" ht="13.5" customHeight="1" x14ac:dyDescent="0.2">
      <c r="A29" s="125"/>
      <c r="B29" s="36"/>
      <c r="C29" s="37"/>
      <c r="D29" s="38"/>
      <c r="E29" s="38"/>
      <c r="F29" s="127"/>
      <c r="G29" s="127"/>
      <c r="H29" s="206"/>
      <c r="I29" s="171"/>
      <c r="J29" s="33"/>
      <c r="K29" s="33"/>
    </row>
    <row r="30" spans="1:11" ht="13.5" customHeight="1" x14ac:dyDescent="0.2">
      <c r="A30" s="125"/>
      <c r="B30" s="36"/>
      <c r="C30" s="37"/>
      <c r="D30" s="38"/>
      <c r="E30" s="38"/>
      <c r="F30" s="127"/>
      <c r="G30" s="127"/>
      <c r="H30" s="206"/>
      <c r="I30" s="171"/>
      <c r="J30" s="33"/>
      <c r="K30" s="33"/>
    </row>
    <row r="31" spans="1:11" ht="13.5" customHeight="1" x14ac:dyDescent="0.2">
      <c r="A31" s="125"/>
      <c r="B31" s="36"/>
      <c r="C31" s="37"/>
      <c r="D31" s="38"/>
      <c r="E31" s="38"/>
      <c r="F31" s="127"/>
      <c r="G31" s="127"/>
      <c r="H31" s="206"/>
      <c r="I31" s="171"/>
      <c r="J31" s="33"/>
      <c r="K31" s="33"/>
    </row>
    <row r="32" spans="1:11" ht="13.5" customHeight="1" x14ac:dyDescent="0.2">
      <c r="A32" s="125"/>
      <c r="B32" s="36"/>
      <c r="C32" s="37"/>
      <c r="D32" s="38"/>
      <c r="E32" s="38"/>
      <c r="F32" s="127"/>
      <c r="G32" s="127"/>
      <c r="H32" s="206"/>
      <c r="I32" s="171"/>
      <c r="J32" s="33"/>
      <c r="K32" s="33"/>
    </row>
    <row r="33" spans="1:11" ht="13.5" customHeight="1" x14ac:dyDescent="0.2">
      <c r="A33" s="125"/>
      <c r="B33" s="36"/>
      <c r="C33" s="37"/>
      <c r="D33" s="38"/>
      <c r="E33" s="38"/>
      <c r="F33" s="127"/>
      <c r="G33" s="127"/>
      <c r="H33" s="206"/>
      <c r="I33" s="171"/>
      <c r="J33" s="33"/>
      <c r="K33" s="33"/>
    </row>
    <row r="34" spans="1:11" ht="13.5" customHeight="1" x14ac:dyDescent="0.2">
      <c r="A34" s="125"/>
      <c r="B34" s="36"/>
      <c r="C34" s="37"/>
      <c r="D34" s="38"/>
      <c r="E34" s="38"/>
      <c r="F34" s="127"/>
      <c r="G34" s="127"/>
      <c r="H34" s="206"/>
      <c r="I34" s="171"/>
      <c r="J34" s="33"/>
      <c r="K34" s="33"/>
    </row>
    <row r="35" spans="1:11" ht="13.5" customHeight="1" x14ac:dyDescent="0.2">
      <c r="A35" s="178"/>
      <c r="B35" s="179"/>
      <c r="C35" s="180"/>
      <c r="D35" s="181"/>
      <c r="E35" s="181"/>
      <c r="F35" s="132" t="s">
        <v>123</v>
      </c>
      <c r="G35" s="132">
        <f>SUM(G5:G34)</f>
        <v>0</v>
      </c>
      <c r="H35" s="338">
        <f>SUM(H7:H34)</f>
        <v>1</v>
      </c>
      <c r="I35" s="183"/>
      <c r="J35" s="33"/>
      <c r="K35" s="33"/>
    </row>
    <row r="36" spans="1:11" ht="13.5" customHeight="1" x14ac:dyDescent="0.2">
      <c r="A36" s="33"/>
      <c r="B36" s="33"/>
      <c r="C36" s="33"/>
      <c r="D36" s="33"/>
      <c r="E36" s="33"/>
      <c r="F36" s="33"/>
      <c r="G36" s="133"/>
      <c r="H36" s="133"/>
      <c r="I36" s="133"/>
      <c r="J36" s="33"/>
      <c r="K36" s="33"/>
    </row>
    <row r="37" spans="1:11" ht="13.5" customHeight="1" x14ac:dyDescent="0.2">
      <c r="A37" s="33"/>
      <c r="B37" s="33"/>
      <c r="C37" s="33"/>
      <c r="D37" s="33"/>
      <c r="E37" s="33"/>
      <c r="F37" s="1169" t="s">
        <v>8</v>
      </c>
      <c r="G37" s="1170"/>
      <c r="H37" s="184">
        <f>G35-H35</f>
        <v>-1</v>
      </c>
      <c r="I37" s="133"/>
      <c r="J37" s="33"/>
      <c r="K37" s="33"/>
    </row>
  </sheetData>
  <mergeCells count="3">
    <mergeCell ref="F37:G37"/>
    <mergeCell ref="J1:J3"/>
    <mergeCell ref="C1:H5"/>
  </mergeCells>
  <hyperlinks>
    <hyperlink ref="J1:J3" location="'ANA SAYFA'!A1" display="ANA SAYFA"/>
  </hyperlinks>
  <pageMargins left="0.41" right="0.12" top="0.27" bottom="0.75" header="0.3" footer="0.3"/>
  <pageSetup paperSize="9" scale="70" orientation="portrait" r:id="rId1"/>
  <colBreaks count="1" manualBreakCount="1">
    <brk id="8"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6"/>
  <sheetViews>
    <sheetView zoomScaleNormal="100" workbookViewId="0">
      <pane ySplit="6" topLeftCell="A34" activePane="bottomLeft" state="frozen"/>
      <selection pane="bottomLeft" activeCell="J1" sqref="J1:J3"/>
    </sheetView>
  </sheetViews>
  <sheetFormatPr defaultColWidth="9.140625" defaultRowHeight="11.25" x14ac:dyDescent="0.2"/>
  <cols>
    <col min="1" max="1" width="18.140625" style="120" bestFit="1" customWidth="1"/>
    <col min="2" max="2" width="26.7109375" style="120" bestFit="1" customWidth="1"/>
    <col min="3" max="3" width="26.5703125" style="120" bestFit="1" customWidth="1"/>
    <col min="4" max="5" width="8.7109375" style="120" customWidth="1"/>
    <col min="6" max="6" width="18" style="120" bestFit="1" customWidth="1"/>
    <col min="7" max="7" width="14.28515625" style="120" customWidth="1"/>
    <col min="8" max="8" width="12.5703125" style="120" bestFit="1" customWidth="1"/>
    <col min="9" max="9" width="4.140625" style="120" customWidth="1"/>
    <col min="10" max="10" width="11.5703125" style="120" customWidth="1"/>
    <col min="11" max="11" width="12.5703125" style="120" customWidth="1"/>
    <col min="12" max="12" width="12.42578125" style="120" bestFit="1" customWidth="1"/>
    <col min="13" max="16384" width="9.140625" style="120"/>
  </cols>
  <sheetData>
    <row r="1" spans="1:12" ht="12.75" customHeight="1" x14ac:dyDescent="0.2">
      <c r="A1" s="135" t="s">
        <v>135</v>
      </c>
      <c r="B1" s="193" t="str">
        <f>'ANA SAYFA'!B27</f>
        <v>MESUT YILMAZ</v>
      </c>
      <c r="C1" s="1166" t="s">
        <v>136</v>
      </c>
      <c r="D1" s="1166"/>
      <c r="E1" s="1166"/>
      <c r="F1" s="1166"/>
      <c r="G1" s="1166"/>
      <c r="H1" s="1166"/>
      <c r="I1" s="119"/>
      <c r="J1" s="1183" t="s">
        <v>712</v>
      </c>
      <c r="K1" s="33"/>
    </row>
    <row r="2" spans="1:12" ht="12.75" customHeight="1" x14ac:dyDescent="0.2">
      <c r="A2" s="135" t="s">
        <v>137</v>
      </c>
      <c r="B2" s="186">
        <f>'ANA SAYFA'!D27</f>
        <v>39817657916</v>
      </c>
      <c r="C2" s="1166"/>
      <c r="D2" s="1166"/>
      <c r="E2" s="1166"/>
      <c r="F2" s="1166"/>
      <c r="G2" s="1166"/>
      <c r="H2" s="1166"/>
      <c r="I2" s="119"/>
      <c r="J2" s="1184"/>
      <c r="K2" s="33"/>
    </row>
    <row r="3" spans="1:12" ht="12.75" customHeight="1" thickBot="1" x14ac:dyDescent="0.25">
      <c r="A3" s="135" t="s">
        <v>131</v>
      </c>
      <c r="B3" s="187" t="str">
        <f>'ANA SAYFA'!C27</f>
        <v>USTA YARDIMCISI</v>
      </c>
      <c r="C3" s="1166"/>
      <c r="D3" s="1166"/>
      <c r="E3" s="1166"/>
      <c r="F3" s="1166"/>
      <c r="G3" s="1166"/>
      <c r="H3" s="1166"/>
      <c r="I3" s="119"/>
      <c r="J3" s="1185"/>
      <c r="K3" s="33"/>
    </row>
    <row r="4" spans="1:12" ht="12.75" customHeight="1" x14ac:dyDescent="0.2">
      <c r="A4" s="135" t="s">
        <v>120</v>
      </c>
      <c r="B4" s="136">
        <f>'ANA SAYFA'!E27</f>
        <v>41803</v>
      </c>
      <c r="C4" s="1166"/>
      <c r="D4" s="1166"/>
      <c r="E4" s="1166"/>
      <c r="F4" s="1166"/>
      <c r="G4" s="1166"/>
      <c r="H4" s="1166"/>
      <c r="I4" s="119"/>
      <c r="J4" s="33"/>
      <c r="K4" s="33"/>
    </row>
    <row r="5" spans="1:12" ht="12.75" customHeight="1" x14ac:dyDescent="0.2">
      <c r="A5" s="135" t="s">
        <v>130</v>
      </c>
      <c r="B5" s="136">
        <f>'ANA SAYFA'!F27</f>
        <v>31925</v>
      </c>
      <c r="C5" s="1166"/>
      <c r="D5" s="1166"/>
      <c r="E5" s="1166"/>
      <c r="F5" s="1166"/>
      <c r="G5" s="1166"/>
      <c r="H5" s="1166"/>
      <c r="I5" s="119"/>
      <c r="J5" s="914"/>
      <c r="L5" s="934"/>
    </row>
    <row r="6" spans="1:12" ht="42" x14ac:dyDescent="0.2">
      <c r="A6" s="69" t="s">
        <v>0</v>
      </c>
      <c r="B6" s="70" t="s">
        <v>1</v>
      </c>
      <c r="C6" s="69" t="s">
        <v>2</v>
      </c>
      <c r="D6" s="71" t="s">
        <v>133</v>
      </c>
      <c r="E6" s="71" t="s">
        <v>4</v>
      </c>
      <c r="F6" s="71" t="s">
        <v>7</v>
      </c>
      <c r="G6" s="71" t="s">
        <v>6</v>
      </c>
      <c r="H6" s="71" t="s">
        <v>16</v>
      </c>
      <c r="I6" s="34"/>
      <c r="J6" s="958" t="s">
        <v>869</v>
      </c>
      <c r="L6" s="934"/>
    </row>
    <row r="7" spans="1:12" ht="12.75" customHeight="1" x14ac:dyDescent="0.2">
      <c r="A7" s="121"/>
      <c r="B7" s="36">
        <v>42223</v>
      </c>
      <c r="C7" s="37">
        <v>42237</v>
      </c>
      <c r="D7" s="38">
        <v>0.33333333333333331</v>
      </c>
      <c r="E7" s="38">
        <v>0.33333333333333331</v>
      </c>
      <c r="F7" s="204" t="s">
        <v>18</v>
      </c>
      <c r="G7" s="123">
        <v>14</v>
      </c>
      <c r="H7" s="115">
        <v>12</v>
      </c>
      <c r="I7" s="171"/>
      <c r="J7" s="33"/>
      <c r="K7" s="33" t="s">
        <v>38</v>
      </c>
      <c r="L7" s="120" t="s">
        <v>867</v>
      </c>
    </row>
    <row r="8" spans="1:12" ht="12.75" customHeight="1" x14ac:dyDescent="0.2">
      <c r="A8" s="121"/>
      <c r="B8" s="36">
        <v>42688</v>
      </c>
      <c r="C8" s="37">
        <v>42705</v>
      </c>
      <c r="D8" s="38">
        <v>0.33333333333333331</v>
      </c>
      <c r="E8" s="38">
        <v>0.33333333333333331</v>
      </c>
      <c r="F8" s="204" t="s">
        <v>24</v>
      </c>
      <c r="G8" s="123">
        <v>14</v>
      </c>
      <c r="H8" s="115">
        <v>15</v>
      </c>
      <c r="I8" s="171"/>
      <c r="J8" s="914">
        <v>45812</v>
      </c>
      <c r="K8" s="954" t="s">
        <v>793</v>
      </c>
      <c r="L8" s="934">
        <v>100000</v>
      </c>
    </row>
    <row r="9" spans="1:12" ht="12.75" customHeight="1" x14ac:dyDescent="0.2">
      <c r="A9" s="128"/>
      <c r="B9" s="36">
        <v>42917</v>
      </c>
      <c r="C9" s="129">
        <v>42929</v>
      </c>
      <c r="D9" s="38">
        <v>0.33333333333333331</v>
      </c>
      <c r="E9" s="38">
        <v>0.33333333333333331</v>
      </c>
      <c r="F9" s="204" t="s">
        <v>40</v>
      </c>
      <c r="G9" s="123">
        <v>14</v>
      </c>
      <c r="H9" s="123">
        <v>10</v>
      </c>
      <c r="I9" s="171"/>
      <c r="J9" s="914">
        <v>45884</v>
      </c>
      <c r="K9" s="954" t="s">
        <v>793</v>
      </c>
      <c r="L9" s="934">
        <v>60000</v>
      </c>
    </row>
    <row r="10" spans="1:12" ht="12.75" customHeight="1" x14ac:dyDescent="0.2">
      <c r="A10" s="128"/>
      <c r="B10" s="36">
        <v>43437</v>
      </c>
      <c r="C10" s="129">
        <v>43460</v>
      </c>
      <c r="D10" s="38">
        <v>0.33333333333333331</v>
      </c>
      <c r="E10" s="38">
        <v>0.33333333333333331</v>
      </c>
      <c r="F10" s="204" t="s">
        <v>41</v>
      </c>
      <c r="G10" s="123">
        <v>14</v>
      </c>
      <c r="H10" s="123">
        <v>20</v>
      </c>
      <c r="I10" s="171"/>
      <c r="J10" s="955" t="s">
        <v>868</v>
      </c>
      <c r="K10" s="33"/>
      <c r="L10" s="934">
        <v>351598</v>
      </c>
    </row>
    <row r="11" spans="1:12" ht="12.75" customHeight="1" x14ac:dyDescent="0.2">
      <c r="A11" s="125"/>
      <c r="B11" s="172">
        <v>43752</v>
      </c>
      <c r="C11" s="173">
        <v>43770</v>
      </c>
      <c r="D11" s="38">
        <v>0.33333333333333331</v>
      </c>
      <c r="E11" s="38">
        <v>0.33333333333333331</v>
      </c>
      <c r="F11" s="204" t="s">
        <v>60</v>
      </c>
      <c r="G11" s="127">
        <v>14</v>
      </c>
      <c r="H11" s="127">
        <v>16</v>
      </c>
      <c r="I11" s="171"/>
      <c r="J11" s="958" t="s">
        <v>869</v>
      </c>
      <c r="K11" s="956"/>
      <c r="L11" s="957"/>
    </row>
    <row r="12" spans="1:12" ht="12.75" customHeight="1" x14ac:dyDescent="0.2">
      <c r="A12" s="125"/>
      <c r="B12" s="172">
        <v>44018</v>
      </c>
      <c r="C12" s="173">
        <v>44043</v>
      </c>
      <c r="D12" s="38">
        <v>0.33333333333333331</v>
      </c>
      <c r="E12" s="38">
        <v>0.33333333333333331</v>
      </c>
      <c r="F12" s="204" t="s">
        <v>70</v>
      </c>
      <c r="G12" s="127">
        <v>20</v>
      </c>
      <c r="H12" s="127">
        <v>22</v>
      </c>
      <c r="I12" s="171"/>
      <c r="J12" s="33"/>
      <c r="K12" s="33"/>
    </row>
    <row r="13" spans="1:12" ht="12.75" customHeight="1" x14ac:dyDescent="0.2">
      <c r="A13" s="174"/>
      <c r="B13" s="36">
        <v>44422</v>
      </c>
      <c r="C13" s="37">
        <v>44438</v>
      </c>
      <c r="D13" s="38">
        <v>0.33333333333333331</v>
      </c>
      <c r="E13" s="38">
        <v>0.33333333333333331</v>
      </c>
      <c r="F13" s="204" t="s">
        <v>82</v>
      </c>
      <c r="G13" s="127">
        <v>20</v>
      </c>
      <c r="H13" s="127">
        <v>13</v>
      </c>
      <c r="I13" s="171"/>
      <c r="J13" s="33"/>
      <c r="K13" s="33"/>
    </row>
    <row r="14" spans="1:12" ht="12.75" customHeight="1" x14ac:dyDescent="0.2">
      <c r="A14" s="174"/>
      <c r="B14" s="36">
        <v>44568</v>
      </c>
      <c r="C14" s="37">
        <v>44569</v>
      </c>
      <c r="D14" s="38">
        <v>0.33333333333333331</v>
      </c>
      <c r="E14" s="38">
        <v>0.33333333333333331</v>
      </c>
      <c r="F14" s="204" t="s">
        <v>377</v>
      </c>
      <c r="G14" s="127">
        <v>20</v>
      </c>
      <c r="H14" s="127">
        <v>1</v>
      </c>
      <c r="I14" s="171"/>
      <c r="J14" s="33"/>
      <c r="K14" s="33"/>
    </row>
    <row r="15" spans="1:12" ht="12.75" customHeight="1" x14ac:dyDescent="0.2">
      <c r="A15" s="125"/>
      <c r="B15" s="36">
        <v>44637</v>
      </c>
      <c r="C15" s="37">
        <v>44639</v>
      </c>
      <c r="D15" s="38">
        <v>0.33333333333333331</v>
      </c>
      <c r="E15" s="38">
        <v>0.33333333333333331</v>
      </c>
      <c r="F15" s="204" t="s">
        <v>429</v>
      </c>
      <c r="G15" s="127">
        <v>20</v>
      </c>
      <c r="H15" s="127">
        <v>2</v>
      </c>
      <c r="I15" s="171"/>
      <c r="J15" s="33"/>
      <c r="K15" s="33"/>
    </row>
    <row r="16" spans="1:12" ht="12.75" customHeight="1" x14ac:dyDescent="0.2">
      <c r="A16" s="125"/>
      <c r="B16" s="36">
        <v>44712</v>
      </c>
      <c r="C16" s="37">
        <v>44713</v>
      </c>
      <c r="D16" s="38">
        <v>0.33333333333333331</v>
      </c>
      <c r="E16" s="38">
        <v>0.33333333333333331</v>
      </c>
      <c r="F16" s="176" t="s">
        <v>572</v>
      </c>
      <c r="G16" s="127">
        <v>20</v>
      </c>
      <c r="H16" s="127">
        <v>1</v>
      </c>
      <c r="I16" s="171"/>
      <c r="J16" s="33"/>
      <c r="K16" s="33"/>
    </row>
    <row r="17" spans="1:11" ht="12.75" customHeight="1" x14ac:dyDescent="0.2">
      <c r="A17" s="125"/>
      <c r="B17" s="36">
        <v>44755</v>
      </c>
      <c r="C17" s="37">
        <v>44760</v>
      </c>
      <c r="D17" s="38">
        <v>0.33333333333333331</v>
      </c>
      <c r="E17" s="38">
        <v>0.33333333333333331</v>
      </c>
      <c r="F17" s="742" t="s">
        <v>816</v>
      </c>
      <c r="G17" s="709">
        <v>20</v>
      </c>
      <c r="H17" s="127">
        <v>4</v>
      </c>
      <c r="I17" s="171"/>
      <c r="J17" s="33"/>
      <c r="K17" s="33"/>
    </row>
    <row r="18" spans="1:11" ht="12.75" customHeight="1" x14ac:dyDescent="0.2">
      <c r="A18" s="125"/>
      <c r="B18" s="36">
        <v>44779</v>
      </c>
      <c r="C18" s="37">
        <v>44781</v>
      </c>
      <c r="D18" s="38">
        <v>0.33333333333333331</v>
      </c>
      <c r="E18" s="38">
        <v>0.33333333333333331</v>
      </c>
      <c r="F18" s="176"/>
      <c r="G18" s="127"/>
      <c r="H18" s="127">
        <v>2</v>
      </c>
      <c r="I18" s="171"/>
      <c r="J18" s="33"/>
      <c r="K18" s="33"/>
    </row>
    <row r="19" spans="1:11" ht="12.75" customHeight="1" x14ac:dyDescent="0.2">
      <c r="A19" s="125"/>
      <c r="B19" s="36">
        <v>45008</v>
      </c>
      <c r="C19" s="37">
        <v>45012</v>
      </c>
      <c r="D19" s="38">
        <v>0.33333333333333331</v>
      </c>
      <c r="E19" s="38">
        <v>0.33333333333333331</v>
      </c>
      <c r="F19" s="176"/>
      <c r="G19" s="127"/>
      <c r="H19" s="127">
        <v>3</v>
      </c>
      <c r="I19" s="171"/>
      <c r="J19" s="33"/>
      <c r="K19" s="33"/>
    </row>
    <row r="20" spans="1:11" ht="12.75" customHeight="1" x14ac:dyDescent="0.2">
      <c r="A20" s="125"/>
      <c r="B20" s="36">
        <v>45031</v>
      </c>
      <c r="C20" s="37">
        <v>45033</v>
      </c>
      <c r="D20" s="38">
        <v>0.5</v>
      </c>
      <c r="E20" s="38">
        <v>0.33333333333333331</v>
      </c>
      <c r="F20" s="176"/>
      <c r="G20" s="123"/>
      <c r="H20" s="233">
        <v>0.5</v>
      </c>
      <c r="I20" s="177"/>
      <c r="J20" s="33"/>
      <c r="K20" s="33"/>
    </row>
    <row r="21" spans="1:11" ht="12.75" customHeight="1" x14ac:dyDescent="0.2">
      <c r="A21" s="198"/>
      <c r="B21" s="36">
        <v>45110</v>
      </c>
      <c r="C21" s="37">
        <v>45111</v>
      </c>
      <c r="D21" s="38">
        <v>0.33333333333333331</v>
      </c>
      <c r="E21" s="38">
        <v>0.33333333333333331</v>
      </c>
      <c r="F21" s="78"/>
      <c r="G21" s="123"/>
      <c r="H21" s="127">
        <v>1</v>
      </c>
    </row>
    <row r="22" spans="1:11" ht="12.75" customHeight="1" x14ac:dyDescent="0.2">
      <c r="A22" s="198"/>
      <c r="B22" s="36">
        <v>45119</v>
      </c>
      <c r="C22" s="37">
        <v>45124</v>
      </c>
      <c r="D22" s="38">
        <v>0.5</v>
      </c>
      <c r="E22" s="38">
        <v>0.33333333333333331</v>
      </c>
      <c r="F22" s="78"/>
      <c r="G22" s="123"/>
      <c r="H22" s="206">
        <v>3.5</v>
      </c>
    </row>
    <row r="23" spans="1:11" ht="12.75" customHeight="1" x14ac:dyDescent="0.2">
      <c r="A23" s="198"/>
      <c r="B23" s="36">
        <v>45150</v>
      </c>
      <c r="C23" s="37">
        <v>45159</v>
      </c>
      <c r="D23" s="38">
        <v>0.33333333333333331</v>
      </c>
      <c r="E23" s="38">
        <v>0.33333333333333331</v>
      </c>
      <c r="F23" s="78"/>
      <c r="G23" s="123"/>
      <c r="H23" s="127">
        <v>7</v>
      </c>
    </row>
    <row r="24" spans="1:11" ht="12.75" customHeight="1" x14ac:dyDescent="0.2">
      <c r="A24" s="198"/>
      <c r="B24" s="36">
        <v>45196</v>
      </c>
      <c r="C24" s="37">
        <v>45201</v>
      </c>
      <c r="D24" s="38">
        <v>0.33333333333333331</v>
      </c>
      <c r="E24" s="38">
        <v>0.33333333333333331</v>
      </c>
      <c r="F24" s="78"/>
      <c r="G24" s="123"/>
      <c r="H24" s="127">
        <v>4</v>
      </c>
    </row>
    <row r="25" spans="1:11" ht="12.75" customHeight="1" x14ac:dyDescent="0.2">
      <c r="A25" s="198"/>
      <c r="B25" s="36">
        <v>45269</v>
      </c>
      <c r="C25" s="37">
        <v>45271</v>
      </c>
      <c r="D25" s="38">
        <v>0.33333333333333331</v>
      </c>
      <c r="E25" s="38">
        <v>0.33333333333333331</v>
      </c>
      <c r="F25" s="78"/>
      <c r="G25" s="123"/>
      <c r="H25" s="127">
        <v>1</v>
      </c>
    </row>
    <row r="26" spans="1:11" ht="12.75" customHeight="1" x14ac:dyDescent="0.2">
      <c r="A26" s="198"/>
      <c r="B26" s="36">
        <v>45290</v>
      </c>
      <c r="C26" s="37">
        <v>45293</v>
      </c>
      <c r="D26" s="38">
        <v>0.33333333333333331</v>
      </c>
      <c r="E26" s="38">
        <v>0.33333333333333331</v>
      </c>
      <c r="F26" s="78"/>
      <c r="G26" s="123"/>
      <c r="H26" s="127">
        <v>1</v>
      </c>
    </row>
    <row r="27" spans="1:11" ht="12.75" customHeight="1" x14ac:dyDescent="0.2">
      <c r="A27" s="198"/>
      <c r="B27" s="36" t="s">
        <v>501</v>
      </c>
      <c r="C27" s="37" t="s">
        <v>502</v>
      </c>
      <c r="D27" s="38">
        <v>0.33333333333333331</v>
      </c>
      <c r="E27" s="38">
        <v>0.33333333333333331</v>
      </c>
      <c r="F27" s="78"/>
      <c r="G27" s="123"/>
      <c r="H27" s="127">
        <v>7</v>
      </c>
    </row>
    <row r="28" spans="1:11" ht="12.75" customHeight="1" x14ac:dyDescent="0.2">
      <c r="A28" s="198"/>
      <c r="B28" s="36">
        <v>45463</v>
      </c>
      <c r="C28" s="37">
        <v>45464</v>
      </c>
      <c r="D28" s="38"/>
      <c r="E28" s="38"/>
      <c r="F28" s="78"/>
      <c r="G28" s="123"/>
      <c r="H28" s="127">
        <v>2</v>
      </c>
    </row>
    <row r="29" spans="1:11" ht="12.75" customHeight="1" x14ac:dyDescent="0.2">
      <c r="A29" s="198"/>
      <c r="B29" s="36">
        <v>45467</v>
      </c>
      <c r="C29" s="37">
        <v>45468</v>
      </c>
      <c r="D29" s="38"/>
      <c r="E29" s="38"/>
      <c r="F29" s="78"/>
      <c r="G29" s="123"/>
      <c r="H29" s="127">
        <v>2</v>
      </c>
    </row>
    <row r="30" spans="1:11" ht="12.75" customHeight="1" x14ac:dyDescent="0.2">
      <c r="A30" s="198"/>
      <c r="B30" s="36">
        <v>45488</v>
      </c>
      <c r="C30" s="37">
        <v>45488</v>
      </c>
      <c r="D30" s="38"/>
      <c r="E30" s="38"/>
      <c r="F30" s="78"/>
      <c r="G30" s="123"/>
      <c r="H30" s="127">
        <v>1</v>
      </c>
    </row>
    <row r="31" spans="1:11" ht="12.75" customHeight="1" x14ac:dyDescent="0.2">
      <c r="A31" s="198"/>
      <c r="B31" s="36">
        <v>45518</v>
      </c>
      <c r="C31" s="37">
        <v>45521</v>
      </c>
      <c r="D31" s="38"/>
      <c r="E31" s="38"/>
      <c r="F31" s="176"/>
      <c r="G31" s="123"/>
      <c r="H31" s="127">
        <v>4</v>
      </c>
    </row>
    <row r="32" spans="1:11" ht="12.75" customHeight="1" x14ac:dyDescent="0.2">
      <c r="A32" s="198"/>
      <c r="B32" s="36">
        <v>45563</v>
      </c>
      <c r="C32" s="37">
        <v>45563</v>
      </c>
      <c r="D32" s="38"/>
      <c r="E32" s="38"/>
      <c r="F32" s="176"/>
      <c r="G32" s="123"/>
      <c r="H32" s="127">
        <v>1</v>
      </c>
    </row>
    <row r="33" spans="1:10" ht="12.75" customHeight="1" x14ac:dyDescent="0.2">
      <c r="A33" s="198"/>
      <c r="B33" s="520">
        <v>45584</v>
      </c>
      <c r="C33" s="37">
        <v>45584</v>
      </c>
      <c r="D33" s="38"/>
      <c r="E33" s="38"/>
      <c r="F33" s="176"/>
      <c r="G33" s="123"/>
      <c r="H33" s="127">
        <v>1</v>
      </c>
    </row>
    <row r="34" spans="1:10" ht="12.75" customHeight="1" x14ac:dyDescent="0.2">
      <c r="A34" s="198"/>
      <c r="B34" s="520">
        <v>45681</v>
      </c>
      <c r="C34" s="37">
        <v>45681</v>
      </c>
      <c r="D34" s="38"/>
      <c r="E34" s="38"/>
      <c r="F34" s="176"/>
      <c r="G34" s="123"/>
      <c r="H34" s="127">
        <v>1</v>
      </c>
    </row>
    <row r="35" spans="1:10" ht="12.75" customHeight="1" x14ac:dyDescent="0.2">
      <c r="A35" s="198"/>
      <c r="B35" s="520">
        <v>45689</v>
      </c>
      <c r="C35" s="37">
        <v>45689</v>
      </c>
      <c r="D35" s="38"/>
      <c r="E35" s="38"/>
      <c r="F35" s="176"/>
      <c r="G35" s="123"/>
      <c r="H35" s="127">
        <v>1</v>
      </c>
    </row>
    <row r="36" spans="1:10" ht="12.75" customHeight="1" x14ac:dyDescent="0.2">
      <c r="A36" s="198"/>
      <c r="B36" s="520">
        <v>45738</v>
      </c>
      <c r="C36" s="37">
        <v>45738</v>
      </c>
      <c r="D36" s="38"/>
      <c r="E36" s="38"/>
      <c r="F36" s="176"/>
      <c r="G36" s="123"/>
      <c r="H36" s="127">
        <v>1</v>
      </c>
    </row>
    <row r="37" spans="1:10" ht="12.75" customHeight="1" x14ac:dyDescent="0.2">
      <c r="A37" s="198"/>
      <c r="B37" s="520" t="s">
        <v>766</v>
      </c>
      <c r="C37" s="880" t="s">
        <v>766</v>
      </c>
      <c r="D37" s="38"/>
      <c r="E37" s="38"/>
      <c r="F37" s="176"/>
      <c r="G37" s="123"/>
      <c r="H37" s="127">
        <v>1</v>
      </c>
    </row>
    <row r="38" spans="1:10" ht="12.75" customHeight="1" x14ac:dyDescent="0.2">
      <c r="A38" s="198"/>
      <c r="B38" s="520">
        <v>45857</v>
      </c>
      <c r="C38" s="37">
        <v>45857</v>
      </c>
      <c r="D38" s="38"/>
      <c r="E38" s="38"/>
      <c r="F38" s="176"/>
      <c r="G38" s="123"/>
      <c r="H38" s="127">
        <v>1</v>
      </c>
    </row>
    <row r="39" spans="1:10" ht="12.75" customHeight="1" x14ac:dyDescent="0.2">
      <c r="A39" s="198"/>
      <c r="B39" s="520">
        <v>45871</v>
      </c>
      <c r="C39" s="37">
        <v>45873</v>
      </c>
      <c r="D39" s="38">
        <v>0.33333333333333331</v>
      </c>
      <c r="E39" s="38">
        <v>0.33333333333333331</v>
      </c>
      <c r="F39" s="176"/>
      <c r="G39" s="123"/>
      <c r="H39" s="206">
        <v>0.5</v>
      </c>
    </row>
    <row r="40" spans="1:10" ht="12.75" customHeight="1" x14ac:dyDescent="0.2">
      <c r="A40" s="198"/>
      <c r="B40" s="520">
        <v>45885</v>
      </c>
      <c r="C40" s="37">
        <v>45901</v>
      </c>
      <c r="D40" s="676">
        <v>0.33333333333333331</v>
      </c>
      <c r="E40" s="676">
        <v>0.33333333333333331</v>
      </c>
      <c r="F40" s="176"/>
      <c r="G40" s="123"/>
      <c r="H40" s="127">
        <v>12</v>
      </c>
    </row>
    <row r="41" spans="1:10" ht="12.75" customHeight="1" x14ac:dyDescent="0.2">
      <c r="A41" s="198"/>
      <c r="B41" s="520">
        <v>45931</v>
      </c>
      <c r="C41" s="37">
        <v>45933</v>
      </c>
      <c r="D41" s="38">
        <v>0.33333333333333331</v>
      </c>
      <c r="E41" s="38">
        <v>0.33333333333333331</v>
      </c>
      <c r="F41" s="176"/>
      <c r="G41" s="123"/>
      <c r="H41" s="127">
        <v>2</v>
      </c>
    </row>
    <row r="42" spans="1:10" ht="12.75" customHeight="1" x14ac:dyDescent="0.2">
      <c r="A42" s="198"/>
      <c r="B42" s="520">
        <v>45962</v>
      </c>
      <c r="C42" s="37">
        <v>45964</v>
      </c>
      <c r="D42" s="676">
        <v>0.33333333333333331</v>
      </c>
      <c r="E42" s="676">
        <v>0.33333333333333331</v>
      </c>
      <c r="F42" s="176"/>
      <c r="G42" s="123"/>
      <c r="H42" s="127">
        <v>1</v>
      </c>
    </row>
    <row r="43" spans="1:10" ht="12.75" customHeight="1" x14ac:dyDescent="0.2">
      <c r="A43" s="198"/>
      <c r="B43" s="520">
        <v>46025</v>
      </c>
      <c r="C43" s="37">
        <v>46027</v>
      </c>
      <c r="D43" s="38"/>
      <c r="E43" s="38"/>
      <c r="F43" s="176"/>
      <c r="G43" s="123"/>
      <c r="H43" s="127">
        <v>1</v>
      </c>
    </row>
    <row r="44" spans="1:10" ht="12.75" customHeight="1" x14ac:dyDescent="0.2">
      <c r="A44" s="198"/>
      <c r="B44" s="520">
        <v>46039</v>
      </c>
      <c r="C44" s="37">
        <v>46041</v>
      </c>
      <c r="D44" s="38"/>
      <c r="E44" s="38"/>
      <c r="F44" s="176"/>
      <c r="G44" s="123"/>
      <c r="H44" s="127">
        <v>1</v>
      </c>
    </row>
    <row r="45" spans="1:10" ht="12.75" customHeight="1" x14ac:dyDescent="0.2">
      <c r="A45" s="198"/>
      <c r="B45" s="520">
        <v>46053</v>
      </c>
      <c r="C45" s="37">
        <v>46055</v>
      </c>
      <c r="D45" s="38"/>
      <c r="E45" s="38"/>
      <c r="F45" s="176"/>
      <c r="G45" s="123"/>
      <c r="H45" s="127">
        <v>1</v>
      </c>
    </row>
    <row r="46" spans="1:10" s="706" customFormat="1" ht="12.75" customHeight="1" x14ac:dyDescent="0.2">
      <c r="A46" s="198"/>
      <c r="B46" s="1034">
        <v>46095</v>
      </c>
      <c r="C46" s="675">
        <v>46104</v>
      </c>
      <c r="D46" s="676"/>
      <c r="E46" s="676"/>
      <c r="F46" s="742"/>
      <c r="G46" s="123"/>
      <c r="H46" s="709">
        <v>4</v>
      </c>
    </row>
    <row r="47" spans="1:10" s="706" customFormat="1" ht="12.75" customHeight="1" x14ac:dyDescent="0.2">
      <c r="A47" s="198"/>
      <c r="B47" s="1034">
        <v>46139</v>
      </c>
      <c r="C47" s="675">
        <v>46140</v>
      </c>
      <c r="D47" s="676"/>
      <c r="E47" s="676"/>
      <c r="F47" s="742"/>
      <c r="G47" s="123"/>
      <c r="H47" s="709">
        <v>1</v>
      </c>
      <c r="J47" s="706" t="s">
        <v>830</v>
      </c>
    </row>
    <row r="48" spans="1:10" s="706" customFormat="1" ht="12.75" customHeight="1" x14ac:dyDescent="0.2">
      <c r="A48" s="198"/>
      <c r="B48" s="1034">
        <v>46196</v>
      </c>
      <c r="C48" s="675">
        <v>46197</v>
      </c>
      <c r="D48" s="676"/>
      <c r="E48" s="676"/>
      <c r="F48" s="742"/>
      <c r="G48" s="123"/>
      <c r="H48" s="709">
        <v>1</v>
      </c>
    </row>
    <row r="49" spans="1:8" s="706" customFormat="1" ht="12.75" customHeight="1" x14ac:dyDescent="0.2">
      <c r="A49" s="198"/>
      <c r="B49" s="1034"/>
      <c r="C49" s="675"/>
      <c r="D49" s="676"/>
      <c r="E49" s="676"/>
      <c r="F49" s="742"/>
      <c r="G49" s="123"/>
      <c r="H49" s="709"/>
    </row>
    <row r="50" spans="1:8" s="706" customFormat="1" ht="12.75" customHeight="1" x14ac:dyDescent="0.2">
      <c r="A50" s="198"/>
      <c r="B50" s="1034"/>
      <c r="C50" s="675"/>
      <c r="D50" s="676"/>
      <c r="E50" s="676"/>
      <c r="F50" s="742"/>
      <c r="G50" s="123"/>
      <c r="H50" s="709"/>
    </row>
    <row r="51" spans="1:8" s="706" customFormat="1" ht="12.75" customHeight="1" x14ac:dyDescent="0.2">
      <c r="A51" s="198"/>
      <c r="B51" s="1034"/>
      <c r="C51" s="675"/>
      <c r="D51" s="676"/>
      <c r="E51" s="676"/>
      <c r="F51" s="742"/>
      <c r="G51" s="123"/>
      <c r="H51" s="709"/>
    </row>
    <row r="52" spans="1:8" s="706" customFormat="1" ht="12.75" customHeight="1" x14ac:dyDescent="0.2">
      <c r="A52" s="198"/>
      <c r="B52" s="1034"/>
      <c r="C52" s="675"/>
      <c r="D52" s="676"/>
      <c r="E52" s="676"/>
      <c r="F52" s="742"/>
      <c r="G52" s="123"/>
      <c r="H52" s="709"/>
    </row>
    <row r="53" spans="1:8" x14ac:dyDescent="0.2">
      <c r="A53" s="198"/>
      <c r="B53" s="198"/>
      <c r="C53" s="198"/>
      <c r="D53" s="198"/>
      <c r="E53" s="198"/>
      <c r="F53" s="176"/>
      <c r="G53" s="127"/>
      <c r="H53" s="127"/>
    </row>
    <row r="54" spans="1:8" x14ac:dyDescent="0.2">
      <c r="F54" s="213" t="s">
        <v>123</v>
      </c>
      <c r="G54" s="213">
        <f>SUM(G7:G53)</f>
        <v>190</v>
      </c>
      <c r="H54" s="219">
        <f>SUM(H7:H53)</f>
        <v>186.5</v>
      </c>
    </row>
    <row r="55" spans="1:8" x14ac:dyDescent="0.2">
      <c r="F55" s="33"/>
      <c r="G55" s="133"/>
      <c r="H55" s="133"/>
    </row>
    <row r="56" spans="1:8" x14ac:dyDescent="0.2">
      <c r="F56" s="1169" t="s">
        <v>8</v>
      </c>
      <c r="G56" s="1170"/>
      <c r="H56" s="134">
        <f>G54-H54</f>
        <v>3.5</v>
      </c>
    </row>
  </sheetData>
  <mergeCells count="3">
    <mergeCell ref="F56:G56"/>
    <mergeCell ref="J1:J3"/>
    <mergeCell ref="C1:H5"/>
  </mergeCells>
  <hyperlinks>
    <hyperlink ref="J1:J3" location="'ANA SAYFA'!A1" display="ANA SAYFA"/>
  </hyperlinks>
  <pageMargins left="0.7" right="0.13" top="0.28999999999999998" bottom="0.17" header="0.3" footer="0.15"/>
  <pageSetup paperSize="9" scale="71" orientation="portrait" r:id="rId1"/>
  <colBreaks count="1" manualBreakCount="1">
    <brk id="8" max="104857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zoomScaleNormal="100" workbookViewId="0">
      <selection activeCell="J1" sqref="J1:J3"/>
    </sheetView>
  </sheetViews>
  <sheetFormatPr defaultColWidth="9.140625" defaultRowHeight="11.25" x14ac:dyDescent="0.2"/>
  <cols>
    <col min="1" max="1" width="18.140625" style="120" bestFit="1" customWidth="1"/>
    <col min="2" max="2" width="33.28515625" style="120" bestFit="1" customWidth="1"/>
    <col min="3" max="3" width="26.42578125" style="120" bestFit="1" customWidth="1"/>
    <col min="4" max="5" width="8.85546875" style="120" customWidth="1"/>
    <col min="6" max="6" width="19.140625" style="120" customWidth="1"/>
    <col min="7" max="7" width="14.28515625" style="120" bestFit="1" customWidth="1"/>
    <col min="8" max="8" width="12.5703125" style="120" bestFit="1" customWidth="1"/>
    <col min="9" max="9" width="3.85546875" style="120" customWidth="1"/>
    <col min="10" max="10" width="11.28515625" style="120" customWidth="1"/>
    <col min="11" max="16384" width="9.140625" style="120"/>
  </cols>
  <sheetData>
    <row r="1" spans="1:11" ht="15" customHeight="1" x14ac:dyDescent="0.2">
      <c r="A1" s="135" t="s">
        <v>135</v>
      </c>
      <c r="B1" s="193" t="str">
        <f>'ANA SAYFA'!B28</f>
        <v>MUHAMMET MUSTAFA KOÇYİĞİT</v>
      </c>
      <c r="C1" s="1218" t="s">
        <v>136</v>
      </c>
      <c r="D1" s="1219"/>
      <c r="E1" s="1219"/>
      <c r="F1" s="1219"/>
      <c r="G1" s="1219"/>
      <c r="H1" s="1219"/>
      <c r="I1" s="119"/>
      <c r="J1" s="1183" t="s">
        <v>712</v>
      </c>
      <c r="K1" s="33"/>
    </row>
    <row r="2" spans="1:11" ht="15" customHeight="1" x14ac:dyDescent="0.2">
      <c r="A2" s="135" t="s">
        <v>137</v>
      </c>
      <c r="B2" s="186">
        <f>'ANA SAYFA'!D28</f>
        <v>41989739482</v>
      </c>
      <c r="C2" s="1218"/>
      <c r="D2" s="1219"/>
      <c r="E2" s="1219"/>
      <c r="F2" s="1219"/>
      <c r="G2" s="1219"/>
      <c r="H2" s="1219"/>
      <c r="I2" s="119"/>
      <c r="J2" s="1184"/>
      <c r="K2" s="33"/>
    </row>
    <row r="3" spans="1:11" ht="15" customHeight="1" thickBot="1" x14ac:dyDescent="0.25">
      <c r="A3" s="135" t="s">
        <v>131</v>
      </c>
      <c r="B3" s="187" t="str">
        <f>'ANA SAYFA'!C28</f>
        <v>KEPÇE OPERATÖR</v>
      </c>
      <c r="C3" s="1218"/>
      <c r="D3" s="1219"/>
      <c r="E3" s="1219"/>
      <c r="F3" s="1219"/>
      <c r="G3" s="1219"/>
      <c r="H3" s="1219"/>
      <c r="I3" s="119"/>
      <c r="J3" s="1185"/>
      <c r="K3" s="33"/>
    </row>
    <row r="4" spans="1:11" ht="15" customHeight="1" x14ac:dyDescent="0.2">
      <c r="A4" s="135" t="s">
        <v>120</v>
      </c>
      <c r="B4" s="136">
        <f>'ANA SAYFA'!E28</f>
        <v>43948</v>
      </c>
      <c r="C4" s="1218"/>
      <c r="D4" s="1219"/>
      <c r="E4" s="1219"/>
      <c r="F4" s="1219"/>
      <c r="G4" s="1219"/>
      <c r="H4" s="1219"/>
      <c r="I4" s="119"/>
      <c r="J4" s="33"/>
      <c r="K4" s="33"/>
    </row>
    <row r="5" spans="1:11" ht="15" customHeight="1" x14ac:dyDescent="0.2">
      <c r="A5" s="135" t="s">
        <v>130</v>
      </c>
      <c r="B5" s="136">
        <f>'ANA SAYFA'!F28</f>
        <v>33312</v>
      </c>
      <c r="C5" s="1220"/>
      <c r="D5" s="1221"/>
      <c r="E5" s="1221"/>
      <c r="F5" s="1221"/>
      <c r="G5" s="1221"/>
      <c r="H5" s="1221"/>
      <c r="I5" s="119"/>
      <c r="J5" s="706"/>
      <c r="K5" s="706"/>
    </row>
    <row r="6" spans="1:11" ht="31.5" x14ac:dyDescent="0.2">
      <c r="A6" s="69" t="s">
        <v>0</v>
      </c>
      <c r="B6" s="70" t="s">
        <v>1</v>
      </c>
      <c r="C6" s="69" t="s">
        <v>2</v>
      </c>
      <c r="D6" s="71" t="s">
        <v>133</v>
      </c>
      <c r="E6" s="71" t="s">
        <v>4</v>
      </c>
      <c r="F6" s="71" t="s">
        <v>7</v>
      </c>
      <c r="G6" s="71" t="s">
        <v>6</v>
      </c>
      <c r="H6" s="71" t="s">
        <v>16</v>
      </c>
      <c r="I6" s="34"/>
      <c r="J6" s="706"/>
      <c r="K6" s="706"/>
    </row>
    <row r="7" spans="1:11" ht="16.5" customHeight="1" x14ac:dyDescent="0.2">
      <c r="A7" s="121"/>
      <c r="B7" s="36">
        <v>43994</v>
      </c>
      <c r="C7" s="37">
        <v>43995</v>
      </c>
      <c r="D7" s="38">
        <v>0.33333333333333331</v>
      </c>
      <c r="E7" s="38">
        <v>0.33333333333333331</v>
      </c>
      <c r="F7" s="204" t="s">
        <v>378</v>
      </c>
      <c r="G7" s="126">
        <v>14</v>
      </c>
      <c r="H7" s="214">
        <v>1</v>
      </c>
      <c r="I7" s="171"/>
      <c r="J7" s="33"/>
      <c r="K7" s="33"/>
    </row>
    <row r="8" spans="1:11" ht="16.5" customHeight="1" x14ac:dyDescent="0.2">
      <c r="A8" s="121"/>
      <c r="B8" s="36">
        <v>44268</v>
      </c>
      <c r="C8" s="37">
        <v>44268</v>
      </c>
      <c r="D8" s="38">
        <v>0.54166666666666663</v>
      </c>
      <c r="E8" s="38" t="s">
        <v>232</v>
      </c>
      <c r="F8" s="204" t="s">
        <v>379</v>
      </c>
      <c r="G8" s="126">
        <v>14</v>
      </c>
      <c r="H8" s="214">
        <v>0.5</v>
      </c>
      <c r="I8" s="171"/>
      <c r="J8" s="33"/>
      <c r="K8" s="33"/>
    </row>
    <row r="9" spans="1:11" ht="16.5" customHeight="1" x14ac:dyDescent="0.2">
      <c r="A9" s="121"/>
      <c r="B9" s="1222" t="s">
        <v>634</v>
      </c>
      <c r="C9" s="1223"/>
      <c r="D9" s="1223"/>
      <c r="E9" s="1224"/>
      <c r="F9" s="204"/>
      <c r="G9" s="126"/>
      <c r="H9" s="214"/>
      <c r="I9" s="171"/>
      <c r="J9" s="33"/>
      <c r="K9" s="33"/>
    </row>
    <row r="10" spans="1:11" ht="16.5" customHeight="1" x14ac:dyDescent="0.2">
      <c r="A10" s="128"/>
      <c r="B10" s="36">
        <v>45152</v>
      </c>
      <c r="C10" s="129">
        <v>45155</v>
      </c>
      <c r="D10" s="38">
        <v>0.33333333333333331</v>
      </c>
      <c r="E10" s="38">
        <v>0.33333333333333331</v>
      </c>
      <c r="F10" s="204" t="s">
        <v>390</v>
      </c>
      <c r="G10" s="126">
        <v>14</v>
      </c>
      <c r="H10" s="215">
        <v>3</v>
      </c>
      <c r="I10" s="171"/>
      <c r="J10" s="33"/>
      <c r="K10" s="33"/>
    </row>
    <row r="11" spans="1:11" ht="16.5" customHeight="1" x14ac:dyDescent="0.2">
      <c r="A11" s="128"/>
      <c r="B11" s="36">
        <v>45210</v>
      </c>
      <c r="C11" s="37">
        <v>45211</v>
      </c>
      <c r="D11" s="38">
        <v>0.33333333333333331</v>
      </c>
      <c r="E11" s="38">
        <v>0.33333333333333331</v>
      </c>
      <c r="F11" s="176" t="s">
        <v>573</v>
      </c>
      <c r="G11" s="126">
        <v>14</v>
      </c>
      <c r="H11" s="208">
        <v>1</v>
      </c>
      <c r="I11" s="171"/>
      <c r="J11" s="33"/>
      <c r="K11" s="33"/>
    </row>
    <row r="12" spans="1:11" ht="16.5" customHeight="1" x14ac:dyDescent="0.2">
      <c r="A12" s="125"/>
      <c r="B12" s="36">
        <v>45220</v>
      </c>
      <c r="C12" s="37">
        <v>45222</v>
      </c>
      <c r="D12" s="38">
        <v>0.33333333333333331</v>
      </c>
      <c r="E12" s="38">
        <v>0.33333333333333331</v>
      </c>
      <c r="F12" s="176" t="s">
        <v>959</v>
      </c>
      <c r="G12" s="127">
        <v>14</v>
      </c>
      <c r="H12" s="208">
        <v>1</v>
      </c>
      <c r="I12" s="171"/>
      <c r="J12" s="33"/>
      <c r="K12" s="33"/>
    </row>
    <row r="13" spans="1:11" ht="16.5" customHeight="1" x14ac:dyDescent="0.2">
      <c r="A13" s="125"/>
      <c r="B13" s="36">
        <v>45234</v>
      </c>
      <c r="C13" s="37">
        <v>45236</v>
      </c>
      <c r="D13" s="38">
        <v>0.5</v>
      </c>
      <c r="E13" s="38">
        <v>0.33333333333333331</v>
      </c>
      <c r="F13" s="176"/>
      <c r="G13" s="127"/>
      <c r="H13" s="214">
        <v>0.5</v>
      </c>
      <c r="I13" s="171"/>
      <c r="J13" s="33"/>
      <c r="K13" s="33"/>
    </row>
    <row r="14" spans="1:11" ht="16.5" customHeight="1" x14ac:dyDescent="0.2">
      <c r="A14" s="174"/>
      <c r="B14" s="36">
        <v>45287</v>
      </c>
      <c r="C14" s="37">
        <v>45288</v>
      </c>
      <c r="D14" s="38">
        <v>0.33333333333333331</v>
      </c>
      <c r="E14" s="38">
        <v>0.33333333333333331</v>
      </c>
      <c r="F14" s="176"/>
      <c r="G14" s="127"/>
      <c r="H14" s="208">
        <v>1</v>
      </c>
      <c r="I14" s="171"/>
      <c r="J14" s="33"/>
      <c r="K14" s="33"/>
    </row>
    <row r="15" spans="1:11" ht="16.5" customHeight="1" x14ac:dyDescent="0.2">
      <c r="A15" s="174"/>
      <c r="B15" s="36" t="s">
        <v>511</v>
      </c>
      <c r="C15" s="37" t="s">
        <v>510</v>
      </c>
      <c r="D15" s="38">
        <v>0.33333333333333331</v>
      </c>
      <c r="E15" s="38">
        <v>0.33333333333333331</v>
      </c>
      <c r="F15" s="204"/>
      <c r="G15" s="127"/>
      <c r="H15" s="208">
        <v>2</v>
      </c>
      <c r="I15" s="171"/>
      <c r="J15" s="33"/>
      <c r="K15" s="33"/>
    </row>
    <row r="16" spans="1:11" ht="16.5" customHeight="1" x14ac:dyDescent="0.2">
      <c r="A16" s="125"/>
      <c r="B16" s="36">
        <v>45453</v>
      </c>
      <c r="C16" s="37">
        <v>45472</v>
      </c>
      <c r="D16" s="38"/>
      <c r="E16" s="38"/>
      <c r="F16" s="204"/>
      <c r="G16" s="127"/>
      <c r="H16" s="208">
        <v>14</v>
      </c>
      <c r="I16" s="171"/>
      <c r="J16" s="33"/>
      <c r="K16" s="33"/>
    </row>
    <row r="17" spans="1:11" ht="16.5" customHeight="1" x14ac:dyDescent="0.2">
      <c r="A17" s="125"/>
      <c r="B17" s="36">
        <v>46030</v>
      </c>
      <c r="C17" s="37">
        <v>46032</v>
      </c>
      <c r="D17" s="38"/>
      <c r="E17" s="38"/>
      <c r="F17" s="176"/>
      <c r="G17" s="127"/>
      <c r="H17" s="208">
        <v>2</v>
      </c>
      <c r="I17" s="171"/>
      <c r="J17" s="33"/>
      <c r="K17" s="33"/>
    </row>
    <row r="18" spans="1:11" ht="16.5" customHeight="1" x14ac:dyDescent="0.2">
      <c r="A18" s="1027" t="s">
        <v>960</v>
      </c>
      <c r="B18" s="1026">
        <v>46062</v>
      </c>
      <c r="C18" s="1028">
        <v>46070</v>
      </c>
      <c r="D18" s="1029"/>
      <c r="E18" s="1029"/>
      <c r="F18" s="1030"/>
      <c r="G18" s="521"/>
      <c r="H18" s="521">
        <v>7</v>
      </c>
      <c r="I18" s="1031"/>
      <c r="J18" s="1225" t="s">
        <v>961</v>
      </c>
      <c r="K18" s="1225"/>
    </row>
    <row r="19" spans="1:11" ht="16.5" customHeight="1" x14ac:dyDescent="0.2">
      <c r="A19" s="125"/>
      <c r="B19" s="36">
        <v>46112</v>
      </c>
      <c r="C19" s="37">
        <v>46116</v>
      </c>
      <c r="D19" s="38"/>
      <c r="E19" s="38"/>
      <c r="F19" s="176"/>
      <c r="G19" s="127"/>
      <c r="H19" s="208">
        <v>4</v>
      </c>
      <c r="I19" s="171"/>
      <c r="J19" s="33"/>
      <c r="K19" s="33"/>
    </row>
    <row r="20" spans="1:11" ht="16.5" customHeight="1" x14ac:dyDescent="0.2">
      <c r="A20" s="125"/>
      <c r="B20" s="36"/>
      <c r="C20" s="37"/>
      <c r="D20" s="38"/>
      <c r="E20" s="38"/>
      <c r="F20" s="176"/>
      <c r="G20" s="126"/>
      <c r="H20" s="208"/>
      <c r="I20" s="177"/>
      <c r="J20" s="33"/>
      <c r="K20" s="33"/>
    </row>
    <row r="21" spans="1:11" ht="16.5" customHeight="1" x14ac:dyDescent="0.2">
      <c r="A21" s="125"/>
      <c r="B21" s="36"/>
      <c r="C21" s="37"/>
      <c r="D21" s="38"/>
      <c r="E21" s="38"/>
      <c r="F21" s="176"/>
      <c r="G21" s="126"/>
      <c r="H21" s="208"/>
      <c r="I21" s="177"/>
      <c r="J21" s="33"/>
      <c r="K21" s="33"/>
    </row>
    <row r="22" spans="1:11" ht="16.5" customHeight="1" x14ac:dyDescent="0.2">
      <c r="A22" s="125"/>
      <c r="B22" s="36"/>
      <c r="C22" s="37"/>
      <c r="D22" s="38"/>
      <c r="E22" s="38"/>
      <c r="F22" s="78"/>
      <c r="G22" s="126"/>
      <c r="H22" s="127"/>
      <c r="I22" s="40"/>
      <c r="J22" s="33"/>
      <c r="K22" s="33"/>
    </row>
    <row r="23" spans="1:11" ht="16.5" customHeight="1" x14ac:dyDescent="0.2">
      <c r="A23" s="125"/>
      <c r="B23" s="36"/>
      <c r="C23" s="37"/>
      <c r="D23" s="38"/>
      <c r="E23" s="38"/>
      <c r="F23" s="78"/>
      <c r="G23" s="126"/>
      <c r="H23" s="127"/>
      <c r="I23" s="40"/>
      <c r="J23" s="33"/>
      <c r="K23" s="33"/>
    </row>
    <row r="24" spans="1:11" ht="16.5" customHeight="1" x14ac:dyDescent="0.2">
      <c r="A24" s="125"/>
      <c r="B24" s="36"/>
      <c r="C24" s="37"/>
      <c r="D24" s="38"/>
      <c r="E24" s="38"/>
      <c r="F24" s="78"/>
      <c r="G24" s="126"/>
      <c r="H24" s="127"/>
      <c r="I24" s="40"/>
      <c r="J24" s="124"/>
      <c r="K24" s="124"/>
    </row>
    <row r="25" spans="1:11" ht="16.5" customHeight="1" x14ac:dyDescent="0.2">
      <c r="A25" s="174"/>
      <c r="B25" s="36"/>
      <c r="C25" s="37"/>
      <c r="D25" s="38"/>
      <c r="E25" s="38"/>
      <c r="F25" s="176"/>
      <c r="G25" s="126"/>
      <c r="H25" s="127"/>
      <c r="I25" s="171"/>
      <c r="J25" s="33"/>
      <c r="K25" s="33"/>
    </row>
    <row r="26" spans="1:11" ht="16.5" customHeight="1" x14ac:dyDescent="0.2">
      <c r="A26" s="174"/>
      <c r="B26" s="36"/>
      <c r="C26" s="37"/>
      <c r="D26" s="38"/>
      <c r="E26" s="38"/>
      <c r="F26" s="176"/>
      <c r="G26" s="126"/>
      <c r="H26" s="127"/>
      <c r="I26" s="171"/>
      <c r="J26" s="33"/>
      <c r="K26" s="33"/>
    </row>
    <row r="27" spans="1:11" ht="16.5" customHeight="1" x14ac:dyDescent="0.2">
      <c r="A27" s="178"/>
      <c r="B27" s="179"/>
      <c r="C27" s="180"/>
      <c r="D27" s="181"/>
      <c r="E27" s="181"/>
      <c r="F27" s="132" t="s">
        <v>123</v>
      </c>
      <c r="G27" s="182">
        <f>SUM(G5:G26)</f>
        <v>70</v>
      </c>
      <c r="H27" s="182">
        <f>SUM(H7:H26)</f>
        <v>37</v>
      </c>
      <c r="I27" s="183"/>
      <c r="J27" s="33"/>
      <c r="K27" s="33"/>
    </row>
    <row r="28" spans="1:11" ht="16.5" customHeight="1" x14ac:dyDescent="0.2">
      <c r="A28" s="33"/>
      <c r="B28" s="33"/>
      <c r="C28" s="33"/>
      <c r="D28" s="33"/>
      <c r="E28" s="33"/>
      <c r="F28" s="33"/>
      <c r="G28" s="133"/>
      <c r="H28" s="133"/>
      <c r="I28" s="133"/>
      <c r="J28" s="33"/>
      <c r="K28" s="33"/>
    </row>
    <row r="29" spans="1:11" ht="16.5" customHeight="1" x14ac:dyDescent="0.2">
      <c r="A29" s="33"/>
      <c r="B29" s="33"/>
      <c r="C29" s="33"/>
      <c r="D29" s="33"/>
      <c r="E29" s="33"/>
      <c r="F29" s="1169" t="s">
        <v>8</v>
      </c>
      <c r="G29" s="1170"/>
      <c r="H29" s="134">
        <f>G27-H27</f>
        <v>33</v>
      </c>
      <c r="I29" s="133"/>
      <c r="J29" s="33"/>
      <c r="K29" s="33"/>
    </row>
  </sheetData>
  <mergeCells count="5">
    <mergeCell ref="F29:G29"/>
    <mergeCell ref="J1:J3"/>
    <mergeCell ref="C1:H5"/>
    <mergeCell ref="B9:E9"/>
    <mergeCell ref="J18:K18"/>
  </mergeCells>
  <hyperlinks>
    <hyperlink ref="J1:J3" location="'ANA SAYFA'!A1" display="ANA SAYFA"/>
  </hyperlinks>
  <pageMargins left="0.7" right="0.12" top="0.28999999999999998" bottom="0.25" header="0.3" footer="0.3"/>
  <pageSetup paperSize="9" scale="67" orientation="portrait" horizontalDpi="300" verticalDpi="300" r:id="rId1"/>
  <colBreaks count="1" manualBreakCount="1">
    <brk id="8"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zoomScaleNormal="100" workbookViewId="0">
      <selection activeCell="J1" sqref="J1:J3"/>
    </sheetView>
  </sheetViews>
  <sheetFormatPr defaultRowHeight="12.75" x14ac:dyDescent="0.2"/>
  <cols>
    <col min="1" max="1" width="18.140625" bestFit="1" customWidth="1"/>
    <col min="2" max="2" width="27.28515625" bestFit="1" customWidth="1"/>
    <col min="3" max="3" width="23.7109375" bestFit="1" customWidth="1"/>
    <col min="4" max="4" width="6.7109375" bestFit="1" customWidth="1"/>
    <col min="5" max="5" width="8.85546875" bestFit="1" customWidth="1"/>
    <col min="6" max="6" width="20.85546875" bestFit="1" customWidth="1"/>
    <col min="7" max="7" width="14.28515625" bestFit="1" customWidth="1"/>
    <col min="8" max="8" width="12.5703125" bestFit="1" customWidth="1"/>
    <col min="9" max="9" width="3.7109375" customWidth="1"/>
    <col min="10" max="10" width="13.7109375" customWidth="1"/>
  </cols>
  <sheetData>
    <row r="1" spans="1:11" ht="15.75" customHeight="1" x14ac:dyDescent="0.2">
      <c r="A1" s="29" t="s">
        <v>135</v>
      </c>
      <c r="B1" s="151" t="str">
        <f>'ANA SAYFA'!B29</f>
        <v>MUHAMMED AYDIN</v>
      </c>
      <c r="C1" s="1166" t="s">
        <v>136</v>
      </c>
      <c r="D1" s="1166"/>
      <c r="E1" s="1166"/>
      <c r="F1" s="1166"/>
      <c r="G1" s="1166"/>
      <c r="H1" s="1166"/>
      <c r="I1" s="28"/>
      <c r="J1" s="1228" t="s">
        <v>712</v>
      </c>
      <c r="K1" s="30"/>
    </row>
    <row r="2" spans="1:11" ht="15.75" customHeight="1" x14ac:dyDescent="0.2">
      <c r="A2" s="29" t="s">
        <v>137</v>
      </c>
      <c r="B2" s="161">
        <f>'ANA SAYFA'!D29</f>
        <v>42727968904</v>
      </c>
      <c r="C2" s="1166"/>
      <c r="D2" s="1166"/>
      <c r="E2" s="1166"/>
      <c r="F2" s="1166"/>
      <c r="G2" s="1166"/>
      <c r="H2" s="1166"/>
      <c r="I2" s="28"/>
      <c r="J2" s="1229"/>
      <c r="K2" s="30"/>
    </row>
    <row r="3" spans="1:11" ht="15.75" customHeight="1" thickBot="1" x14ac:dyDescent="0.25">
      <c r="A3" s="29" t="s">
        <v>131</v>
      </c>
      <c r="B3" s="162" t="str">
        <f>'ANA SAYFA'!C29</f>
        <v>EKSKAVATÖR OPERATÖRÜ</v>
      </c>
      <c r="C3" s="1166"/>
      <c r="D3" s="1166"/>
      <c r="E3" s="1166"/>
      <c r="F3" s="1166"/>
      <c r="G3" s="1166"/>
      <c r="H3" s="1166"/>
      <c r="I3" s="28"/>
      <c r="J3" s="1230"/>
      <c r="K3" s="30"/>
    </row>
    <row r="4" spans="1:11" ht="15.75" customHeight="1" x14ac:dyDescent="0.2">
      <c r="A4" s="29" t="s">
        <v>120</v>
      </c>
      <c r="B4" s="89">
        <f>'ANA SAYFA'!E29</f>
        <v>44356</v>
      </c>
      <c r="C4" s="1166"/>
      <c r="D4" s="1166"/>
      <c r="E4" s="1166"/>
      <c r="F4" s="1166"/>
      <c r="G4" s="1166"/>
      <c r="H4" s="1166"/>
      <c r="I4" s="28"/>
      <c r="J4" s="30"/>
      <c r="K4" s="30"/>
    </row>
    <row r="5" spans="1:11" ht="15.75" customHeight="1" x14ac:dyDescent="0.2">
      <c r="A5" s="29" t="s">
        <v>130</v>
      </c>
      <c r="B5" s="89">
        <f>'ANA SAYFA'!F29</f>
        <v>31968</v>
      </c>
      <c r="C5" s="1166"/>
      <c r="D5" s="1166"/>
      <c r="E5" s="1166"/>
      <c r="F5" s="1166"/>
      <c r="G5" s="1166"/>
      <c r="H5" s="1166"/>
      <c r="I5" s="28"/>
      <c r="J5" s="653"/>
      <c r="K5" s="653"/>
    </row>
    <row r="6" spans="1:11" ht="31.5" x14ac:dyDescent="0.2">
      <c r="A6" s="69" t="s">
        <v>0</v>
      </c>
      <c r="B6" s="70" t="s">
        <v>1</v>
      </c>
      <c r="C6" s="69" t="s">
        <v>2</v>
      </c>
      <c r="D6" s="71" t="s">
        <v>133</v>
      </c>
      <c r="E6" s="71" t="s">
        <v>4</v>
      </c>
      <c r="F6" s="71" t="s">
        <v>7</v>
      </c>
      <c r="G6" s="71" t="s">
        <v>6</v>
      </c>
      <c r="H6" s="71" t="s">
        <v>16</v>
      </c>
      <c r="I6" s="34"/>
      <c r="J6" s="653"/>
      <c r="K6" s="653"/>
    </row>
    <row r="7" spans="1:11" ht="15.75" customHeight="1" x14ac:dyDescent="0.2">
      <c r="A7" s="12"/>
      <c r="B7" s="426">
        <v>44555</v>
      </c>
      <c r="C7" s="427">
        <v>44590</v>
      </c>
      <c r="D7" s="428">
        <v>0.33333333333333331</v>
      </c>
      <c r="E7" s="428">
        <v>0.33333333333333331</v>
      </c>
      <c r="F7" s="231" t="s">
        <v>391</v>
      </c>
      <c r="G7" s="25">
        <v>14</v>
      </c>
      <c r="H7" s="6">
        <v>30</v>
      </c>
      <c r="I7" s="49"/>
      <c r="J7" s="30"/>
      <c r="K7" s="30"/>
    </row>
    <row r="8" spans="1:11" ht="15.75" customHeight="1" x14ac:dyDescent="0.2">
      <c r="A8" s="12"/>
      <c r="B8" s="426">
        <v>44680</v>
      </c>
      <c r="C8" s="427">
        <v>44690</v>
      </c>
      <c r="D8" s="428">
        <v>0.33333333333333331</v>
      </c>
      <c r="E8" s="428">
        <v>0.33333333333333331</v>
      </c>
      <c r="F8" s="145" t="s">
        <v>423</v>
      </c>
      <c r="G8" s="25">
        <v>14</v>
      </c>
      <c r="H8" s="6">
        <v>5</v>
      </c>
      <c r="I8" s="49"/>
      <c r="J8" s="30"/>
      <c r="K8" s="30"/>
    </row>
    <row r="9" spans="1:11" ht="15.75" customHeight="1" x14ac:dyDescent="0.2">
      <c r="A9" s="2"/>
      <c r="B9" s="426">
        <v>44749</v>
      </c>
      <c r="C9" s="427">
        <v>44764</v>
      </c>
      <c r="D9" s="428">
        <v>0.33333333333333331</v>
      </c>
      <c r="E9" s="428">
        <v>0.33333333333333331</v>
      </c>
      <c r="F9" s="145" t="s">
        <v>574</v>
      </c>
      <c r="G9" s="25">
        <v>14</v>
      </c>
      <c r="H9" s="25">
        <v>7</v>
      </c>
      <c r="I9" s="49"/>
      <c r="J9" s="30"/>
      <c r="K9" s="30"/>
    </row>
    <row r="10" spans="1:11" ht="15.75" customHeight="1" x14ac:dyDescent="0.2">
      <c r="A10" s="2"/>
      <c r="B10" s="426">
        <v>45033</v>
      </c>
      <c r="C10" s="429">
        <v>45042</v>
      </c>
      <c r="D10" s="430">
        <v>0.33333333333333331</v>
      </c>
      <c r="E10" s="430">
        <v>0.33333333333333331</v>
      </c>
      <c r="F10" s="723" t="s">
        <v>821</v>
      </c>
      <c r="G10" s="25">
        <v>14</v>
      </c>
      <c r="H10" s="6">
        <v>5</v>
      </c>
      <c r="I10" s="49"/>
      <c r="J10" s="30"/>
      <c r="K10" s="30"/>
    </row>
    <row r="11" spans="1:11" ht="15.75" customHeight="1" x14ac:dyDescent="0.2">
      <c r="A11" s="4"/>
      <c r="B11" s="431">
        <v>45058</v>
      </c>
      <c r="C11" s="432">
        <v>45064</v>
      </c>
      <c r="D11" s="433">
        <v>0.5625</v>
      </c>
      <c r="E11" s="433">
        <v>0.33333333333333331</v>
      </c>
      <c r="F11" s="25"/>
      <c r="G11" s="25"/>
      <c r="H11" s="22">
        <v>4.5</v>
      </c>
      <c r="I11" s="49"/>
      <c r="J11" s="30"/>
      <c r="K11" s="30"/>
    </row>
    <row r="12" spans="1:11" s="653" customFormat="1" ht="15.75" customHeight="1" x14ac:dyDescent="0.2">
      <c r="A12" s="656"/>
      <c r="B12" s="792"/>
      <c r="C12" s="793"/>
      <c r="D12" s="794"/>
      <c r="E12" s="794"/>
      <c r="F12" s="666"/>
      <c r="G12" s="666"/>
      <c r="H12" s="665"/>
      <c r="I12" s="684"/>
      <c r="J12" s="670"/>
      <c r="K12" s="670"/>
    </row>
    <row r="13" spans="1:11" s="653" customFormat="1" ht="15.75" customHeight="1" x14ac:dyDescent="0.2">
      <c r="A13" s="656"/>
      <c r="B13" s="792"/>
      <c r="C13" s="793"/>
      <c r="D13" s="794"/>
      <c r="E13" s="794"/>
      <c r="F13" s="666"/>
      <c r="G13" s="666"/>
      <c r="H13" s="665"/>
      <c r="I13" s="684"/>
      <c r="J13" s="670"/>
      <c r="K13" s="670"/>
    </row>
    <row r="14" spans="1:11" s="653" customFormat="1" ht="15.75" customHeight="1" x14ac:dyDescent="0.2">
      <c r="A14" s="656"/>
      <c r="B14" s="792"/>
      <c r="C14" s="793"/>
      <c r="D14" s="794"/>
      <c r="E14" s="794"/>
      <c r="F14" s="666"/>
      <c r="G14" s="666"/>
      <c r="H14" s="665"/>
      <c r="I14" s="684"/>
      <c r="J14" s="670"/>
      <c r="K14" s="670"/>
    </row>
    <row r="15" spans="1:11" s="653" customFormat="1" ht="15.75" customHeight="1" x14ac:dyDescent="0.2">
      <c r="A15" s="656"/>
      <c r="B15" s="792"/>
      <c r="C15" s="793"/>
      <c r="D15" s="794"/>
      <c r="E15" s="794"/>
      <c r="F15" s="666"/>
      <c r="G15" s="666"/>
      <c r="H15" s="665"/>
      <c r="I15" s="684"/>
      <c r="J15" s="670"/>
      <c r="K15" s="670"/>
    </row>
    <row r="16" spans="1:11" s="653" customFormat="1" ht="15.75" customHeight="1" x14ac:dyDescent="0.2">
      <c r="A16" s="656"/>
      <c r="B16" s="792"/>
      <c r="C16" s="793"/>
      <c r="D16" s="794"/>
      <c r="E16" s="794"/>
      <c r="F16" s="666"/>
      <c r="G16" s="666"/>
      <c r="H16" s="665"/>
      <c r="I16" s="684"/>
      <c r="J16" s="670"/>
      <c r="K16" s="670"/>
    </row>
    <row r="17" spans="1:11" s="653" customFormat="1" ht="15.75" customHeight="1" x14ac:dyDescent="0.2">
      <c r="A17" s="656"/>
      <c r="B17" s="792"/>
      <c r="C17" s="793"/>
      <c r="D17" s="794"/>
      <c r="E17" s="794"/>
      <c r="F17" s="666"/>
      <c r="G17" s="666"/>
      <c r="H17" s="665"/>
      <c r="I17" s="684"/>
      <c r="J17" s="670"/>
      <c r="K17" s="670"/>
    </row>
    <row r="18" spans="1:11" s="653" customFormat="1" ht="15.75" customHeight="1" x14ac:dyDescent="0.2">
      <c r="A18" s="656"/>
      <c r="B18" s="792"/>
      <c r="C18" s="793"/>
      <c r="D18" s="794"/>
      <c r="E18" s="794"/>
      <c r="F18" s="666"/>
      <c r="G18" s="666"/>
      <c r="H18" s="665"/>
      <c r="I18" s="684"/>
      <c r="J18" s="670"/>
      <c r="K18" s="670"/>
    </row>
    <row r="19" spans="1:11" s="653" customFormat="1" ht="15.75" customHeight="1" x14ac:dyDescent="0.2">
      <c r="A19" s="656"/>
      <c r="B19" s="792"/>
      <c r="C19" s="793"/>
      <c r="D19" s="794"/>
      <c r="E19" s="794"/>
      <c r="F19" s="666"/>
      <c r="G19" s="666"/>
      <c r="H19" s="665"/>
      <c r="I19" s="684"/>
      <c r="J19" s="670"/>
      <c r="K19" s="670"/>
    </row>
    <row r="20" spans="1:11" s="653" customFormat="1" ht="15.75" customHeight="1" x14ac:dyDescent="0.2">
      <c r="A20" s="656"/>
      <c r="B20" s="792"/>
      <c r="C20" s="793"/>
      <c r="D20" s="794"/>
      <c r="E20" s="794"/>
      <c r="F20" s="666"/>
      <c r="G20" s="666"/>
      <c r="H20" s="665"/>
      <c r="I20" s="684"/>
      <c r="J20" s="670"/>
      <c r="K20" s="670"/>
    </row>
    <row r="21" spans="1:11" s="653" customFormat="1" ht="15.75" customHeight="1" x14ac:dyDescent="0.2">
      <c r="A21" s="656"/>
      <c r="B21" s="792"/>
      <c r="C21" s="793"/>
      <c r="D21" s="794"/>
      <c r="E21" s="794"/>
      <c r="F21" s="666"/>
      <c r="G21" s="666"/>
      <c r="H21" s="665"/>
      <c r="I21" s="684"/>
      <c r="J21" s="670"/>
      <c r="K21" s="670"/>
    </row>
    <row r="22" spans="1:11" s="653" customFormat="1" ht="15.75" customHeight="1" x14ac:dyDescent="0.2">
      <c r="A22" s="656"/>
      <c r="B22" s="792"/>
      <c r="C22" s="793"/>
      <c r="D22" s="794"/>
      <c r="E22" s="794"/>
      <c r="F22" s="666"/>
      <c r="G22" s="666"/>
      <c r="H22" s="665"/>
      <c r="I22" s="684"/>
      <c r="J22" s="670"/>
      <c r="K22" s="670"/>
    </row>
    <row r="23" spans="1:11" s="653" customFormat="1" ht="15.75" customHeight="1" x14ac:dyDescent="0.2">
      <c r="A23" s="656"/>
      <c r="B23" s="792"/>
      <c r="C23" s="793"/>
      <c r="D23" s="794"/>
      <c r="E23" s="794"/>
      <c r="F23" s="666"/>
      <c r="G23" s="666"/>
      <c r="H23" s="665"/>
      <c r="I23" s="684"/>
      <c r="J23" s="670"/>
      <c r="K23" s="670"/>
    </row>
    <row r="24" spans="1:11" s="653" customFormat="1" ht="15.75" customHeight="1" x14ac:dyDescent="0.2">
      <c r="A24" s="656"/>
      <c r="B24" s="792"/>
      <c r="C24" s="793"/>
      <c r="D24" s="794"/>
      <c r="E24" s="794"/>
      <c r="F24" s="666"/>
      <c r="G24" s="666"/>
      <c r="H24" s="665"/>
      <c r="I24" s="684"/>
      <c r="J24" s="670"/>
      <c r="K24" s="670"/>
    </row>
    <row r="25" spans="1:11" ht="15.75" customHeight="1" x14ac:dyDescent="0.2">
      <c r="A25" s="4"/>
      <c r="B25" s="431"/>
      <c r="C25" s="432"/>
      <c r="D25" s="433"/>
      <c r="E25" s="433"/>
      <c r="F25" s="25"/>
      <c r="G25" s="25"/>
      <c r="H25" s="6"/>
      <c r="I25" s="49"/>
      <c r="J25" s="30"/>
      <c r="K25" s="30"/>
    </row>
    <row r="26" spans="1:11" ht="15.75" customHeight="1" x14ac:dyDescent="0.2">
      <c r="A26" s="5"/>
      <c r="B26" s="319"/>
      <c r="C26" s="320"/>
      <c r="D26" s="321"/>
      <c r="E26" s="321"/>
      <c r="F26" s="145"/>
      <c r="G26" s="145"/>
      <c r="H26" s="145"/>
      <c r="I26" s="49"/>
      <c r="J26" s="30"/>
      <c r="K26" s="30"/>
    </row>
    <row r="27" spans="1:11" ht="15.75" customHeight="1" x14ac:dyDescent="0.2">
      <c r="A27" s="5"/>
      <c r="B27" s="316"/>
      <c r="C27" s="317"/>
      <c r="D27" s="318"/>
      <c r="E27" s="318"/>
      <c r="F27" s="25"/>
      <c r="G27" s="25"/>
      <c r="H27" s="22"/>
      <c r="I27" s="49"/>
      <c r="J27" s="30"/>
      <c r="K27" s="30"/>
    </row>
    <row r="28" spans="1:11" ht="15.75" customHeight="1" x14ac:dyDescent="0.2">
      <c r="A28" s="1"/>
      <c r="B28" s="316"/>
      <c r="C28" s="317"/>
      <c r="D28" s="318"/>
      <c r="E28" s="318"/>
      <c r="F28" s="25"/>
      <c r="G28" s="25"/>
      <c r="H28" s="6"/>
      <c r="I28" s="49"/>
      <c r="J28" s="30"/>
      <c r="K28" s="30"/>
    </row>
    <row r="29" spans="1:11" ht="15.75" customHeight="1" x14ac:dyDescent="0.2">
      <c r="A29" s="1"/>
      <c r="B29" s="319"/>
      <c r="C29" s="320"/>
      <c r="D29" s="321"/>
      <c r="E29" s="321"/>
      <c r="F29" s="145"/>
      <c r="G29" s="145"/>
      <c r="H29" s="145"/>
    </row>
    <row r="30" spans="1:11" ht="17.25" customHeight="1" x14ac:dyDescent="0.2">
      <c r="B30" s="98"/>
      <c r="C30" s="98"/>
      <c r="D30" s="98"/>
      <c r="E30" s="98"/>
      <c r="F30" s="425" t="s">
        <v>123</v>
      </c>
      <c r="G30" s="77">
        <f>SUM(G7:G29)</f>
        <v>56</v>
      </c>
      <c r="H30" s="77">
        <f>SUM(H7:H29)</f>
        <v>51.5</v>
      </c>
    </row>
    <row r="31" spans="1:11" ht="17.25" customHeight="1" x14ac:dyDescent="0.2">
      <c r="B31" s="98"/>
      <c r="C31" s="98"/>
      <c r="D31" s="98"/>
      <c r="E31" s="98"/>
      <c r="F31" s="434"/>
      <c r="G31" s="435"/>
      <c r="H31" s="435"/>
    </row>
    <row r="32" spans="1:11" ht="17.25" customHeight="1" x14ac:dyDescent="0.2">
      <c r="B32" s="98"/>
      <c r="C32" s="98"/>
      <c r="D32" s="98"/>
      <c r="E32" s="98"/>
      <c r="F32" s="1226" t="s">
        <v>8</v>
      </c>
      <c r="G32" s="1227"/>
      <c r="H32" s="436">
        <f>G30-H30</f>
        <v>4.5</v>
      </c>
    </row>
    <row r="33" spans="2:8" x14ac:dyDescent="0.2">
      <c r="B33" s="98"/>
      <c r="C33" s="98"/>
      <c r="D33" s="98"/>
      <c r="E33" s="98"/>
      <c r="F33" s="98"/>
      <c r="G33" s="98"/>
      <c r="H33" s="98"/>
    </row>
    <row r="34" spans="2:8" x14ac:dyDescent="0.2">
      <c r="B34" s="98"/>
      <c r="C34" s="98"/>
      <c r="D34" s="98"/>
      <c r="E34" s="98"/>
      <c r="F34" s="98"/>
      <c r="G34" s="98"/>
      <c r="H34" s="98"/>
    </row>
    <row r="35" spans="2:8" x14ac:dyDescent="0.2">
      <c r="B35" s="98"/>
      <c r="C35" s="98"/>
      <c r="D35" s="98"/>
      <c r="E35" s="98"/>
      <c r="F35" s="98"/>
      <c r="G35" s="98"/>
      <c r="H35" s="98"/>
    </row>
    <row r="36" spans="2:8" x14ac:dyDescent="0.2">
      <c r="B36" s="98"/>
      <c r="C36" s="98"/>
      <c r="D36" s="98"/>
      <c r="E36" s="98"/>
      <c r="F36" s="98"/>
      <c r="G36" s="98"/>
      <c r="H36" s="98"/>
    </row>
    <row r="37" spans="2:8" x14ac:dyDescent="0.2">
      <c r="B37" s="98"/>
      <c r="C37" s="98"/>
      <c r="D37" s="98"/>
      <c r="E37" s="98"/>
      <c r="F37" s="98"/>
      <c r="G37" s="98"/>
      <c r="H37" s="98"/>
    </row>
  </sheetData>
  <mergeCells count="3">
    <mergeCell ref="F32:G32"/>
    <mergeCell ref="J1:J3"/>
    <mergeCell ref="C1:H5"/>
  </mergeCells>
  <hyperlinks>
    <hyperlink ref="J1:J3" location="'ANA SAYFA'!A1" display="ANA SAYFA"/>
  </hyperlinks>
  <pageMargins left="0.7" right="0.12" top="0.28999999999999998" bottom="0.75" header="0.3" footer="0.3"/>
  <pageSetup paperSize="9" scale="72" orientation="portrait" r:id="rId1"/>
  <colBreaks count="1" manualBreakCount="1">
    <brk id="8" max="1048575"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zoomScaleNormal="100" workbookViewId="0">
      <selection activeCell="J1" sqref="J1:J3"/>
    </sheetView>
  </sheetViews>
  <sheetFormatPr defaultRowHeight="12.75" x14ac:dyDescent="0.2"/>
  <cols>
    <col min="1" max="1" width="18.140625" bestFit="1" customWidth="1"/>
    <col min="2" max="2" width="22.5703125" bestFit="1" customWidth="1"/>
    <col min="3" max="3" width="23.85546875" bestFit="1" customWidth="1"/>
    <col min="6" max="6" width="17.28515625" bestFit="1" customWidth="1"/>
    <col min="7" max="7" width="14.28515625" bestFit="1" customWidth="1"/>
    <col min="8" max="8" width="12.5703125" bestFit="1" customWidth="1"/>
    <col min="9" max="9" width="4.42578125" customWidth="1"/>
    <col min="10" max="10" width="11.28515625" customWidth="1"/>
  </cols>
  <sheetData>
    <row r="1" spans="1:11" x14ac:dyDescent="0.2">
      <c r="A1" s="29" t="s">
        <v>135</v>
      </c>
      <c r="B1" s="232" t="str">
        <f>'ANA SAYFA'!B30</f>
        <v>MUHİTTİN DEMİR</v>
      </c>
      <c r="C1" s="1166" t="s">
        <v>136</v>
      </c>
      <c r="D1" s="1166"/>
      <c r="E1" s="1166"/>
      <c r="F1" s="1166"/>
      <c r="G1" s="1166"/>
      <c r="H1" s="1166"/>
      <c r="I1" s="668"/>
      <c r="J1" s="1228" t="s">
        <v>712</v>
      </c>
      <c r="K1" s="30"/>
    </row>
    <row r="2" spans="1:11" x14ac:dyDescent="0.2">
      <c r="A2" s="29" t="s">
        <v>137</v>
      </c>
      <c r="B2" s="154">
        <f>'ANA SAYFA'!D30</f>
        <v>12361925380</v>
      </c>
      <c r="C2" s="1166"/>
      <c r="D2" s="1166"/>
      <c r="E2" s="1166"/>
      <c r="F2" s="1166"/>
      <c r="G2" s="1166"/>
      <c r="H2" s="1166"/>
      <c r="I2" s="668"/>
      <c r="J2" s="1229"/>
      <c r="K2" s="30"/>
    </row>
    <row r="3" spans="1:11" ht="13.5" thickBot="1" x14ac:dyDescent="0.25">
      <c r="A3" s="29" t="s">
        <v>131</v>
      </c>
      <c r="B3" s="153" t="str">
        <f>'ANA SAYFA'!C30</f>
        <v>KAMYON ŞOFÖRÜ</v>
      </c>
      <c r="C3" s="1166"/>
      <c r="D3" s="1166"/>
      <c r="E3" s="1166"/>
      <c r="F3" s="1166"/>
      <c r="G3" s="1166"/>
      <c r="H3" s="1166"/>
      <c r="I3" s="668"/>
      <c r="J3" s="1230"/>
      <c r="K3" s="30"/>
    </row>
    <row r="4" spans="1:11" x14ac:dyDescent="0.2">
      <c r="A4" s="29" t="s">
        <v>120</v>
      </c>
      <c r="B4" s="83">
        <f>'ANA SAYFA'!E30</f>
        <v>45442</v>
      </c>
      <c r="C4" s="1166"/>
      <c r="D4" s="1166"/>
      <c r="E4" s="1166"/>
      <c r="F4" s="1166"/>
      <c r="G4" s="1166"/>
      <c r="H4" s="1166"/>
      <c r="I4" s="668"/>
      <c r="J4" s="670"/>
      <c r="K4" s="30"/>
    </row>
    <row r="5" spans="1:11" x14ac:dyDescent="0.2">
      <c r="A5" s="29" t="s">
        <v>130</v>
      </c>
      <c r="B5" s="83">
        <f>'ANA SAYFA'!F30</f>
        <v>22324</v>
      </c>
      <c r="C5" s="1166"/>
      <c r="D5" s="1166"/>
      <c r="E5" s="1166"/>
      <c r="F5" s="1166"/>
      <c r="G5" s="1166"/>
      <c r="H5" s="1166"/>
      <c r="I5" s="668"/>
      <c r="J5" s="653"/>
      <c r="K5" s="653"/>
    </row>
    <row r="6" spans="1:11" ht="31.5" x14ac:dyDescent="0.2">
      <c r="A6" s="69" t="s">
        <v>0</v>
      </c>
      <c r="B6" s="70" t="s">
        <v>1</v>
      </c>
      <c r="C6" s="69" t="s">
        <v>2</v>
      </c>
      <c r="D6" s="71" t="s">
        <v>133</v>
      </c>
      <c r="E6" s="71" t="s">
        <v>4</v>
      </c>
      <c r="F6" s="71" t="s">
        <v>7</v>
      </c>
      <c r="G6" s="71" t="s">
        <v>6</v>
      </c>
      <c r="H6" s="71" t="s">
        <v>16</v>
      </c>
      <c r="I6" s="34"/>
      <c r="J6" s="653"/>
      <c r="K6" s="653"/>
    </row>
    <row r="7" spans="1:11" ht="15.75" customHeight="1" x14ac:dyDescent="0.2">
      <c r="A7" s="12">
        <v>45442</v>
      </c>
      <c r="B7" s="1231" t="s">
        <v>553</v>
      </c>
      <c r="C7" s="1232"/>
      <c r="D7" s="1232"/>
      <c r="E7" s="1233"/>
      <c r="F7" s="23"/>
      <c r="G7" s="25">
        <v>33</v>
      </c>
      <c r="H7" s="22"/>
      <c r="I7" s="49"/>
      <c r="J7" s="30"/>
      <c r="K7" s="30"/>
    </row>
    <row r="8" spans="1:11" s="387" customFormat="1" ht="15.75" customHeight="1" x14ac:dyDescent="0.2">
      <c r="A8" s="379"/>
      <c r="B8" s="380"/>
      <c r="C8" s="381"/>
      <c r="D8" s="382"/>
      <c r="E8" s="382"/>
      <c r="F8" s="383"/>
      <c r="G8" s="230"/>
      <c r="H8" s="384"/>
      <c r="I8" s="385"/>
      <c r="J8" s="386"/>
      <c r="K8" s="386"/>
    </row>
    <row r="9" spans="1:11" s="387" customFormat="1" ht="15.75" customHeight="1" x14ac:dyDescent="0.2">
      <c r="A9" s="388"/>
      <c r="B9" s="380"/>
      <c r="C9" s="389"/>
      <c r="D9" s="382"/>
      <c r="E9" s="382"/>
      <c r="F9" s="383"/>
      <c r="G9" s="230"/>
      <c r="H9" s="384"/>
      <c r="I9" s="385"/>
      <c r="J9" s="386"/>
      <c r="K9" s="386"/>
    </row>
    <row r="10" spans="1:11" s="387" customFormat="1" ht="15.75" customHeight="1" x14ac:dyDescent="0.2">
      <c r="A10" s="388"/>
      <c r="B10" s="390"/>
      <c r="C10" s="391"/>
      <c r="D10" s="382"/>
      <c r="E10" s="382"/>
      <c r="F10" s="383"/>
      <c r="G10" s="230"/>
      <c r="H10" s="230"/>
      <c r="I10" s="385"/>
      <c r="J10" s="386"/>
      <c r="K10" s="386"/>
    </row>
    <row r="11" spans="1:11" s="387" customFormat="1" ht="15.75" customHeight="1" x14ac:dyDescent="0.2">
      <c r="A11" s="388"/>
      <c r="B11" s="390"/>
      <c r="C11" s="391"/>
      <c r="D11" s="382"/>
      <c r="E11" s="382"/>
      <c r="F11" s="383"/>
      <c r="G11" s="230"/>
      <c r="H11" s="393"/>
      <c r="I11" s="385"/>
      <c r="J11" s="386"/>
      <c r="K11" s="386"/>
    </row>
    <row r="12" spans="1:11" s="387" customFormat="1" ht="15.75" customHeight="1" x14ac:dyDescent="0.2">
      <c r="A12" s="388"/>
      <c r="B12" s="394"/>
      <c r="C12" s="395"/>
      <c r="D12" s="392"/>
      <c r="E12" s="392"/>
      <c r="F12" s="392"/>
      <c r="G12" s="230"/>
      <c r="H12" s="230"/>
      <c r="J12" s="386"/>
      <c r="K12" s="386"/>
    </row>
    <row r="13" spans="1:11" s="387" customFormat="1" ht="15.75" customHeight="1" x14ac:dyDescent="0.2">
      <c r="A13" s="388"/>
      <c r="B13" s="394"/>
      <c r="C13" s="395"/>
      <c r="D13" s="392"/>
      <c r="E13" s="392"/>
      <c r="F13" s="392"/>
      <c r="G13" s="230"/>
      <c r="H13" s="230"/>
      <c r="J13" s="386"/>
      <c r="K13" s="386"/>
    </row>
    <row r="14" spans="1:11" s="387" customFormat="1" ht="15.75" customHeight="1" x14ac:dyDescent="0.2">
      <c r="A14" s="388"/>
      <c r="B14" s="394"/>
      <c r="C14" s="395"/>
      <c r="D14" s="392"/>
      <c r="E14" s="392"/>
      <c r="F14" s="392"/>
      <c r="G14" s="230"/>
      <c r="H14" s="230"/>
      <c r="J14" s="386"/>
      <c r="K14" s="386"/>
    </row>
    <row r="15" spans="1:11" ht="15.75" customHeight="1" x14ac:dyDescent="0.2">
      <c r="A15" s="2"/>
      <c r="B15" s="15"/>
      <c r="C15" s="16"/>
      <c r="D15" s="8"/>
      <c r="E15" s="8"/>
      <c r="F15" s="8"/>
      <c r="G15" s="25"/>
      <c r="H15" s="25"/>
      <c r="J15" s="30"/>
      <c r="K15" s="30"/>
    </row>
    <row r="16" spans="1:11" ht="15.75" customHeight="1" x14ac:dyDescent="0.2">
      <c r="A16" s="2"/>
      <c r="B16" s="15"/>
      <c r="C16" s="16"/>
      <c r="D16" s="8"/>
      <c r="E16" s="8"/>
      <c r="F16" s="8"/>
      <c r="G16" s="25"/>
      <c r="H16" s="25"/>
      <c r="J16" s="30"/>
      <c r="K16" s="30"/>
    </row>
    <row r="17" spans="1:8" ht="15.75" customHeight="1" x14ac:dyDescent="0.2">
      <c r="A17" s="2"/>
      <c r="B17" s="15"/>
      <c r="C17" s="16"/>
      <c r="D17" s="8"/>
      <c r="E17" s="8"/>
      <c r="F17" s="8"/>
      <c r="G17" s="25"/>
      <c r="H17" s="25"/>
    </row>
    <row r="18" spans="1:8" ht="15.75" customHeight="1" x14ac:dyDescent="0.2">
      <c r="A18" s="2"/>
      <c r="B18" s="15"/>
      <c r="C18" s="16"/>
      <c r="D18" s="8"/>
      <c r="E18" s="8"/>
      <c r="F18" s="25"/>
      <c r="G18" s="25"/>
      <c r="H18" s="27"/>
    </row>
    <row r="19" spans="1:8" ht="15.75" customHeight="1" x14ac:dyDescent="0.2">
      <c r="A19" s="2"/>
      <c r="B19" s="15"/>
      <c r="C19" s="16"/>
      <c r="D19" s="8"/>
      <c r="E19" s="8"/>
      <c r="F19" s="25"/>
      <c r="G19" s="25"/>
      <c r="H19" s="25"/>
    </row>
    <row r="20" spans="1:8" ht="15.75" customHeight="1" x14ac:dyDescent="0.2">
      <c r="A20" s="2"/>
      <c r="B20" s="15"/>
      <c r="C20" s="16"/>
      <c r="D20" s="8"/>
      <c r="E20" s="8"/>
      <c r="F20" s="7"/>
      <c r="G20" s="25"/>
      <c r="H20" s="25"/>
    </row>
    <row r="21" spans="1:8" ht="15.75" customHeight="1" x14ac:dyDescent="0.2">
      <c r="A21" s="2"/>
      <c r="B21" s="15"/>
      <c r="C21" s="16"/>
      <c r="D21" s="8"/>
      <c r="E21" s="8"/>
      <c r="F21" s="7"/>
      <c r="G21" s="25"/>
      <c r="H21" s="25"/>
    </row>
    <row r="22" spans="1:8" ht="15.75" customHeight="1" x14ac:dyDescent="0.2">
      <c r="A22" s="2"/>
      <c r="B22" s="15"/>
      <c r="C22" s="16"/>
      <c r="D22" s="8"/>
      <c r="E22" s="8"/>
      <c r="F22" s="7"/>
      <c r="G22" s="25"/>
      <c r="H22" s="25"/>
    </row>
    <row r="23" spans="1:8" ht="15.75" customHeight="1" x14ac:dyDescent="0.2">
      <c r="A23" s="2"/>
      <c r="B23" s="15"/>
      <c r="C23" s="16"/>
      <c r="D23" s="8"/>
      <c r="E23" s="8"/>
      <c r="F23" s="7"/>
      <c r="G23" s="25"/>
      <c r="H23" s="25"/>
    </row>
    <row r="24" spans="1:8" ht="15.75" customHeight="1" x14ac:dyDescent="0.2">
      <c r="A24" s="2"/>
      <c r="B24" s="15"/>
      <c r="C24" s="16"/>
      <c r="D24" s="8"/>
      <c r="E24" s="8"/>
      <c r="F24" s="7"/>
      <c r="G24" s="25"/>
      <c r="H24" s="27"/>
    </row>
    <row r="25" spans="1:8" ht="15.75" customHeight="1" x14ac:dyDescent="0.2">
      <c r="A25" s="4"/>
      <c r="B25" s="15"/>
      <c r="C25" s="16"/>
      <c r="D25" s="8"/>
      <c r="E25" s="8"/>
      <c r="F25" s="7"/>
      <c r="G25" s="25"/>
      <c r="H25" s="25"/>
    </row>
    <row r="26" spans="1:8" ht="15.75" customHeight="1" x14ac:dyDescent="0.2">
      <c r="A26" s="55"/>
      <c r="B26" s="15"/>
      <c r="C26" s="16"/>
      <c r="D26" s="8"/>
      <c r="E26" s="8"/>
      <c r="F26" s="7"/>
      <c r="G26" s="25"/>
      <c r="H26" s="25"/>
    </row>
    <row r="27" spans="1:8" ht="15.75" customHeight="1" x14ac:dyDescent="0.2">
      <c r="A27" s="55"/>
      <c r="B27" s="15"/>
      <c r="C27" s="16"/>
      <c r="D27" s="8"/>
      <c r="E27" s="8"/>
      <c r="F27" s="48"/>
      <c r="G27" s="66"/>
      <c r="H27" s="25"/>
    </row>
    <row r="28" spans="1:8" ht="15.75" customHeight="1" x14ac:dyDescent="0.2">
      <c r="A28" s="1"/>
      <c r="B28" s="15"/>
      <c r="C28" s="16"/>
      <c r="D28" s="8"/>
      <c r="E28" s="8"/>
      <c r="F28" s="48"/>
      <c r="G28" s="66"/>
      <c r="H28" s="25"/>
    </row>
    <row r="29" spans="1:8" ht="15.75" customHeight="1" x14ac:dyDescent="0.2">
      <c r="A29" s="1"/>
      <c r="B29" s="15"/>
      <c r="C29" s="16"/>
      <c r="D29" s="8"/>
      <c r="E29" s="8"/>
      <c r="F29" s="48"/>
      <c r="G29" s="66"/>
      <c r="H29" s="25"/>
    </row>
    <row r="30" spans="1:8" ht="15.75" customHeight="1" x14ac:dyDescent="0.2">
      <c r="A30" s="1"/>
      <c r="B30" s="15"/>
      <c r="C30" s="16"/>
      <c r="D30" s="8"/>
      <c r="E30" s="8"/>
      <c r="F30" s="48"/>
      <c r="G30" s="66"/>
      <c r="H30" s="25"/>
    </row>
    <row r="31" spans="1:8" ht="15.75" customHeight="1" x14ac:dyDescent="0.2">
      <c r="A31" s="1"/>
      <c r="B31" s="15"/>
      <c r="C31" s="16"/>
      <c r="D31" s="8"/>
      <c r="E31" s="8"/>
      <c r="F31" s="48"/>
      <c r="G31" s="66"/>
      <c r="H31" s="25"/>
    </row>
    <row r="32" spans="1:8" ht="15.75" customHeight="1" x14ac:dyDescent="0.2">
      <c r="A32" s="1"/>
      <c r="B32" s="15"/>
      <c r="C32" s="16"/>
      <c r="D32" s="8"/>
      <c r="E32" s="8"/>
      <c r="F32" s="48"/>
      <c r="G32" s="66"/>
      <c r="H32" s="25"/>
    </row>
    <row r="33" spans="1:8" ht="15.75" customHeight="1" x14ac:dyDescent="0.2">
      <c r="A33" s="1"/>
      <c r="B33" s="15"/>
      <c r="C33" s="16"/>
      <c r="D33" s="8"/>
      <c r="E33" s="8"/>
      <c r="F33" s="48"/>
      <c r="G33" s="66"/>
      <c r="H33" s="68"/>
    </row>
    <row r="34" spans="1:8" ht="15.75" customHeight="1" x14ac:dyDescent="0.2">
      <c r="A34" s="1"/>
      <c r="B34" s="15"/>
      <c r="C34" s="16"/>
      <c r="D34" s="8"/>
      <c r="E34" s="8"/>
      <c r="F34" s="48"/>
      <c r="G34" s="66"/>
      <c r="H34" s="66"/>
    </row>
    <row r="35" spans="1:8" x14ac:dyDescent="0.2">
      <c r="F35" s="76" t="s">
        <v>123</v>
      </c>
      <c r="G35" s="77">
        <f>SUM(G7:G34)</f>
        <v>33</v>
      </c>
      <c r="H35" s="77">
        <f>SUM(H7:H34)</f>
        <v>0</v>
      </c>
    </row>
    <row r="36" spans="1:8" x14ac:dyDescent="0.2">
      <c r="F36" s="62"/>
      <c r="G36" s="63"/>
      <c r="H36" s="63"/>
    </row>
    <row r="37" spans="1:8" ht="14.25" x14ac:dyDescent="0.2">
      <c r="F37" s="1153" t="s">
        <v>8</v>
      </c>
      <c r="G37" s="1154"/>
      <c r="H37" s="84">
        <f>G35-H35</f>
        <v>33</v>
      </c>
    </row>
  </sheetData>
  <mergeCells count="4">
    <mergeCell ref="F37:G37"/>
    <mergeCell ref="C1:H5"/>
    <mergeCell ref="J1:J3"/>
    <mergeCell ref="B7:E7"/>
  </mergeCells>
  <hyperlinks>
    <hyperlink ref="J1:J3" location="'ANA SAYFA'!A1" display="ANA SAYFA"/>
  </hyperlinks>
  <pageMargins left="0.7" right="0.12" top="0.13" bottom="0.75" header="0.12" footer="0.3"/>
  <pageSetup paperSize="9" scale="75"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3"/>
  <sheetViews>
    <sheetView zoomScaleNormal="100" workbookViewId="0">
      <selection activeCell="J1" sqref="J1:J3"/>
    </sheetView>
  </sheetViews>
  <sheetFormatPr defaultColWidth="9.140625" defaultRowHeight="12.75" x14ac:dyDescent="0.2"/>
  <cols>
    <col min="1" max="1" width="18.140625" style="699" bestFit="1" customWidth="1"/>
    <col min="2" max="2" width="27.42578125" style="699" bestFit="1" customWidth="1"/>
    <col min="3" max="3" width="26.85546875" style="699" bestFit="1" customWidth="1"/>
    <col min="4" max="5" width="9.28515625" style="699" bestFit="1" customWidth="1"/>
    <col min="6" max="6" width="20.85546875" style="699" bestFit="1" customWidth="1"/>
    <col min="7" max="7" width="14.42578125" style="699" customWidth="1"/>
    <col min="8" max="8" width="13" style="699" customWidth="1"/>
    <col min="9" max="9" width="5" style="699" customWidth="1"/>
    <col min="10" max="10" width="12.28515625" style="699" customWidth="1"/>
    <col min="11" max="11" width="9.140625" style="699"/>
    <col min="12" max="12" width="10.42578125" style="699" bestFit="1" customWidth="1"/>
    <col min="13" max="16384" width="9.140625" style="699"/>
  </cols>
  <sheetData>
    <row r="1" spans="1:13" ht="15" customHeight="1" x14ac:dyDescent="0.2">
      <c r="A1" s="669" t="s">
        <v>135</v>
      </c>
      <c r="B1" s="745" t="str">
        <f>'ANA SAYFA'!B31</f>
        <v>MUHSİN ZEDEF</v>
      </c>
      <c r="C1" s="1166" t="s">
        <v>136</v>
      </c>
      <c r="D1" s="1166"/>
      <c r="E1" s="1166"/>
      <c r="F1" s="1166"/>
      <c r="G1" s="1166"/>
      <c r="H1" s="1166"/>
      <c r="I1" s="668"/>
      <c r="J1" s="1228" t="s">
        <v>712</v>
      </c>
      <c r="K1" s="670"/>
    </row>
    <row r="2" spans="1:13" ht="15" customHeight="1" x14ac:dyDescent="0.2">
      <c r="A2" s="669" t="s">
        <v>137</v>
      </c>
      <c r="B2" s="728">
        <f>'ANA SAYFA'!D31</f>
        <v>10982000370</v>
      </c>
      <c r="C2" s="1166"/>
      <c r="D2" s="1166"/>
      <c r="E2" s="1166"/>
      <c r="F2" s="1166"/>
      <c r="G2" s="1166"/>
      <c r="H2" s="1166"/>
      <c r="I2" s="668"/>
      <c r="J2" s="1229"/>
      <c r="K2" s="670"/>
    </row>
    <row r="3" spans="1:13" ht="15" customHeight="1" thickBot="1" x14ac:dyDescent="0.25">
      <c r="A3" s="669" t="s">
        <v>131</v>
      </c>
      <c r="B3" s="727" t="str">
        <f>'ANA SAYFA'!C31</f>
        <v>BEKÇİ</v>
      </c>
      <c r="C3" s="1166"/>
      <c r="D3" s="1166"/>
      <c r="E3" s="1166"/>
      <c r="F3" s="1166"/>
      <c r="G3" s="1166"/>
      <c r="H3" s="1166"/>
      <c r="I3" s="668"/>
      <c r="J3" s="1230"/>
      <c r="K3" s="670"/>
    </row>
    <row r="4" spans="1:13" ht="15" customHeight="1" x14ac:dyDescent="0.2">
      <c r="A4" s="669" t="s">
        <v>120</v>
      </c>
      <c r="B4" s="700">
        <f>'ANA SAYFA'!E31</f>
        <v>43560</v>
      </c>
      <c r="C4" s="1166"/>
      <c r="D4" s="1166"/>
      <c r="E4" s="1166"/>
      <c r="F4" s="1166"/>
      <c r="G4" s="1166"/>
      <c r="H4" s="1166"/>
      <c r="I4" s="668"/>
      <c r="J4" s="670"/>
      <c r="K4" s="670"/>
    </row>
    <row r="5" spans="1:13" ht="15" customHeight="1" x14ac:dyDescent="0.2">
      <c r="A5" s="669" t="s">
        <v>130</v>
      </c>
      <c r="B5" s="700">
        <f>'ANA SAYFA'!F31</f>
        <v>21491</v>
      </c>
      <c r="C5" s="1166"/>
      <c r="D5" s="1166"/>
      <c r="E5" s="1166"/>
      <c r="F5" s="1166"/>
      <c r="G5" s="1166"/>
      <c r="H5" s="1166"/>
      <c r="I5" s="668"/>
    </row>
    <row r="6" spans="1:13" ht="31.5" x14ac:dyDescent="0.2">
      <c r="A6" s="693" t="s">
        <v>0</v>
      </c>
      <c r="B6" s="694" t="s">
        <v>1</v>
      </c>
      <c r="C6" s="693" t="s">
        <v>2</v>
      </c>
      <c r="D6" s="695" t="s">
        <v>133</v>
      </c>
      <c r="E6" s="695" t="s">
        <v>4</v>
      </c>
      <c r="F6" s="695" t="s">
        <v>7</v>
      </c>
      <c r="G6" s="695" t="s">
        <v>6</v>
      </c>
      <c r="H6" s="695" t="s">
        <v>16</v>
      </c>
      <c r="I6" s="672"/>
    </row>
    <row r="7" spans="1:13" x14ac:dyDescent="0.2">
      <c r="A7" s="946"/>
      <c r="B7" s="694"/>
      <c r="C7" s="946"/>
      <c r="D7" s="695"/>
      <c r="E7" s="695"/>
      <c r="F7" s="695"/>
      <c r="G7" s="695"/>
      <c r="H7" s="695"/>
      <c r="I7" s="672"/>
    </row>
    <row r="8" spans="1:13" x14ac:dyDescent="0.2">
      <c r="A8" s="946"/>
      <c r="B8" s="694"/>
      <c r="C8" s="946"/>
      <c r="D8" s="695"/>
      <c r="E8" s="695"/>
      <c r="F8" s="700" t="s">
        <v>850</v>
      </c>
      <c r="G8" s="748">
        <v>20</v>
      </c>
      <c r="H8" s="695"/>
      <c r="I8" s="672"/>
    </row>
    <row r="9" spans="1:13" x14ac:dyDescent="0.2">
      <c r="A9" s="946"/>
      <c r="B9" s="694"/>
      <c r="C9" s="946"/>
      <c r="D9" s="695"/>
      <c r="E9" s="695"/>
      <c r="F9" s="700" t="s">
        <v>851</v>
      </c>
      <c r="G9" s="748">
        <v>20</v>
      </c>
      <c r="H9" s="695"/>
      <c r="I9" s="672"/>
      <c r="L9" s="896">
        <v>43560</v>
      </c>
    </row>
    <row r="10" spans="1:13" ht="15" customHeight="1" x14ac:dyDescent="0.2">
      <c r="A10" s="717"/>
      <c r="B10" s="729">
        <v>44755</v>
      </c>
      <c r="C10" s="730">
        <v>44760</v>
      </c>
      <c r="D10" s="735">
        <v>0.33333333333333331</v>
      </c>
      <c r="E10" s="735">
        <v>0.33333333333333331</v>
      </c>
      <c r="F10" s="700" t="s">
        <v>852</v>
      </c>
      <c r="G10" s="748">
        <v>20</v>
      </c>
      <c r="H10" s="755">
        <v>4</v>
      </c>
      <c r="I10" s="684"/>
      <c r="J10" s="670"/>
      <c r="K10" s="670" t="s">
        <v>849</v>
      </c>
      <c r="L10" s="896">
        <v>44471</v>
      </c>
    </row>
    <row r="11" spans="1:13" ht="15" customHeight="1" x14ac:dyDescent="0.2">
      <c r="A11" s="717"/>
      <c r="B11" s="729">
        <v>44828</v>
      </c>
      <c r="C11" s="730">
        <v>44830</v>
      </c>
      <c r="D11" s="735">
        <v>0.33333333333333331</v>
      </c>
      <c r="E11" s="735">
        <v>0.33333333333333331</v>
      </c>
      <c r="F11" s="700" t="s">
        <v>853</v>
      </c>
      <c r="G11" s="748">
        <v>20</v>
      </c>
      <c r="H11" s="755">
        <v>1</v>
      </c>
      <c r="I11" s="684"/>
      <c r="J11" s="670"/>
      <c r="K11" s="670"/>
      <c r="L11" s="522">
        <v>45900</v>
      </c>
      <c r="M11" s="699" t="s">
        <v>905</v>
      </c>
    </row>
    <row r="12" spans="1:13" ht="15" customHeight="1" x14ac:dyDescent="0.2">
      <c r="A12" s="717"/>
      <c r="B12" s="729">
        <v>45114</v>
      </c>
      <c r="C12" s="730">
        <v>45117</v>
      </c>
      <c r="D12" s="735">
        <v>0.33333333333333331</v>
      </c>
      <c r="E12" s="735">
        <v>0.33333333333333331</v>
      </c>
      <c r="F12" s="700" t="s">
        <v>854</v>
      </c>
      <c r="G12" s="748">
        <v>20</v>
      </c>
      <c r="H12" s="755">
        <v>2</v>
      </c>
      <c r="I12" s="684"/>
      <c r="J12" s="670"/>
      <c r="K12" s="670"/>
      <c r="L12" s="991">
        <v>45901</v>
      </c>
      <c r="M12" s="972" t="s">
        <v>906</v>
      </c>
    </row>
    <row r="13" spans="1:13" ht="15" customHeight="1" x14ac:dyDescent="0.2">
      <c r="A13" s="719"/>
      <c r="B13" s="729">
        <v>45562</v>
      </c>
      <c r="C13" s="730">
        <v>45565</v>
      </c>
      <c r="D13" s="735">
        <v>0.33333333333333331</v>
      </c>
      <c r="E13" s="735">
        <v>0.33333333333333331</v>
      </c>
      <c r="F13" s="700" t="s">
        <v>855</v>
      </c>
      <c r="G13" s="748">
        <v>20</v>
      </c>
      <c r="H13" s="755">
        <v>3</v>
      </c>
      <c r="I13" s="684"/>
      <c r="J13" s="670"/>
      <c r="K13" s="670"/>
    </row>
    <row r="14" spans="1:13" ht="15" customHeight="1" x14ac:dyDescent="0.2">
      <c r="A14" s="724"/>
      <c r="B14" s="945">
        <v>46003</v>
      </c>
      <c r="C14" s="732">
        <v>46005</v>
      </c>
      <c r="D14" s="733"/>
      <c r="E14" s="733"/>
      <c r="F14" s="723"/>
      <c r="G14" s="723"/>
      <c r="H14" s="748">
        <v>2</v>
      </c>
      <c r="I14" s="684"/>
      <c r="J14" s="670" t="s">
        <v>830</v>
      </c>
      <c r="K14" s="670"/>
    </row>
    <row r="15" spans="1:13" ht="15" customHeight="1" x14ac:dyDescent="0.2">
      <c r="A15" s="724"/>
      <c r="B15" s="945">
        <v>46048</v>
      </c>
      <c r="C15" s="761">
        <v>46050</v>
      </c>
      <c r="D15" s="762"/>
      <c r="E15" s="762"/>
      <c r="F15" s="723"/>
      <c r="G15" s="723"/>
      <c r="H15" s="748">
        <v>2</v>
      </c>
      <c r="I15" s="684"/>
      <c r="J15" s="670" t="s">
        <v>830</v>
      </c>
      <c r="K15" s="670"/>
    </row>
    <row r="16" spans="1:13" ht="15" customHeight="1" x14ac:dyDescent="0.2">
      <c r="A16" s="753"/>
      <c r="B16" s="760"/>
      <c r="C16" s="761"/>
      <c r="D16" s="762"/>
      <c r="E16" s="762"/>
      <c r="F16" s="723"/>
      <c r="G16" s="723"/>
      <c r="H16" s="748"/>
      <c r="I16" s="684"/>
      <c r="J16" s="670"/>
      <c r="K16" s="670"/>
    </row>
    <row r="17" spans="1:11" ht="15" customHeight="1" x14ac:dyDescent="0.2">
      <c r="A17" s="753"/>
      <c r="B17" s="760"/>
      <c r="C17" s="761"/>
      <c r="D17" s="762"/>
      <c r="E17" s="762"/>
      <c r="F17" s="723"/>
      <c r="G17" s="723"/>
      <c r="H17" s="755"/>
      <c r="I17" s="684"/>
      <c r="J17" s="670"/>
      <c r="K17" s="670"/>
    </row>
    <row r="18" spans="1:11" ht="15" customHeight="1" x14ac:dyDescent="0.2">
      <c r="A18" s="725"/>
      <c r="B18" s="760"/>
      <c r="C18" s="761"/>
      <c r="D18" s="762"/>
      <c r="E18" s="762"/>
      <c r="F18" s="723"/>
      <c r="G18" s="723"/>
      <c r="H18" s="748"/>
      <c r="I18" s="684"/>
      <c r="J18" s="670"/>
      <c r="K18" s="670"/>
    </row>
    <row r="19" spans="1:11" ht="15" customHeight="1" x14ac:dyDescent="0.2">
      <c r="A19" s="685"/>
      <c r="B19" s="720"/>
      <c r="C19" s="721"/>
      <c r="D19" s="722"/>
      <c r="E19" s="722"/>
      <c r="F19" s="698"/>
      <c r="G19" s="681"/>
      <c r="H19" s="755"/>
    </row>
    <row r="20" spans="1:11" ht="15" customHeight="1" x14ac:dyDescent="0.2">
      <c r="A20" s="685"/>
      <c r="B20" s="720"/>
      <c r="C20" s="721"/>
      <c r="D20" s="722"/>
      <c r="E20" s="722"/>
      <c r="F20" s="698"/>
      <c r="G20" s="681"/>
      <c r="H20" s="755"/>
    </row>
    <row r="21" spans="1:11" ht="15" customHeight="1" x14ac:dyDescent="0.2">
      <c r="A21" s="725"/>
      <c r="B21" s="720"/>
      <c r="C21" s="721"/>
      <c r="D21" s="722"/>
      <c r="E21" s="722"/>
      <c r="F21" s="718"/>
      <c r="G21" s="723"/>
      <c r="H21" s="723"/>
    </row>
    <row r="22" spans="1:11" ht="15" customHeight="1" x14ac:dyDescent="0.2">
      <c r="A22" s="725"/>
      <c r="B22" s="720"/>
      <c r="C22" s="721"/>
      <c r="D22" s="722"/>
      <c r="E22" s="722"/>
      <c r="F22" s="683"/>
      <c r="G22" s="691"/>
      <c r="H22" s="723"/>
    </row>
    <row r="23" spans="1:11" ht="15" customHeight="1" x14ac:dyDescent="0.2">
      <c r="A23" s="725"/>
      <c r="B23" s="720"/>
      <c r="C23" s="721"/>
      <c r="D23" s="722"/>
      <c r="E23" s="722"/>
      <c r="F23" s="683"/>
      <c r="G23" s="691"/>
      <c r="H23" s="758"/>
    </row>
    <row r="24" spans="1:11" ht="15" customHeight="1" x14ac:dyDescent="0.2">
      <c r="A24" s="725"/>
      <c r="B24" s="720"/>
      <c r="C24" s="721"/>
      <c r="D24" s="722"/>
      <c r="E24" s="722"/>
      <c r="F24" s="683"/>
      <c r="G24" s="691"/>
      <c r="H24" s="723"/>
    </row>
    <row r="25" spans="1:11" ht="15" customHeight="1" x14ac:dyDescent="0.2">
      <c r="A25" s="725"/>
      <c r="B25" s="720"/>
      <c r="C25" s="721"/>
      <c r="D25" s="722"/>
      <c r="E25" s="722"/>
      <c r="F25" s="683"/>
      <c r="G25" s="691"/>
      <c r="H25" s="692"/>
    </row>
    <row r="26" spans="1:11" ht="15" customHeight="1" x14ac:dyDescent="0.2">
      <c r="A26" s="725"/>
      <c r="B26" s="720"/>
      <c r="C26" s="721"/>
      <c r="D26" s="722"/>
      <c r="E26" s="722"/>
      <c r="F26" s="683"/>
      <c r="G26" s="691"/>
      <c r="H26" s="692"/>
    </row>
    <row r="27" spans="1:11" ht="15" customHeight="1" x14ac:dyDescent="0.2">
      <c r="A27" s="725"/>
      <c r="B27" s="720"/>
      <c r="C27" s="721"/>
      <c r="D27" s="722"/>
      <c r="E27" s="722"/>
      <c r="F27" s="683"/>
      <c r="G27" s="691"/>
      <c r="H27" s="691"/>
    </row>
    <row r="28" spans="1:11" x14ac:dyDescent="0.2">
      <c r="F28" s="696" t="s">
        <v>123</v>
      </c>
      <c r="G28" s="697">
        <f>SUM(G7:G27)</f>
        <v>120</v>
      </c>
      <c r="H28" s="697">
        <f>SUM(H7:H27)</f>
        <v>14</v>
      </c>
    </row>
    <row r="29" spans="1:11" x14ac:dyDescent="0.2">
      <c r="F29" s="689"/>
      <c r="G29" s="690"/>
      <c r="H29" s="690"/>
    </row>
    <row r="30" spans="1:11" ht="14.25" x14ac:dyDescent="0.2">
      <c r="F30" s="1153" t="s">
        <v>8</v>
      </c>
      <c r="G30" s="1154"/>
      <c r="H30" s="701">
        <f>G28-H28</f>
        <v>106</v>
      </c>
    </row>
    <row r="31" spans="1:11" ht="14.25" x14ac:dyDescent="0.2">
      <c r="A31" s="773" t="s">
        <v>733</v>
      </c>
      <c r="F31" s="838"/>
      <c r="G31" s="838"/>
      <c r="H31" s="821"/>
    </row>
    <row r="32" spans="1:11" x14ac:dyDescent="0.2">
      <c r="A32" s="1234" t="s">
        <v>845</v>
      </c>
      <c r="B32" s="1235"/>
      <c r="C32" s="1235"/>
      <c r="D32" s="1235"/>
      <c r="E32" s="1235"/>
      <c r="F32" s="1235"/>
      <c r="G32" s="1235"/>
      <c r="H32" s="1235"/>
    </row>
    <row r="33" spans="1:8" x14ac:dyDescent="0.2">
      <c r="A33" s="839"/>
      <c r="B33" s="839"/>
      <c r="C33" s="839"/>
      <c r="D33" s="839"/>
      <c r="E33" s="839"/>
      <c r="F33" s="839"/>
      <c r="G33" s="839"/>
      <c r="H33" s="839"/>
    </row>
    <row r="34" spans="1:8" ht="15" customHeight="1" x14ac:dyDescent="0.2">
      <c r="A34" s="840" t="s">
        <v>734</v>
      </c>
      <c r="B34" s="764"/>
    </row>
    <row r="35" spans="1:8" ht="15" customHeight="1" x14ac:dyDescent="0.2">
      <c r="A35" s="764" t="s">
        <v>844</v>
      </c>
      <c r="B35" s="841">
        <v>4017.17</v>
      </c>
      <c r="C35" s="522">
        <v>45660</v>
      </c>
      <c r="D35" s="896" t="s">
        <v>848</v>
      </c>
    </row>
    <row r="36" spans="1:8" ht="15" customHeight="1" x14ac:dyDescent="0.2">
      <c r="A36" s="764" t="s">
        <v>735</v>
      </c>
      <c r="B36" s="841">
        <v>25000</v>
      </c>
      <c r="C36" s="522">
        <v>45700</v>
      </c>
      <c r="D36" s="699" t="s">
        <v>848</v>
      </c>
    </row>
    <row r="37" spans="1:8" ht="15" customHeight="1" x14ac:dyDescent="0.2">
      <c r="A37" s="764" t="s">
        <v>736</v>
      </c>
      <c r="B37" s="841">
        <v>25000</v>
      </c>
      <c r="C37" s="522">
        <v>45723</v>
      </c>
      <c r="D37" s="699" t="s">
        <v>848</v>
      </c>
    </row>
    <row r="38" spans="1:8" ht="15" customHeight="1" x14ac:dyDescent="0.2">
      <c r="A38" s="764" t="s">
        <v>737</v>
      </c>
      <c r="B38" s="841">
        <v>25000</v>
      </c>
      <c r="C38" s="522">
        <v>45744</v>
      </c>
      <c r="D38" s="699" t="s">
        <v>848</v>
      </c>
    </row>
    <row r="39" spans="1:8" ht="15" customHeight="1" x14ac:dyDescent="0.2">
      <c r="A39" s="764" t="s">
        <v>785</v>
      </c>
      <c r="B39" s="841">
        <v>25000</v>
      </c>
      <c r="C39" s="522">
        <v>45786</v>
      </c>
      <c r="D39" s="699" t="s">
        <v>848</v>
      </c>
    </row>
    <row r="40" spans="1:8" ht="15" customHeight="1" x14ac:dyDescent="0.2">
      <c r="A40" s="764" t="s">
        <v>846</v>
      </c>
      <c r="B40" s="841">
        <v>25000</v>
      </c>
      <c r="C40" s="522">
        <v>45812</v>
      </c>
      <c r="D40" s="699" t="s">
        <v>848</v>
      </c>
    </row>
    <row r="41" spans="1:8" ht="15" customHeight="1" x14ac:dyDescent="0.2">
      <c r="A41" s="764" t="s">
        <v>847</v>
      </c>
      <c r="B41" s="841">
        <v>25000</v>
      </c>
      <c r="C41" s="522">
        <v>45842</v>
      </c>
      <c r="D41" s="699" t="s">
        <v>848</v>
      </c>
    </row>
    <row r="42" spans="1:8" ht="15" customHeight="1" x14ac:dyDescent="0.2">
      <c r="A42" s="842" t="s">
        <v>38</v>
      </c>
      <c r="B42" s="843">
        <f>SUM(B35:B41)</f>
        <v>154017.16999999998</v>
      </c>
    </row>
    <row r="43" spans="1:8" ht="15" customHeight="1" x14ac:dyDescent="0.2">
      <c r="A43" s="842" t="s">
        <v>848</v>
      </c>
      <c r="B43" s="843">
        <v>167833.66</v>
      </c>
    </row>
    <row r="44" spans="1:8" ht="15" customHeight="1" x14ac:dyDescent="0.2">
      <c r="A44" s="947" t="s">
        <v>856</v>
      </c>
      <c r="B44" s="948">
        <f>+B43-B42</f>
        <v>13816.49000000002</v>
      </c>
      <c r="C44" s="699" t="s">
        <v>907</v>
      </c>
    </row>
    <row r="45" spans="1:8" ht="15" customHeight="1" x14ac:dyDescent="0.2">
      <c r="A45" s="842"/>
      <c r="B45" s="843"/>
    </row>
    <row r="46" spans="1:8" x14ac:dyDescent="0.2">
      <c r="B46" s="844"/>
    </row>
    <row r="47" spans="1:8" x14ac:dyDescent="0.2">
      <c r="A47" s="972" t="s">
        <v>645</v>
      </c>
      <c r="B47" s="973">
        <v>45903</v>
      </c>
    </row>
    <row r="48" spans="1:8" x14ac:dyDescent="0.2">
      <c r="B48" s="844"/>
    </row>
    <row r="50" spans="6:8" x14ac:dyDescent="0.2">
      <c r="G50" s="699" t="s">
        <v>843</v>
      </c>
      <c r="H50" s="699">
        <v>23762.53</v>
      </c>
    </row>
    <row r="51" spans="6:8" x14ac:dyDescent="0.2">
      <c r="H51" s="699">
        <f>+H50/30</f>
        <v>792.08433333333335</v>
      </c>
    </row>
    <row r="52" spans="6:8" x14ac:dyDescent="0.2">
      <c r="H52" s="699">
        <v>25000</v>
      </c>
    </row>
    <row r="53" spans="6:8" x14ac:dyDescent="0.2">
      <c r="H53" s="699">
        <f>+H52/H51</f>
        <v>31.562295765644482</v>
      </c>
    </row>
    <row r="56" spans="6:8" x14ac:dyDescent="0.2">
      <c r="G56" s="896">
        <v>43560</v>
      </c>
    </row>
    <row r="57" spans="6:8" x14ac:dyDescent="0.2">
      <c r="G57" s="896">
        <v>45657</v>
      </c>
    </row>
    <row r="58" spans="6:8" x14ac:dyDescent="0.2">
      <c r="G58" s="896"/>
    </row>
    <row r="59" spans="6:8" x14ac:dyDescent="0.2">
      <c r="G59" s="896">
        <v>45657</v>
      </c>
      <c r="H59" s="699">
        <v>65921</v>
      </c>
    </row>
    <row r="60" spans="6:8" x14ac:dyDescent="0.2">
      <c r="G60" s="699" t="s">
        <v>857</v>
      </c>
      <c r="H60" s="699">
        <f>+H59/3</f>
        <v>21973.666666666668</v>
      </c>
    </row>
    <row r="61" spans="6:8" x14ac:dyDescent="0.2">
      <c r="G61" s="699" t="s">
        <v>858</v>
      </c>
      <c r="H61" s="699">
        <f>+H60/13</f>
        <v>1690.2820512820513</v>
      </c>
    </row>
    <row r="62" spans="6:8" x14ac:dyDescent="0.2">
      <c r="F62" s="949" t="s">
        <v>861</v>
      </c>
      <c r="G62" s="699" t="s">
        <v>859</v>
      </c>
      <c r="H62" s="699">
        <f>+H61*68</f>
        <v>114939.17948717948</v>
      </c>
    </row>
    <row r="63" spans="6:8" x14ac:dyDescent="0.2">
      <c r="G63" s="699" t="s">
        <v>860</v>
      </c>
    </row>
  </sheetData>
  <mergeCells count="4">
    <mergeCell ref="A32:H32"/>
    <mergeCell ref="F30:G30"/>
    <mergeCell ref="C1:H5"/>
    <mergeCell ref="J1:J3"/>
  </mergeCells>
  <hyperlinks>
    <hyperlink ref="J1:J3" location="'ANA SAYFA'!A1" display="ANA SAYFA"/>
  </hyperlinks>
  <pageMargins left="0.7" right="0.12" top="0.12" bottom="0.75" header="0.12" footer="0.3"/>
  <pageSetup paperSize="9" scale="68" orientation="portrait" r:id="rId1"/>
  <colBreaks count="1" manualBreakCount="1">
    <brk id="8" max="1048575"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0"/>
  <sheetViews>
    <sheetView zoomScaleNormal="100" workbookViewId="0">
      <pane ySplit="6" topLeftCell="A52" activePane="bottomLeft" state="frozen"/>
      <selection pane="bottomLeft" activeCell="J1" sqref="J1:J3"/>
    </sheetView>
  </sheetViews>
  <sheetFormatPr defaultRowHeight="12.75" x14ac:dyDescent="0.2"/>
  <cols>
    <col min="1" max="1" width="18.140625" bestFit="1" customWidth="1"/>
    <col min="2" max="2" width="29.28515625" bestFit="1" customWidth="1"/>
    <col min="3" max="3" width="23.5703125" bestFit="1" customWidth="1"/>
    <col min="6" max="6" width="17.28515625" bestFit="1" customWidth="1"/>
    <col min="7" max="8" width="14.28515625" style="235" customWidth="1"/>
    <col min="9" max="9" width="4.140625" customWidth="1"/>
    <col min="10" max="10" width="12.7109375" customWidth="1"/>
  </cols>
  <sheetData>
    <row r="1" spans="1:11" ht="14.25" customHeight="1" x14ac:dyDescent="0.2">
      <c r="A1" s="29" t="s">
        <v>135</v>
      </c>
      <c r="B1" s="232" t="str">
        <f>'ANA SAYFA'!B32</f>
        <v>MURAT ÖZSUBAŞI</v>
      </c>
      <c r="C1" s="1166" t="s">
        <v>136</v>
      </c>
      <c r="D1" s="1166"/>
      <c r="E1" s="1166"/>
      <c r="F1" s="1166"/>
      <c r="G1" s="1166"/>
      <c r="H1" s="1166"/>
      <c r="I1" s="28"/>
      <c r="J1" s="1183" t="s">
        <v>712</v>
      </c>
      <c r="K1" s="30"/>
    </row>
    <row r="2" spans="1:11" ht="14.25" customHeight="1" x14ac:dyDescent="0.2">
      <c r="A2" s="29" t="s">
        <v>137</v>
      </c>
      <c r="B2" s="154">
        <f>'ANA SAYFA'!D32</f>
        <v>31463194012</v>
      </c>
      <c r="C2" s="1166"/>
      <c r="D2" s="1166"/>
      <c r="E2" s="1166"/>
      <c r="F2" s="1166"/>
      <c r="G2" s="1166"/>
      <c r="H2" s="1166"/>
      <c r="I2" s="28"/>
      <c r="J2" s="1184"/>
      <c r="K2" s="30"/>
    </row>
    <row r="3" spans="1:11" ht="14.25" customHeight="1" thickBot="1" x14ac:dyDescent="0.25">
      <c r="A3" s="29" t="s">
        <v>131</v>
      </c>
      <c r="B3" s="153" t="str">
        <f>'ANA SAYFA'!C32</f>
        <v>EKSKAVATÖR OPERATÖRÜ</v>
      </c>
      <c r="C3" s="1166"/>
      <c r="D3" s="1166"/>
      <c r="E3" s="1166"/>
      <c r="F3" s="1166"/>
      <c r="G3" s="1166"/>
      <c r="H3" s="1166"/>
      <c r="I3" s="28"/>
      <c r="J3" s="1185"/>
      <c r="K3" s="30"/>
    </row>
    <row r="4" spans="1:11" ht="14.25" customHeight="1" x14ac:dyDescent="0.2">
      <c r="A4" s="29" t="s">
        <v>120</v>
      </c>
      <c r="B4" s="83">
        <f>'ANA SAYFA'!E32</f>
        <v>41505</v>
      </c>
      <c r="C4" s="1166"/>
      <c r="D4" s="1166"/>
      <c r="E4" s="1166"/>
      <c r="F4" s="1166"/>
      <c r="G4" s="1166"/>
      <c r="H4" s="1166"/>
      <c r="I4" s="28"/>
      <c r="J4" s="30"/>
      <c r="K4" s="30"/>
    </row>
    <row r="5" spans="1:11" ht="14.25" customHeight="1" x14ac:dyDescent="0.2">
      <c r="A5" s="29" t="s">
        <v>130</v>
      </c>
      <c r="B5" s="83">
        <f>'ANA SAYFA'!F32</f>
        <v>26826</v>
      </c>
      <c r="C5" s="1166"/>
      <c r="D5" s="1166"/>
      <c r="E5" s="1166"/>
      <c r="F5" s="1166"/>
      <c r="G5" s="1166"/>
      <c r="H5" s="1166"/>
      <c r="I5" s="28"/>
      <c r="J5" s="653"/>
      <c r="K5" s="653"/>
    </row>
    <row r="6" spans="1:11" ht="31.5" x14ac:dyDescent="0.2">
      <c r="A6" s="69" t="s">
        <v>0</v>
      </c>
      <c r="B6" s="70" t="s">
        <v>1</v>
      </c>
      <c r="C6" s="69" t="s">
        <v>2</v>
      </c>
      <c r="D6" s="71" t="s">
        <v>133</v>
      </c>
      <c r="E6" s="71" t="s">
        <v>4</v>
      </c>
      <c r="F6" s="71" t="s">
        <v>7</v>
      </c>
      <c r="G6" s="71" t="s">
        <v>6</v>
      </c>
      <c r="H6" s="71" t="s">
        <v>16</v>
      </c>
      <c r="I6" s="34"/>
      <c r="J6" s="653"/>
      <c r="K6" s="653"/>
    </row>
    <row r="7" spans="1:11" x14ac:dyDescent="0.2">
      <c r="A7" s="12"/>
      <c r="B7" s="17">
        <v>41618</v>
      </c>
      <c r="C7" s="18">
        <v>41619</v>
      </c>
      <c r="D7" s="13">
        <v>0.3125</v>
      </c>
      <c r="E7" s="13">
        <v>0.3125</v>
      </c>
      <c r="F7" s="23" t="s">
        <v>12</v>
      </c>
      <c r="G7" s="6">
        <v>14</v>
      </c>
      <c r="H7" s="22">
        <v>1</v>
      </c>
      <c r="I7" s="49"/>
      <c r="J7" s="30"/>
      <c r="K7" s="30"/>
    </row>
    <row r="8" spans="1:11" x14ac:dyDescent="0.2">
      <c r="A8" s="12"/>
      <c r="B8" s="17">
        <v>41619</v>
      </c>
      <c r="C8" s="18">
        <v>41624</v>
      </c>
      <c r="D8" s="8">
        <v>0.51041666666666663</v>
      </c>
      <c r="E8" s="8">
        <v>0.3125</v>
      </c>
      <c r="F8" s="22" t="s">
        <v>13</v>
      </c>
      <c r="G8" s="6">
        <v>14</v>
      </c>
      <c r="H8" s="22">
        <v>3</v>
      </c>
      <c r="I8" s="49"/>
      <c r="J8" s="30"/>
      <c r="K8" s="30"/>
    </row>
    <row r="9" spans="1:11" x14ac:dyDescent="0.2">
      <c r="A9" s="2"/>
      <c r="B9" s="17">
        <v>41752</v>
      </c>
      <c r="C9" s="19">
        <v>41753</v>
      </c>
      <c r="D9" s="9">
        <v>0.52083333333333337</v>
      </c>
      <c r="E9" s="9">
        <v>0.3125</v>
      </c>
      <c r="F9" s="22" t="s">
        <v>31</v>
      </c>
      <c r="G9" s="6">
        <v>14</v>
      </c>
      <c r="H9" s="6">
        <v>0.5</v>
      </c>
      <c r="I9" s="49"/>
      <c r="J9" s="30"/>
      <c r="K9" s="30"/>
    </row>
    <row r="10" spans="1:11" x14ac:dyDescent="0.2">
      <c r="A10" s="2"/>
      <c r="B10" s="17">
        <v>41769</v>
      </c>
      <c r="C10" s="19">
        <v>41771</v>
      </c>
      <c r="D10" s="8">
        <v>0.33333333333333331</v>
      </c>
      <c r="E10" s="8">
        <v>0.3125</v>
      </c>
      <c r="F10" s="22" t="s">
        <v>32</v>
      </c>
      <c r="G10" s="25">
        <v>14</v>
      </c>
      <c r="H10" s="6">
        <v>1</v>
      </c>
      <c r="I10" s="49"/>
      <c r="J10" s="30"/>
      <c r="K10" s="30"/>
    </row>
    <row r="11" spans="1:11" x14ac:dyDescent="0.2">
      <c r="A11" s="4"/>
      <c r="B11" s="14">
        <v>41965</v>
      </c>
      <c r="C11" s="20">
        <v>41966</v>
      </c>
      <c r="D11" s="10">
        <v>0.33333333333333331</v>
      </c>
      <c r="E11" s="10">
        <v>0.3125</v>
      </c>
      <c r="F11" s="22" t="s">
        <v>33</v>
      </c>
      <c r="G11" s="25">
        <v>14</v>
      </c>
      <c r="H11" s="25">
        <v>1</v>
      </c>
      <c r="I11" s="49"/>
      <c r="J11" s="30"/>
      <c r="K11" s="30"/>
    </row>
    <row r="12" spans="1:11" x14ac:dyDescent="0.2">
      <c r="A12" s="4"/>
      <c r="B12" s="14">
        <v>42054</v>
      </c>
      <c r="C12" s="20">
        <v>42059</v>
      </c>
      <c r="D12" s="10">
        <v>0.33333333333333331</v>
      </c>
      <c r="E12" s="10">
        <v>0.5</v>
      </c>
      <c r="F12" s="22" t="s">
        <v>50</v>
      </c>
      <c r="G12" s="25">
        <v>20</v>
      </c>
      <c r="H12" s="6">
        <v>4.5</v>
      </c>
      <c r="I12" s="49"/>
      <c r="J12" s="30"/>
      <c r="K12" s="30"/>
    </row>
    <row r="13" spans="1:11" x14ac:dyDescent="0.2">
      <c r="A13" s="5"/>
      <c r="B13" s="14">
        <v>42124</v>
      </c>
      <c r="C13" s="20">
        <v>42128</v>
      </c>
      <c r="D13" s="10">
        <v>0.54166666666666663</v>
      </c>
      <c r="E13" s="10">
        <v>0.3125</v>
      </c>
      <c r="F13" s="22" t="s">
        <v>87</v>
      </c>
      <c r="G13" s="25">
        <v>20</v>
      </c>
      <c r="H13" s="6">
        <v>2.5</v>
      </c>
      <c r="I13" s="49"/>
      <c r="J13" s="30"/>
      <c r="K13" s="30"/>
    </row>
    <row r="14" spans="1:11" x14ac:dyDescent="0.2">
      <c r="A14" s="5"/>
      <c r="B14" s="14">
        <v>42217</v>
      </c>
      <c r="C14" s="20">
        <v>42221</v>
      </c>
      <c r="D14" s="10">
        <v>0.75</v>
      </c>
      <c r="E14" s="10">
        <v>0.33333333333333331</v>
      </c>
      <c r="F14" s="22" t="s">
        <v>88</v>
      </c>
      <c r="G14" s="25">
        <v>20</v>
      </c>
      <c r="H14" s="6">
        <v>2</v>
      </c>
      <c r="I14" s="49"/>
      <c r="J14" s="30"/>
      <c r="K14" s="30"/>
    </row>
    <row r="15" spans="1:11" x14ac:dyDescent="0.2">
      <c r="A15" s="1"/>
      <c r="B15" s="14">
        <v>42294</v>
      </c>
      <c r="C15" s="20">
        <v>42296</v>
      </c>
      <c r="D15" s="10">
        <v>0.39583333333333331</v>
      </c>
      <c r="E15" s="10">
        <v>0.33333333333333331</v>
      </c>
      <c r="F15" s="22" t="s">
        <v>446</v>
      </c>
      <c r="G15" s="25">
        <v>20</v>
      </c>
      <c r="H15" s="25">
        <v>1</v>
      </c>
      <c r="I15" s="49"/>
      <c r="J15" s="30"/>
      <c r="K15" s="30"/>
    </row>
    <row r="16" spans="1:11" x14ac:dyDescent="0.2">
      <c r="A16" s="55"/>
      <c r="B16" s="14">
        <v>42545</v>
      </c>
      <c r="C16" s="20">
        <v>42546</v>
      </c>
      <c r="D16" s="10">
        <v>0.33333333333333331</v>
      </c>
      <c r="E16" s="10">
        <v>0.33333333333333331</v>
      </c>
      <c r="F16" s="22" t="s">
        <v>447</v>
      </c>
      <c r="G16" s="25">
        <v>20</v>
      </c>
      <c r="H16" s="25">
        <v>1</v>
      </c>
    </row>
    <row r="17" spans="1:8" x14ac:dyDescent="0.2">
      <c r="A17" s="55"/>
      <c r="B17" s="15">
        <v>42632</v>
      </c>
      <c r="C17" s="16">
        <v>42633</v>
      </c>
      <c r="D17" s="8">
        <v>0.5</v>
      </c>
      <c r="E17" s="8">
        <v>0.33333333333333331</v>
      </c>
      <c r="F17" s="22" t="s">
        <v>617</v>
      </c>
      <c r="G17" s="25">
        <v>20</v>
      </c>
      <c r="H17" s="25">
        <v>0.5</v>
      </c>
    </row>
    <row r="18" spans="1:8" x14ac:dyDescent="0.2">
      <c r="A18" s="1"/>
      <c r="B18" s="15">
        <v>42713</v>
      </c>
      <c r="C18" s="16">
        <v>42716</v>
      </c>
      <c r="D18" s="10">
        <v>0.33333333333333331</v>
      </c>
      <c r="E18" s="10">
        <v>0.33333333333333331</v>
      </c>
      <c r="F18" s="7" t="s">
        <v>881</v>
      </c>
      <c r="G18" s="25">
        <v>20</v>
      </c>
      <c r="H18" s="25">
        <v>2</v>
      </c>
    </row>
    <row r="19" spans="1:8" x14ac:dyDescent="0.2">
      <c r="A19" s="1"/>
      <c r="B19" s="15">
        <v>42902</v>
      </c>
      <c r="C19" s="16">
        <v>42914</v>
      </c>
      <c r="D19" s="10">
        <v>0.33333333333333331</v>
      </c>
      <c r="E19" s="10">
        <v>0.33333333333333331</v>
      </c>
      <c r="F19" s="7"/>
      <c r="G19" s="25"/>
      <c r="H19" s="25">
        <v>9</v>
      </c>
    </row>
    <row r="20" spans="1:8" x14ac:dyDescent="0.2">
      <c r="A20" s="1"/>
      <c r="B20" s="15">
        <v>43176</v>
      </c>
      <c r="C20" s="16">
        <v>43182</v>
      </c>
      <c r="D20" s="10">
        <v>0.33333333333333331</v>
      </c>
      <c r="E20" s="10">
        <v>0.33333333333333331</v>
      </c>
      <c r="F20" s="7"/>
      <c r="G20" s="25"/>
      <c r="H20" s="25">
        <v>5</v>
      </c>
    </row>
    <row r="21" spans="1:8" x14ac:dyDescent="0.2">
      <c r="A21" s="1"/>
      <c r="B21" s="15">
        <v>43200</v>
      </c>
      <c r="C21" s="16">
        <v>43201</v>
      </c>
      <c r="D21" s="10">
        <v>0.33333333333333331</v>
      </c>
      <c r="E21" s="10">
        <v>0.33333333333333331</v>
      </c>
      <c r="F21" s="7"/>
      <c r="G21" s="25"/>
      <c r="H21" s="25">
        <v>1</v>
      </c>
    </row>
    <row r="22" spans="1:8" x14ac:dyDescent="0.2">
      <c r="A22" s="1"/>
      <c r="B22" s="15">
        <v>43297</v>
      </c>
      <c r="C22" s="16">
        <v>43298</v>
      </c>
      <c r="D22" s="10">
        <v>0.33333333333333331</v>
      </c>
      <c r="E22" s="10">
        <v>0.33333333333333331</v>
      </c>
      <c r="F22" s="7"/>
      <c r="G22" s="25"/>
      <c r="H22" s="25">
        <v>1</v>
      </c>
    </row>
    <row r="23" spans="1:8" x14ac:dyDescent="0.2">
      <c r="A23" s="1"/>
      <c r="B23" s="15">
        <v>43302</v>
      </c>
      <c r="C23" s="16">
        <v>43304</v>
      </c>
      <c r="D23" s="10">
        <v>0.33333333333333331</v>
      </c>
      <c r="E23" s="10">
        <v>0.33333333333333331</v>
      </c>
      <c r="F23" s="7"/>
      <c r="G23" s="25"/>
      <c r="H23" s="25">
        <v>1</v>
      </c>
    </row>
    <row r="24" spans="1:8" x14ac:dyDescent="0.2">
      <c r="A24" s="24" t="s">
        <v>34</v>
      </c>
      <c r="B24" s="15"/>
      <c r="C24" s="16"/>
      <c r="D24" s="8"/>
      <c r="E24" s="8"/>
      <c r="F24" s="7"/>
      <c r="G24" s="25"/>
      <c r="H24" s="25">
        <v>19</v>
      </c>
    </row>
    <row r="25" spans="1:8" x14ac:dyDescent="0.2">
      <c r="A25" s="1"/>
      <c r="B25" s="15">
        <v>43384</v>
      </c>
      <c r="C25" s="16">
        <v>43386</v>
      </c>
      <c r="D25" s="10">
        <v>0.33333333333333331</v>
      </c>
      <c r="E25" s="10">
        <v>0.33333333333333331</v>
      </c>
      <c r="F25" s="7"/>
      <c r="G25" s="25"/>
      <c r="H25" s="25">
        <v>1</v>
      </c>
    </row>
    <row r="26" spans="1:8" x14ac:dyDescent="0.2">
      <c r="A26" s="1"/>
      <c r="B26" s="15">
        <v>43412</v>
      </c>
      <c r="C26" s="16">
        <v>43127</v>
      </c>
      <c r="D26" s="10">
        <v>0.33333333333333331</v>
      </c>
      <c r="E26" s="10">
        <v>0.33333333333333331</v>
      </c>
      <c r="F26" s="7"/>
      <c r="G26" s="25"/>
      <c r="H26" s="25">
        <v>10</v>
      </c>
    </row>
    <row r="27" spans="1:8" x14ac:dyDescent="0.2">
      <c r="A27" s="1"/>
      <c r="B27" s="15">
        <v>43505</v>
      </c>
      <c r="C27" s="16">
        <v>43507</v>
      </c>
      <c r="D27" s="10">
        <v>0.33333333333333331</v>
      </c>
      <c r="E27" s="10">
        <v>0.33333333333333331</v>
      </c>
      <c r="F27" s="7"/>
      <c r="G27" s="25"/>
      <c r="H27" s="25">
        <v>1</v>
      </c>
    </row>
    <row r="28" spans="1:8" x14ac:dyDescent="0.2">
      <c r="A28" s="1"/>
      <c r="B28" s="15">
        <v>43698</v>
      </c>
      <c r="C28" s="16">
        <v>43699</v>
      </c>
      <c r="D28" s="10">
        <v>0.33333333333333331</v>
      </c>
      <c r="E28" s="10">
        <v>0.33333333333333331</v>
      </c>
      <c r="F28" s="7"/>
      <c r="G28" s="25"/>
      <c r="H28" s="25">
        <v>1</v>
      </c>
    </row>
    <row r="29" spans="1:8" x14ac:dyDescent="0.2">
      <c r="A29" s="1"/>
      <c r="B29" s="15">
        <v>43747</v>
      </c>
      <c r="C29" s="16">
        <v>43748</v>
      </c>
      <c r="D29" s="10">
        <v>0.33333333333333331</v>
      </c>
      <c r="E29" s="10">
        <v>0.33333333333333331</v>
      </c>
      <c r="F29" s="7"/>
      <c r="G29" s="25"/>
      <c r="H29" s="25">
        <v>1</v>
      </c>
    </row>
    <row r="30" spans="1:8" x14ac:dyDescent="0.2">
      <c r="A30" s="1"/>
      <c r="B30" s="15">
        <v>43868</v>
      </c>
      <c r="C30" s="16">
        <v>43880</v>
      </c>
      <c r="D30" s="10">
        <v>0.33333333333333331</v>
      </c>
      <c r="E30" s="10">
        <v>0.33333333333333331</v>
      </c>
      <c r="F30" s="7"/>
      <c r="G30" s="25"/>
      <c r="H30" s="25">
        <v>10</v>
      </c>
    </row>
    <row r="31" spans="1:8" x14ac:dyDescent="0.2">
      <c r="A31" s="1"/>
      <c r="B31" s="15">
        <v>43929</v>
      </c>
      <c r="C31" s="16">
        <v>43948</v>
      </c>
      <c r="D31" s="10">
        <v>0.33333333333333331</v>
      </c>
      <c r="E31" s="10">
        <v>0.33333333333333331</v>
      </c>
      <c r="F31" s="7"/>
      <c r="G31" s="25"/>
      <c r="H31" s="25">
        <v>16</v>
      </c>
    </row>
    <row r="32" spans="1:8" x14ac:dyDescent="0.2">
      <c r="A32" s="1"/>
      <c r="B32" s="15">
        <v>44242</v>
      </c>
      <c r="C32" s="16">
        <v>44249</v>
      </c>
      <c r="D32" s="8">
        <v>0.33333333333333331</v>
      </c>
      <c r="E32" s="8">
        <v>0.33333333333333331</v>
      </c>
      <c r="F32" s="7"/>
      <c r="G32" s="25"/>
      <c r="H32" s="25">
        <v>6</v>
      </c>
    </row>
    <row r="33" spans="1:8" x14ac:dyDescent="0.2">
      <c r="A33" s="1"/>
      <c r="B33" s="15">
        <v>44404</v>
      </c>
      <c r="C33" s="16">
        <v>44411</v>
      </c>
      <c r="D33" s="8">
        <v>0.33333333333333331</v>
      </c>
      <c r="E33" s="8">
        <v>0.33333333333333331</v>
      </c>
      <c r="F33" s="7"/>
      <c r="G33" s="25"/>
      <c r="H33" s="25">
        <v>6</v>
      </c>
    </row>
    <row r="34" spans="1:8" x14ac:dyDescent="0.2">
      <c r="A34" s="1"/>
      <c r="B34" s="15">
        <v>44558</v>
      </c>
      <c r="C34" s="16">
        <v>44564</v>
      </c>
      <c r="D34" s="8">
        <v>0.33333333333333331</v>
      </c>
      <c r="E34" s="8">
        <v>0.33333333333333331</v>
      </c>
      <c r="F34" s="7"/>
      <c r="G34" s="25"/>
      <c r="H34" s="25">
        <v>5</v>
      </c>
    </row>
    <row r="35" spans="1:8" x14ac:dyDescent="0.2">
      <c r="A35" s="1"/>
      <c r="B35" s="15">
        <v>44593</v>
      </c>
      <c r="C35" s="16">
        <v>44593</v>
      </c>
      <c r="D35" s="8">
        <v>0.54166666666666663</v>
      </c>
      <c r="E35" s="8">
        <v>0.33333333333333331</v>
      </c>
      <c r="F35" s="7"/>
      <c r="G35" s="25"/>
      <c r="H35" s="27">
        <v>0.5</v>
      </c>
    </row>
    <row r="36" spans="1:8" x14ac:dyDescent="0.2">
      <c r="A36" s="1"/>
      <c r="B36" s="15">
        <v>44618</v>
      </c>
      <c r="C36" s="16">
        <v>44618</v>
      </c>
      <c r="D36" s="8">
        <v>0.54166666666666663</v>
      </c>
      <c r="E36" s="8">
        <v>0.33333333333333331</v>
      </c>
      <c r="F36" s="7"/>
      <c r="G36" s="25"/>
      <c r="H36" s="27">
        <v>0.5</v>
      </c>
    </row>
    <row r="37" spans="1:8" x14ac:dyDescent="0.2">
      <c r="A37" s="1"/>
      <c r="B37" s="15">
        <v>44883</v>
      </c>
      <c r="C37" s="16">
        <v>44884</v>
      </c>
      <c r="D37" s="8">
        <v>0.33333333333333331</v>
      </c>
      <c r="E37" s="8">
        <v>0.33333333333333331</v>
      </c>
      <c r="F37" s="7"/>
      <c r="G37" s="25"/>
      <c r="H37" s="27">
        <v>1</v>
      </c>
    </row>
    <row r="38" spans="1:8" x14ac:dyDescent="0.2">
      <c r="A38" s="1"/>
      <c r="B38" s="15">
        <v>44884</v>
      </c>
      <c r="C38" s="16">
        <v>44886</v>
      </c>
      <c r="D38" s="8">
        <v>0.5</v>
      </c>
      <c r="E38" s="8">
        <v>0.33333333333333331</v>
      </c>
      <c r="F38" s="7"/>
      <c r="G38" s="25"/>
      <c r="H38" s="27">
        <v>0.5</v>
      </c>
    </row>
    <row r="39" spans="1:8" x14ac:dyDescent="0.2">
      <c r="A39" s="1"/>
      <c r="B39" s="15">
        <v>45034</v>
      </c>
      <c r="C39" s="16">
        <v>45035</v>
      </c>
      <c r="D39" s="8">
        <v>0.33333333333333331</v>
      </c>
      <c r="E39" s="8">
        <v>0.33333333333333331</v>
      </c>
      <c r="F39" s="7"/>
      <c r="G39" s="25"/>
      <c r="H39" s="27">
        <v>1</v>
      </c>
    </row>
    <row r="40" spans="1:8" x14ac:dyDescent="0.2">
      <c r="A40" s="1"/>
      <c r="B40" s="15">
        <v>45068</v>
      </c>
      <c r="C40" s="16">
        <v>45069</v>
      </c>
      <c r="D40" s="8">
        <v>0.33333333333333331</v>
      </c>
      <c r="E40" s="8">
        <v>0.33333333333333331</v>
      </c>
      <c r="F40" s="7"/>
      <c r="G40" s="25"/>
      <c r="H40" s="27">
        <v>1</v>
      </c>
    </row>
    <row r="41" spans="1:8" x14ac:dyDescent="0.2">
      <c r="A41" s="1"/>
      <c r="B41" s="15">
        <v>45103</v>
      </c>
      <c r="C41" s="16">
        <v>45110</v>
      </c>
      <c r="D41" s="8">
        <v>0.33333333333333331</v>
      </c>
      <c r="E41" s="8">
        <v>0.33333333333333331</v>
      </c>
      <c r="F41" s="7"/>
      <c r="G41" s="25"/>
      <c r="H41" s="27">
        <v>1</v>
      </c>
    </row>
    <row r="42" spans="1:8" x14ac:dyDescent="0.2">
      <c r="A42" s="1"/>
      <c r="B42" s="15">
        <v>45147</v>
      </c>
      <c r="C42" s="16">
        <v>45148</v>
      </c>
      <c r="D42" s="8">
        <v>0.33333333333333331</v>
      </c>
      <c r="E42" s="8">
        <v>0.33333333333333331</v>
      </c>
      <c r="F42" s="7"/>
      <c r="G42" s="25"/>
      <c r="H42" s="27">
        <v>1</v>
      </c>
    </row>
    <row r="43" spans="1:8" x14ac:dyDescent="0.2">
      <c r="A43" s="1"/>
      <c r="B43" s="15">
        <v>45199</v>
      </c>
      <c r="C43" s="16">
        <v>45201</v>
      </c>
      <c r="D43" s="8">
        <v>0.33333333333333331</v>
      </c>
      <c r="E43" s="8">
        <v>0.33333333333333331</v>
      </c>
      <c r="F43" s="7"/>
      <c r="G43" s="25"/>
      <c r="H43" s="27">
        <v>1</v>
      </c>
    </row>
    <row r="44" spans="1:8" x14ac:dyDescent="0.2">
      <c r="A44" s="1"/>
      <c r="B44" s="15">
        <v>45226</v>
      </c>
      <c r="C44" s="16">
        <v>45229</v>
      </c>
      <c r="D44" s="8">
        <v>0.33333333333333331</v>
      </c>
      <c r="E44" s="8">
        <v>0.33333333333333331</v>
      </c>
      <c r="F44" s="7"/>
      <c r="G44" s="25"/>
      <c r="H44" s="27">
        <v>2</v>
      </c>
    </row>
    <row r="45" spans="1:8" x14ac:dyDescent="0.2">
      <c r="A45" s="1"/>
      <c r="B45" s="15">
        <v>45243</v>
      </c>
      <c r="C45" s="16">
        <v>45250</v>
      </c>
      <c r="D45" s="8">
        <v>0.33333333333333331</v>
      </c>
      <c r="E45" s="8">
        <v>0.33333333333333331</v>
      </c>
      <c r="F45" s="7"/>
      <c r="G45" s="25"/>
      <c r="H45" s="27">
        <v>6</v>
      </c>
    </row>
    <row r="46" spans="1:8" x14ac:dyDescent="0.2">
      <c r="A46" s="1"/>
      <c r="B46" s="15">
        <v>45266</v>
      </c>
      <c r="C46" s="16">
        <v>45271</v>
      </c>
      <c r="D46" s="8">
        <v>0.5</v>
      </c>
      <c r="E46" s="8">
        <v>0.33333333333333331</v>
      </c>
      <c r="F46" s="7"/>
      <c r="G46" s="25"/>
      <c r="H46" s="27">
        <v>3.5</v>
      </c>
    </row>
    <row r="47" spans="1:8" x14ac:dyDescent="0.2">
      <c r="A47" s="1"/>
      <c r="B47" s="15" t="s">
        <v>519</v>
      </c>
      <c r="C47" s="16" t="s">
        <v>518</v>
      </c>
      <c r="D47" s="8">
        <v>0.33333333333333331</v>
      </c>
      <c r="E47" s="8">
        <v>0.33333333333333331</v>
      </c>
      <c r="F47" s="7"/>
      <c r="G47" s="25"/>
      <c r="H47" s="27">
        <v>3</v>
      </c>
    </row>
    <row r="48" spans="1:8" x14ac:dyDescent="0.2">
      <c r="A48" s="1"/>
      <c r="B48" s="15">
        <v>45446</v>
      </c>
      <c r="C48" s="16">
        <v>45447</v>
      </c>
      <c r="D48" s="659">
        <v>0.33333333333333331</v>
      </c>
      <c r="E48" s="659">
        <v>0.33333333333333331</v>
      </c>
      <c r="F48" s="7"/>
      <c r="G48" s="25"/>
      <c r="H48" s="27">
        <v>1</v>
      </c>
    </row>
    <row r="49" spans="1:10" s="653" customFormat="1" x14ac:dyDescent="0.2">
      <c r="A49" s="654"/>
      <c r="B49" s="662">
        <v>45464</v>
      </c>
      <c r="C49" s="663">
        <v>45464</v>
      </c>
      <c r="D49" s="659">
        <v>0.5</v>
      </c>
      <c r="E49" s="659">
        <v>0.33333333333333331</v>
      </c>
      <c r="F49" s="658"/>
      <c r="G49" s="666"/>
      <c r="H49" s="667">
        <v>0.5</v>
      </c>
    </row>
    <row r="50" spans="1:10" x14ac:dyDescent="0.2">
      <c r="A50" s="1"/>
      <c r="B50" s="15">
        <v>45488</v>
      </c>
      <c r="C50" s="16">
        <v>45504</v>
      </c>
      <c r="D50" s="659">
        <v>0.33333333333333331</v>
      </c>
      <c r="E50" s="659">
        <v>0.33333333333333331</v>
      </c>
      <c r="F50" s="7"/>
      <c r="G50" s="25"/>
      <c r="H50" s="27">
        <v>15</v>
      </c>
    </row>
    <row r="51" spans="1:10" x14ac:dyDescent="0.2">
      <c r="A51" s="1"/>
      <c r="B51" s="15">
        <v>45677</v>
      </c>
      <c r="C51" s="16">
        <v>45679</v>
      </c>
      <c r="D51" s="659">
        <v>0.33333333333333331</v>
      </c>
      <c r="E51" s="659">
        <v>0.33333333333333331</v>
      </c>
      <c r="F51" s="7"/>
      <c r="G51" s="25"/>
      <c r="H51" s="27">
        <v>3</v>
      </c>
    </row>
    <row r="52" spans="1:10" x14ac:dyDescent="0.2">
      <c r="A52" s="1"/>
      <c r="B52" s="15">
        <v>45692</v>
      </c>
      <c r="C52" s="16">
        <v>45693</v>
      </c>
      <c r="D52" s="659">
        <v>0.33333333333333331</v>
      </c>
      <c r="E52" s="659">
        <v>0.33333333333333331</v>
      </c>
      <c r="F52" s="7"/>
      <c r="G52" s="25"/>
      <c r="H52" s="27">
        <v>2</v>
      </c>
    </row>
    <row r="53" spans="1:10" x14ac:dyDescent="0.2">
      <c r="A53" s="1"/>
      <c r="B53" s="15">
        <v>45721</v>
      </c>
      <c r="C53" s="16">
        <v>45721</v>
      </c>
      <c r="D53" s="659">
        <v>0.33333333333333331</v>
      </c>
      <c r="E53" s="659">
        <v>0.33333333333333331</v>
      </c>
      <c r="F53" s="7"/>
      <c r="G53" s="25"/>
      <c r="H53" s="27">
        <v>1</v>
      </c>
    </row>
    <row r="54" spans="1:10" x14ac:dyDescent="0.2">
      <c r="A54" s="1"/>
      <c r="B54" s="15">
        <v>45730</v>
      </c>
      <c r="C54" s="16">
        <v>45745</v>
      </c>
      <c r="D54" s="659">
        <v>0.33333333333333331</v>
      </c>
      <c r="E54" s="659">
        <v>0.33333333333333331</v>
      </c>
      <c r="F54" s="7"/>
      <c r="G54" s="25"/>
      <c r="H54" s="27">
        <v>13</v>
      </c>
    </row>
    <row r="55" spans="1:10" s="653" customFormat="1" x14ac:dyDescent="0.2">
      <c r="A55" s="654"/>
      <c r="B55" s="662">
        <v>45863</v>
      </c>
      <c r="C55" s="663">
        <v>45864</v>
      </c>
      <c r="D55" s="659"/>
      <c r="E55" s="659"/>
      <c r="F55" s="658"/>
      <c r="G55" s="666"/>
      <c r="H55" s="667">
        <v>2</v>
      </c>
    </row>
    <row r="56" spans="1:10" s="653" customFormat="1" x14ac:dyDescent="0.2">
      <c r="A56" s="654"/>
      <c r="B56" s="662">
        <v>45920</v>
      </c>
      <c r="C56" s="663">
        <v>45936</v>
      </c>
      <c r="D56" s="659"/>
      <c r="E56" s="659"/>
      <c r="F56" s="658"/>
      <c r="G56" s="666"/>
      <c r="H56" s="667">
        <v>13</v>
      </c>
    </row>
    <row r="57" spans="1:10" s="653" customFormat="1" x14ac:dyDescent="0.2">
      <c r="A57" s="654"/>
      <c r="B57" s="662">
        <v>45937</v>
      </c>
      <c r="C57" s="663">
        <v>45938</v>
      </c>
      <c r="D57" s="659"/>
      <c r="E57" s="659"/>
      <c r="F57" s="658"/>
      <c r="G57" s="666"/>
      <c r="H57" s="667">
        <v>1</v>
      </c>
    </row>
    <row r="58" spans="1:10" s="653" customFormat="1" x14ac:dyDescent="0.2">
      <c r="A58" s="654"/>
      <c r="B58" s="662">
        <v>46115</v>
      </c>
      <c r="C58" s="663">
        <v>46116</v>
      </c>
      <c r="D58" s="659"/>
      <c r="E58" s="659"/>
      <c r="F58" s="658"/>
      <c r="G58" s="666"/>
      <c r="H58" s="667">
        <v>1</v>
      </c>
      <c r="J58" s="801" t="s">
        <v>830</v>
      </c>
    </row>
    <row r="59" spans="1:10" s="653" customFormat="1" x14ac:dyDescent="0.2">
      <c r="A59" s="654"/>
      <c r="B59" s="662">
        <v>46136</v>
      </c>
      <c r="C59" s="663">
        <v>46137</v>
      </c>
      <c r="D59" s="659"/>
      <c r="E59" s="659"/>
      <c r="F59" s="658"/>
      <c r="G59" s="666"/>
      <c r="H59" s="667">
        <v>1</v>
      </c>
      <c r="J59" s="801" t="s">
        <v>830</v>
      </c>
    </row>
    <row r="60" spans="1:10" s="653" customFormat="1" x14ac:dyDescent="0.2">
      <c r="A60" s="654"/>
      <c r="B60" s="662">
        <v>46202</v>
      </c>
      <c r="C60" s="663">
        <v>46203</v>
      </c>
      <c r="D60" s="659"/>
      <c r="E60" s="659"/>
      <c r="F60" s="658"/>
      <c r="G60" s="666"/>
      <c r="H60" s="667">
        <v>1</v>
      </c>
    </row>
    <row r="61" spans="1:10" s="653" customFormat="1" x14ac:dyDescent="0.2">
      <c r="A61" s="654"/>
      <c r="B61" s="662"/>
      <c r="C61" s="663"/>
      <c r="D61" s="659"/>
      <c r="E61" s="659"/>
      <c r="F61" s="658"/>
      <c r="G61" s="666"/>
      <c r="H61" s="667"/>
    </row>
    <row r="62" spans="1:10" s="653" customFormat="1" x14ac:dyDescent="0.2">
      <c r="A62" s="654"/>
      <c r="B62" s="662"/>
      <c r="C62" s="663"/>
      <c r="D62" s="659"/>
      <c r="E62" s="659"/>
      <c r="F62" s="658"/>
      <c r="G62" s="666"/>
      <c r="H62" s="667"/>
    </row>
    <row r="63" spans="1:10" s="653" customFormat="1" x14ac:dyDescent="0.2">
      <c r="A63" s="654"/>
      <c r="B63" s="662"/>
      <c r="C63" s="663"/>
      <c r="D63" s="659"/>
      <c r="E63" s="659"/>
      <c r="F63" s="658"/>
      <c r="G63" s="666"/>
      <c r="H63" s="667"/>
    </row>
    <row r="64" spans="1:10" s="653" customFormat="1" x14ac:dyDescent="0.2">
      <c r="A64" s="654"/>
      <c r="B64" s="662"/>
      <c r="C64" s="663"/>
      <c r="D64" s="659"/>
      <c r="E64" s="659"/>
      <c r="F64" s="658"/>
      <c r="G64" s="666"/>
      <c r="H64" s="667"/>
    </row>
    <row r="65" spans="1:8" x14ac:dyDescent="0.2">
      <c r="A65" s="1"/>
      <c r="B65" s="15"/>
      <c r="C65" s="16"/>
      <c r="D65" s="8"/>
      <c r="E65" s="8"/>
      <c r="F65" s="7"/>
      <c r="G65" s="25"/>
      <c r="H65" s="27"/>
    </row>
    <row r="66" spans="1:8" x14ac:dyDescent="0.2">
      <c r="A66" s="1"/>
      <c r="B66" s="15"/>
      <c r="C66" s="16"/>
      <c r="D66" s="8"/>
      <c r="E66" s="8"/>
      <c r="F66" s="7"/>
      <c r="G66" s="25"/>
      <c r="H66" s="25"/>
    </row>
    <row r="67" spans="1:8" x14ac:dyDescent="0.2">
      <c r="A67" s="1"/>
      <c r="B67" s="15"/>
      <c r="C67" s="16"/>
      <c r="D67" s="8"/>
      <c r="E67" s="8"/>
      <c r="F67" s="48"/>
      <c r="G67" s="66"/>
      <c r="H67" s="66"/>
    </row>
    <row r="68" spans="1:8" x14ac:dyDescent="0.2">
      <c r="F68" s="76" t="s">
        <v>123</v>
      </c>
      <c r="G68" s="77">
        <f>SUM(G7:G67)</f>
        <v>210</v>
      </c>
      <c r="H68" s="77">
        <f>SUM(H7:H67)</f>
        <v>189.5</v>
      </c>
    </row>
    <row r="69" spans="1:8" x14ac:dyDescent="0.2">
      <c r="F69" s="62"/>
      <c r="G69" s="234"/>
      <c r="H69" s="234"/>
    </row>
    <row r="70" spans="1:8" ht="14.25" x14ac:dyDescent="0.2">
      <c r="F70" s="1153" t="s">
        <v>8</v>
      </c>
      <c r="G70" s="1154"/>
      <c r="H70" s="84">
        <f>G68-H68</f>
        <v>20.5</v>
      </c>
    </row>
  </sheetData>
  <mergeCells count="3">
    <mergeCell ref="F70:G70"/>
    <mergeCell ref="J1:J3"/>
    <mergeCell ref="C1:H5"/>
  </mergeCells>
  <hyperlinks>
    <hyperlink ref="J1:J3" location="'ANA SAYFA'!A1" display="ANA SAYFA"/>
  </hyperlinks>
  <pageMargins left="0.7" right="0.14000000000000001" top="0.12" bottom="0.12" header="0.12" footer="0.12"/>
  <pageSetup paperSize="9" scale="70" orientation="portrait" r:id="rId1"/>
  <colBreaks count="1" manualBreakCount="1">
    <brk id="8"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4"/>
  <sheetViews>
    <sheetView zoomScaleNormal="100" workbookViewId="0">
      <selection activeCell="J1" sqref="J1:J3"/>
    </sheetView>
  </sheetViews>
  <sheetFormatPr defaultColWidth="9.140625" defaultRowHeight="12.75" x14ac:dyDescent="0.2"/>
  <cols>
    <col min="1" max="1" width="18.140625" style="82" bestFit="1" customWidth="1"/>
    <col min="2" max="3" width="26" style="82" bestFit="1" customWidth="1"/>
    <col min="4" max="5" width="9.140625" style="82"/>
    <col min="6" max="6" width="20.85546875" style="82" bestFit="1" customWidth="1"/>
    <col min="7" max="7" width="14.28515625" style="82" bestFit="1" customWidth="1"/>
    <col min="8" max="8" width="12.5703125" style="82" bestFit="1" customWidth="1"/>
    <col min="9" max="9" width="4.140625" style="82" customWidth="1"/>
    <col min="10" max="10" width="10.7109375" style="82" customWidth="1"/>
    <col min="11" max="16384" width="9.140625" style="82"/>
  </cols>
  <sheetData>
    <row r="1" spans="1:11" ht="14.25" customHeight="1" x14ac:dyDescent="0.2">
      <c r="A1" s="29" t="s">
        <v>135</v>
      </c>
      <c r="B1" s="188" t="str">
        <f>'ANA SAYFA'!B33</f>
        <v xml:space="preserve">MUSTAFA İSPİR </v>
      </c>
      <c r="C1" s="1166" t="s">
        <v>136</v>
      </c>
      <c r="D1" s="1166"/>
      <c r="E1" s="1166"/>
      <c r="F1" s="1166"/>
      <c r="G1" s="1166"/>
      <c r="H1" s="1166"/>
      <c r="I1" s="28"/>
      <c r="J1" s="1183" t="s">
        <v>712</v>
      </c>
      <c r="K1" s="30"/>
    </row>
    <row r="2" spans="1:11" ht="14.25" customHeight="1" x14ac:dyDescent="0.2">
      <c r="A2" s="29" t="s">
        <v>137</v>
      </c>
      <c r="B2" s="154">
        <f>'ANA SAYFA'!D33</f>
        <v>56986627380</v>
      </c>
      <c r="C2" s="1166"/>
      <c r="D2" s="1166"/>
      <c r="E2" s="1166"/>
      <c r="F2" s="1166"/>
      <c r="G2" s="1166"/>
      <c r="H2" s="1166"/>
      <c r="I2" s="28"/>
      <c r="J2" s="1184"/>
      <c r="K2" s="30"/>
    </row>
    <row r="3" spans="1:11" ht="14.25" customHeight="1" thickBot="1" x14ac:dyDescent="0.25">
      <c r="A3" s="29" t="s">
        <v>131</v>
      </c>
      <c r="B3" s="153" t="str">
        <f>'ANA SAYFA'!C33</f>
        <v>BEKO LODER OPT.</v>
      </c>
      <c r="C3" s="1166"/>
      <c r="D3" s="1166"/>
      <c r="E3" s="1166"/>
      <c r="F3" s="1166"/>
      <c r="G3" s="1166"/>
      <c r="H3" s="1166"/>
      <c r="I3" s="28"/>
      <c r="J3" s="1185"/>
      <c r="K3" s="30"/>
    </row>
    <row r="4" spans="1:11" ht="14.25" customHeight="1" x14ac:dyDescent="0.2">
      <c r="A4" s="29" t="s">
        <v>120</v>
      </c>
      <c r="B4" s="83">
        <f>'ANA SAYFA'!E33</f>
        <v>45552</v>
      </c>
      <c r="C4" s="1166"/>
      <c r="D4" s="1166"/>
      <c r="E4" s="1166"/>
      <c r="F4" s="1166"/>
      <c r="G4" s="1166"/>
      <c r="H4" s="1166"/>
      <c r="I4" s="28"/>
      <c r="J4" s="30"/>
      <c r="K4" s="30"/>
    </row>
    <row r="5" spans="1:11" ht="14.25" customHeight="1" x14ac:dyDescent="0.2">
      <c r="A5" s="29" t="s">
        <v>130</v>
      </c>
      <c r="B5" s="83">
        <f>'ANA SAYFA'!F33</f>
        <v>35818</v>
      </c>
      <c r="C5" s="1166"/>
      <c r="D5" s="1166"/>
      <c r="E5" s="1166"/>
      <c r="F5" s="1166"/>
      <c r="G5" s="1166"/>
      <c r="H5" s="1166"/>
      <c r="I5" s="28"/>
      <c r="J5" s="699"/>
      <c r="K5" s="699"/>
    </row>
    <row r="6" spans="1:11" ht="31.5" x14ac:dyDescent="0.2">
      <c r="A6" s="69" t="s">
        <v>0</v>
      </c>
      <c r="B6" s="70" t="s">
        <v>1</v>
      </c>
      <c r="C6" s="69" t="s">
        <v>2</v>
      </c>
      <c r="D6" s="71" t="s">
        <v>133</v>
      </c>
      <c r="E6" s="71" t="s">
        <v>4</v>
      </c>
      <c r="F6" s="71" t="s">
        <v>7</v>
      </c>
      <c r="G6" s="71" t="s">
        <v>6</v>
      </c>
      <c r="H6" s="71" t="s">
        <v>16</v>
      </c>
      <c r="I6" s="34"/>
      <c r="J6" s="699"/>
      <c r="K6" s="699"/>
    </row>
    <row r="7" spans="1:11" x14ac:dyDescent="0.2">
      <c r="A7" s="139"/>
      <c r="B7" s="142">
        <v>45646</v>
      </c>
      <c r="C7" s="143">
        <v>45647</v>
      </c>
      <c r="D7" s="168">
        <v>0.33333333333333331</v>
      </c>
      <c r="E7" s="168">
        <v>0.33333333333333331</v>
      </c>
      <c r="F7" s="83" t="s">
        <v>805</v>
      </c>
      <c r="G7" s="191">
        <v>14</v>
      </c>
      <c r="H7" s="755">
        <v>1.5</v>
      </c>
      <c r="I7" s="49"/>
      <c r="J7" s="30"/>
      <c r="K7" s="30"/>
    </row>
    <row r="8" spans="1:11" x14ac:dyDescent="0.2">
      <c r="A8" s="139"/>
      <c r="B8" s="142">
        <v>45757</v>
      </c>
      <c r="C8" s="143">
        <v>45757</v>
      </c>
      <c r="D8" s="735">
        <v>0.33333333333333331</v>
      </c>
      <c r="E8" s="735">
        <v>0.33333333333333331</v>
      </c>
      <c r="F8" s="83"/>
      <c r="G8" s="191"/>
      <c r="H8" s="192">
        <v>1</v>
      </c>
      <c r="I8" s="49"/>
      <c r="J8" s="30"/>
      <c r="K8" s="30"/>
    </row>
    <row r="9" spans="1:11" x14ac:dyDescent="0.2">
      <c r="A9" s="55"/>
      <c r="B9" s="1236" t="s">
        <v>777</v>
      </c>
      <c r="C9" s="1237"/>
      <c r="D9" s="144"/>
      <c r="E9" s="168"/>
      <c r="F9" s="140"/>
      <c r="G9" s="145"/>
      <c r="H9" s="870">
        <v>-2</v>
      </c>
    </row>
    <row r="10" spans="1:11" x14ac:dyDescent="0.2">
      <c r="A10" s="55"/>
      <c r="B10" s="142">
        <v>45786</v>
      </c>
      <c r="C10" s="143">
        <v>45786</v>
      </c>
      <c r="D10" s="144">
        <v>0.33333333333333331</v>
      </c>
      <c r="E10" s="168">
        <v>0.39444444444444443</v>
      </c>
      <c r="F10" s="83"/>
      <c r="G10" s="145"/>
      <c r="H10" s="145">
        <v>1</v>
      </c>
    </row>
    <row r="11" spans="1:11" s="699" customFormat="1" x14ac:dyDescent="0.2">
      <c r="A11" s="930"/>
      <c r="B11" s="928" t="s">
        <v>804</v>
      </c>
      <c r="C11" s="931"/>
      <c r="D11" s="733"/>
      <c r="E11" s="733"/>
      <c r="F11" s="723"/>
      <c r="G11" s="723"/>
      <c r="H11" s="929">
        <v>-1</v>
      </c>
      <c r="I11" s="684"/>
      <c r="J11" s="670"/>
    </row>
    <row r="12" spans="1:11" x14ac:dyDescent="0.2">
      <c r="A12" s="55"/>
      <c r="B12" s="142">
        <v>45957</v>
      </c>
      <c r="C12" s="143">
        <v>45958</v>
      </c>
      <c r="D12" s="168"/>
      <c r="E12" s="168"/>
      <c r="F12" s="140"/>
      <c r="G12" s="145"/>
      <c r="H12" s="145">
        <v>1</v>
      </c>
    </row>
    <row r="13" spans="1:11" x14ac:dyDescent="0.2">
      <c r="A13" s="55"/>
      <c r="B13" s="142">
        <v>46139</v>
      </c>
      <c r="C13" s="143">
        <v>46140</v>
      </c>
      <c r="D13" s="168"/>
      <c r="E13" s="144"/>
      <c r="F13" s="140"/>
      <c r="G13" s="145"/>
      <c r="H13" s="237">
        <v>1</v>
      </c>
      <c r="J13" s="82" t="s">
        <v>830</v>
      </c>
    </row>
    <row r="14" spans="1:11" x14ac:dyDescent="0.2">
      <c r="A14" s="55"/>
      <c r="B14" s="142">
        <v>46202</v>
      </c>
      <c r="C14" s="143">
        <v>46203</v>
      </c>
      <c r="D14" s="144"/>
      <c r="E14" s="144"/>
      <c r="F14" s="140"/>
      <c r="G14" s="145"/>
      <c r="H14" s="145">
        <v>1</v>
      </c>
    </row>
    <row r="15" spans="1:11" x14ac:dyDescent="0.2">
      <c r="A15" s="55"/>
      <c r="B15" s="142"/>
      <c r="C15" s="143"/>
      <c r="D15" s="144"/>
      <c r="E15" s="144"/>
      <c r="F15" s="140"/>
      <c r="G15" s="145"/>
      <c r="H15" s="145"/>
    </row>
    <row r="16" spans="1:11" x14ac:dyDescent="0.2">
      <c r="A16" s="55"/>
      <c r="B16" s="142"/>
      <c r="C16" s="143"/>
      <c r="D16" s="144"/>
      <c r="E16" s="144"/>
      <c r="F16" s="140"/>
      <c r="G16" s="145"/>
      <c r="H16" s="145"/>
    </row>
    <row r="17" spans="1:8" x14ac:dyDescent="0.2">
      <c r="A17" s="55"/>
      <c r="B17" s="142"/>
      <c r="C17" s="143"/>
      <c r="D17" s="144"/>
      <c r="E17" s="144"/>
      <c r="F17" s="140"/>
      <c r="G17" s="145"/>
      <c r="H17" s="145"/>
    </row>
    <row r="18" spans="1:8" x14ac:dyDescent="0.2">
      <c r="A18" s="55"/>
      <c r="B18" s="142"/>
      <c r="C18" s="143"/>
      <c r="D18" s="144"/>
      <c r="E18" s="144"/>
      <c r="F18" s="140"/>
      <c r="G18" s="145"/>
      <c r="H18" s="145"/>
    </row>
    <row r="19" spans="1:8" x14ac:dyDescent="0.2">
      <c r="A19" s="55"/>
      <c r="B19" s="142"/>
      <c r="C19" s="143"/>
      <c r="D19" s="144"/>
      <c r="E19" s="144"/>
      <c r="F19" s="140"/>
      <c r="G19" s="145"/>
      <c r="H19" s="145"/>
    </row>
    <row r="20" spans="1:8" x14ac:dyDescent="0.2">
      <c r="A20" s="55"/>
      <c r="B20" s="142"/>
      <c r="C20" s="143"/>
      <c r="D20" s="144"/>
      <c r="E20" s="144"/>
      <c r="F20" s="140"/>
      <c r="G20" s="145"/>
      <c r="H20" s="145"/>
    </row>
    <row r="21" spans="1:8" x14ac:dyDescent="0.2">
      <c r="A21" s="55"/>
      <c r="B21" s="142"/>
      <c r="C21" s="143"/>
      <c r="D21" s="144"/>
      <c r="E21" s="144"/>
      <c r="F21" s="140"/>
      <c r="G21" s="145"/>
      <c r="H21" s="145"/>
    </row>
    <row r="22" spans="1:8" x14ac:dyDescent="0.2">
      <c r="A22" s="55"/>
      <c r="B22" s="142"/>
      <c r="C22" s="143"/>
      <c r="D22" s="144"/>
      <c r="E22" s="144"/>
      <c r="F22" s="140"/>
      <c r="G22" s="145"/>
      <c r="H22" s="145"/>
    </row>
    <row r="23" spans="1:8" x14ac:dyDescent="0.2">
      <c r="A23" s="55"/>
      <c r="B23" s="142"/>
      <c r="C23" s="143"/>
      <c r="D23" s="144"/>
      <c r="E23" s="144"/>
      <c r="F23" s="140"/>
      <c r="G23" s="145"/>
      <c r="H23" s="145"/>
    </row>
    <row r="24" spans="1:8" x14ac:dyDescent="0.2">
      <c r="A24" s="55"/>
      <c r="B24" s="142"/>
      <c r="C24" s="143"/>
      <c r="D24" s="144"/>
      <c r="E24" s="144"/>
      <c r="F24" s="140"/>
      <c r="G24" s="145"/>
      <c r="H24" s="145"/>
    </row>
    <row r="25" spans="1:8" x14ac:dyDescent="0.2">
      <c r="A25" s="55"/>
      <c r="B25" s="142"/>
      <c r="C25" s="143"/>
      <c r="D25" s="144"/>
      <c r="E25" s="144"/>
      <c r="F25" s="140"/>
      <c r="G25" s="145"/>
      <c r="H25" s="145"/>
    </row>
    <row r="26" spans="1:8" x14ac:dyDescent="0.2">
      <c r="A26" s="55"/>
      <c r="B26" s="142"/>
      <c r="C26" s="143"/>
      <c r="D26" s="144"/>
      <c r="E26" s="144"/>
      <c r="F26" s="140"/>
      <c r="G26" s="145"/>
      <c r="H26" s="145"/>
    </row>
    <row r="27" spans="1:8" x14ac:dyDescent="0.2">
      <c r="A27" s="55"/>
      <c r="B27" s="142"/>
      <c r="C27" s="143"/>
      <c r="D27" s="144"/>
      <c r="E27" s="144"/>
      <c r="F27" s="48"/>
      <c r="G27" s="66"/>
      <c r="H27" s="145"/>
    </row>
    <row r="28" spans="1:8" x14ac:dyDescent="0.2">
      <c r="A28" s="147"/>
      <c r="B28" s="142"/>
      <c r="C28" s="143"/>
      <c r="D28" s="144"/>
      <c r="E28" s="144"/>
      <c r="F28" s="48"/>
      <c r="G28" s="66"/>
      <c r="H28" s="145"/>
    </row>
    <row r="29" spans="1:8" x14ac:dyDescent="0.2">
      <c r="A29" s="147"/>
      <c r="B29" s="142"/>
      <c r="C29" s="143"/>
      <c r="D29" s="144"/>
      <c r="E29" s="144"/>
      <c r="F29" s="48"/>
      <c r="G29" s="66"/>
      <c r="H29" s="145"/>
    </row>
    <row r="30" spans="1:8" x14ac:dyDescent="0.2">
      <c r="A30" s="147"/>
      <c r="B30" s="142"/>
      <c r="C30" s="143"/>
      <c r="D30" s="144"/>
      <c r="E30" s="144"/>
      <c r="F30" s="48"/>
      <c r="G30" s="66"/>
      <c r="H30" s="68"/>
    </row>
    <row r="31" spans="1:8" x14ac:dyDescent="0.2">
      <c r="A31" s="147"/>
      <c r="B31" s="142"/>
      <c r="C31" s="143"/>
      <c r="D31" s="144"/>
      <c r="E31" s="144"/>
      <c r="F31" s="48"/>
      <c r="G31" s="66"/>
      <c r="H31" s="66"/>
    </row>
    <row r="32" spans="1:8" x14ac:dyDescent="0.2">
      <c r="F32" s="227" t="s">
        <v>123</v>
      </c>
      <c r="G32" s="77">
        <f>SUM(G7:G31)</f>
        <v>14</v>
      </c>
      <c r="H32" s="77">
        <f>SUM(H7:H31)</f>
        <v>3.5</v>
      </c>
    </row>
    <row r="33" spans="6:8" x14ac:dyDescent="0.2">
      <c r="F33" s="62"/>
      <c r="G33" s="63"/>
      <c r="H33" s="63"/>
    </row>
    <row r="34" spans="6:8" ht="14.25" x14ac:dyDescent="0.2">
      <c r="F34" s="1153" t="s">
        <v>8</v>
      </c>
      <c r="G34" s="1154"/>
      <c r="H34" s="84">
        <f>G32-H32</f>
        <v>10.5</v>
      </c>
    </row>
  </sheetData>
  <mergeCells count="4">
    <mergeCell ref="F34:G34"/>
    <mergeCell ref="J1:J3"/>
    <mergeCell ref="C1:H5"/>
    <mergeCell ref="B9:C9"/>
  </mergeCells>
  <hyperlinks>
    <hyperlink ref="J1:J3" location="'ANA SAYFA'!A1" display="ANA SAYFA"/>
  </hyperlinks>
  <pageMargins left="0.7" right="0.12" top="0.3" bottom="0.75" header="0.3" footer="0.3"/>
  <pageSetup paperSize="9" scale="68"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2"/>
  <sheetViews>
    <sheetView zoomScaleNormal="100" workbookViewId="0">
      <pane ySplit="6" topLeftCell="A25" activePane="bottomLeft" state="frozen"/>
      <selection pane="bottomLeft" activeCell="J1" sqref="J1:J3"/>
    </sheetView>
  </sheetViews>
  <sheetFormatPr defaultColWidth="9.140625" defaultRowHeight="12.75" x14ac:dyDescent="0.2"/>
  <cols>
    <col min="1" max="1" width="18.140625" style="82" bestFit="1" customWidth="1"/>
    <col min="2" max="3" width="28.7109375" style="82" bestFit="1" customWidth="1"/>
    <col min="4" max="4" width="9.5703125" style="82" customWidth="1"/>
    <col min="5" max="5" width="8.7109375" style="82" customWidth="1"/>
    <col min="6" max="6" width="20.85546875" style="82" bestFit="1" customWidth="1"/>
    <col min="7" max="8" width="14" style="82" customWidth="1"/>
    <col min="9" max="9" width="8" style="82" customWidth="1"/>
    <col min="10" max="10" width="11.85546875" style="82" customWidth="1"/>
    <col min="11" max="11" width="11.28515625" style="82" bestFit="1" customWidth="1"/>
    <col min="12" max="12" width="11.85546875" style="82" customWidth="1"/>
    <col min="13" max="16384" width="9.140625" style="82"/>
  </cols>
  <sheetData>
    <row r="1" spans="1:11" ht="14.25" customHeight="1" x14ac:dyDescent="0.2">
      <c r="A1" s="29" t="s">
        <v>135</v>
      </c>
      <c r="B1" s="188" t="str">
        <f>'ANA SAYFA'!B34</f>
        <v>MUSTAFA DEMİRALAY</v>
      </c>
      <c r="C1" s="1166" t="s">
        <v>136</v>
      </c>
      <c r="D1" s="1166"/>
      <c r="E1" s="1166"/>
      <c r="F1" s="1166"/>
      <c r="G1" s="1166"/>
      <c r="H1" s="1166"/>
      <c r="I1" s="28"/>
      <c r="J1" s="1183" t="s">
        <v>712</v>
      </c>
      <c r="K1" s="30"/>
    </row>
    <row r="2" spans="1:11" ht="14.25" customHeight="1" x14ac:dyDescent="0.2">
      <c r="A2" s="29" t="s">
        <v>137</v>
      </c>
      <c r="B2" s="154">
        <f>'ANA SAYFA'!D34</f>
        <v>61396483426</v>
      </c>
      <c r="C2" s="1166"/>
      <c r="D2" s="1166"/>
      <c r="E2" s="1166"/>
      <c r="F2" s="1166"/>
      <c r="G2" s="1166"/>
      <c r="H2" s="1166"/>
      <c r="I2" s="28"/>
      <c r="J2" s="1184"/>
      <c r="K2" s="30"/>
    </row>
    <row r="3" spans="1:11" ht="14.25" customHeight="1" thickBot="1" x14ac:dyDescent="0.25">
      <c r="A3" s="29" t="s">
        <v>131</v>
      </c>
      <c r="B3" s="153" t="str">
        <f>'ANA SAYFA'!C34</f>
        <v>TIR-ÇEKİCİ ŞOFÖRÜ</v>
      </c>
      <c r="C3" s="1166"/>
      <c r="D3" s="1166"/>
      <c r="E3" s="1166"/>
      <c r="F3" s="1166"/>
      <c r="G3" s="1166"/>
      <c r="H3" s="1166"/>
      <c r="I3" s="28"/>
      <c r="J3" s="1185"/>
      <c r="K3" s="30"/>
    </row>
    <row r="4" spans="1:11" ht="14.25" customHeight="1" x14ac:dyDescent="0.2">
      <c r="A4" s="29" t="s">
        <v>120</v>
      </c>
      <c r="B4" s="83">
        <f>'ANA SAYFA'!E34</f>
        <v>45362</v>
      </c>
      <c r="C4" s="1166"/>
      <c r="D4" s="1166"/>
      <c r="E4" s="1166"/>
      <c r="F4" s="1166"/>
      <c r="G4" s="1166"/>
      <c r="H4" s="1166"/>
      <c r="I4" s="28"/>
      <c r="J4" s="30"/>
      <c r="K4" s="30"/>
    </row>
    <row r="5" spans="1:11" ht="14.25" customHeight="1" x14ac:dyDescent="0.2">
      <c r="A5" s="29" t="s">
        <v>130</v>
      </c>
      <c r="B5" s="83">
        <f>'ANA SAYFA'!F34</f>
        <v>25781</v>
      </c>
      <c r="C5" s="1166"/>
      <c r="D5" s="1166"/>
      <c r="E5" s="1166"/>
      <c r="F5" s="1166"/>
      <c r="G5" s="1166"/>
      <c r="H5" s="1166"/>
      <c r="I5" s="28"/>
      <c r="J5" s="699"/>
      <c r="K5" s="699"/>
    </row>
    <row r="6" spans="1:11" ht="42" x14ac:dyDescent="0.2">
      <c r="A6" s="808" t="s">
        <v>0</v>
      </c>
      <c r="B6" s="824" t="s">
        <v>1</v>
      </c>
      <c r="C6" s="808" t="s">
        <v>2</v>
      </c>
      <c r="D6" s="825" t="s">
        <v>133</v>
      </c>
      <c r="E6" s="825" t="s">
        <v>4</v>
      </c>
      <c r="F6" s="825" t="s">
        <v>7</v>
      </c>
      <c r="G6" s="825" t="s">
        <v>6</v>
      </c>
      <c r="H6" s="825" t="s">
        <v>16</v>
      </c>
      <c r="I6" s="34"/>
      <c r="J6" s="699"/>
      <c r="K6" s="699"/>
    </row>
    <row r="7" spans="1:11" s="243" customFormat="1" x14ac:dyDescent="0.2">
      <c r="A7" s="717"/>
      <c r="B7" s="729">
        <v>42990</v>
      </c>
      <c r="C7" s="730">
        <v>42992</v>
      </c>
      <c r="D7" s="735">
        <v>0.33333333333333331</v>
      </c>
      <c r="E7" s="735">
        <v>0.33333333333333331</v>
      </c>
      <c r="F7" s="746" t="s">
        <v>39</v>
      </c>
      <c r="G7" s="748">
        <v>14</v>
      </c>
      <c r="H7" s="754">
        <v>2</v>
      </c>
      <c r="I7" s="49"/>
    </row>
    <row r="8" spans="1:11" s="243" customFormat="1" x14ac:dyDescent="0.2">
      <c r="A8" s="717"/>
      <c r="B8" s="729">
        <v>43330</v>
      </c>
      <c r="C8" s="730">
        <v>43332</v>
      </c>
      <c r="D8" s="735">
        <v>0.33333333333333331</v>
      </c>
      <c r="E8" s="735">
        <v>0.33333333333333331</v>
      </c>
      <c r="F8" s="755" t="s">
        <v>54</v>
      </c>
      <c r="G8" s="748">
        <v>14</v>
      </c>
      <c r="H8" s="754">
        <v>1</v>
      </c>
      <c r="I8" s="49"/>
    </row>
    <row r="9" spans="1:11" s="243" customFormat="1" x14ac:dyDescent="0.2">
      <c r="A9" s="717"/>
      <c r="B9" s="729">
        <v>43370</v>
      </c>
      <c r="C9" s="732">
        <v>43371</v>
      </c>
      <c r="D9" s="735">
        <v>0.33333333333333331</v>
      </c>
      <c r="E9" s="735">
        <v>0.33333333333333331</v>
      </c>
      <c r="F9" s="748" t="s">
        <v>76</v>
      </c>
      <c r="G9" s="748">
        <v>20</v>
      </c>
      <c r="H9" s="754">
        <v>1</v>
      </c>
      <c r="I9" s="49"/>
    </row>
    <row r="10" spans="1:11" s="243" customFormat="1" x14ac:dyDescent="0.2">
      <c r="A10" s="719"/>
      <c r="B10" s="729">
        <v>43428</v>
      </c>
      <c r="C10" s="732">
        <v>43430</v>
      </c>
      <c r="D10" s="735">
        <v>0.33333333333333331</v>
      </c>
      <c r="E10" s="735">
        <v>0.33333333333333331</v>
      </c>
      <c r="F10" s="748" t="s">
        <v>85</v>
      </c>
      <c r="G10" s="723">
        <v>20</v>
      </c>
      <c r="H10" s="756">
        <v>1</v>
      </c>
      <c r="I10" s="49"/>
    </row>
    <row r="11" spans="1:11" s="243" customFormat="1" x14ac:dyDescent="0.2">
      <c r="A11" s="719"/>
      <c r="B11" s="720">
        <v>43463</v>
      </c>
      <c r="C11" s="721">
        <v>43465</v>
      </c>
      <c r="D11" s="735">
        <v>0.33333333333333331</v>
      </c>
      <c r="E11" s="735">
        <v>0.33333333333333331</v>
      </c>
      <c r="F11" s="748" t="s">
        <v>124</v>
      </c>
      <c r="G11" s="723">
        <v>20</v>
      </c>
      <c r="H11" s="757">
        <v>1</v>
      </c>
      <c r="I11" s="49"/>
      <c r="J11" s="30"/>
    </row>
    <row r="12" spans="1:11" s="243" customFormat="1" x14ac:dyDescent="0.2">
      <c r="A12" s="724"/>
      <c r="B12" s="720">
        <v>43568</v>
      </c>
      <c r="C12" s="721">
        <v>43570</v>
      </c>
      <c r="D12" s="735">
        <v>0.33333333333333331</v>
      </c>
      <c r="E12" s="735">
        <v>0.33333333333333331</v>
      </c>
      <c r="F12" s="765" t="s">
        <v>435</v>
      </c>
      <c r="G12" s="723">
        <v>20</v>
      </c>
      <c r="H12" s="757">
        <v>1</v>
      </c>
      <c r="I12" s="49"/>
      <c r="J12" s="30"/>
    </row>
    <row r="13" spans="1:11" s="243" customFormat="1" x14ac:dyDescent="0.2">
      <c r="A13" s="724"/>
      <c r="B13" s="720">
        <v>43692</v>
      </c>
      <c r="C13" s="721">
        <v>43698</v>
      </c>
      <c r="D13" s="735">
        <v>0.33333333333333331</v>
      </c>
      <c r="E13" s="735">
        <v>0.33333333333333331</v>
      </c>
      <c r="F13" s="765" t="s">
        <v>738</v>
      </c>
      <c r="G13" s="800">
        <v>20</v>
      </c>
      <c r="H13" s="757">
        <v>5</v>
      </c>
      <c r="I13" s="49"/>
      <c r="J13" s="30"/>
    </row>
    <row r="14" spans="1:11" s="243" customFormat="1" x14ac:dyDescent="0.2">
      <c r="A14" s="753"/>
      <c r="B14" s="720">
        <v>43717</v>
      </c>
      <c r="C14" s="721">
        <v>43718</v>
      </c>
      <c r="D14" s="735">
        <v>0.33333333333333331</v>
      </c>
      <c r="E14" s="735">
        <v>0.33333333333333331</v>
      </c>
      <c r="F14" s="723" t="s">
        <v>887</v>
      </c>
      <c r="G14" s="723">
        <v>20</v>
      </c>
      <c r="H14" s="757">
        <v>1</v>
      </c>
      <c r="I14" s="49"/>
      <c r="J14" s="30"/>
    </row>
    <row r="15" spans="1:11" s="243" customFormat="1" x14ac:dyDescent="0.2">
      <c r="A15" s="753"/>
      <c r="B15" s="720">
        <v>43831</v>
      </c>
      <c r="C15" s="721">
        <v>43832</v>
      </c>
      <c r="D15" s="735">
        <v>0.33333333333333331</v>
      </c>
      <c r="E15" s="735">
        <v>0.33333333333333331</v>
      </c>
      <c r="F15" s="723"/>
      <c r="G15" s="723"/>
      <c r="H15" s="757">
        <v>1</v>
      </c>
      <c r="I15" s="49"/>
      <c r="J15" s="30"/>
      <c r="K15" s="30"/>
    </row>
    <row r="16" spans="1:11" s="243" customFormat="1" x14ac:dyDescent="0.2">
      <c r="A16" s="725"/>
      <c r="B16" s="720">
        <v>43848</v>
      </c>
      <c r="C16" s="721">
        <v>43849</v>
      </c>
      <c r="D16" s="735">
        <v>0.33333333333333331</v>
      </c>
      <c r="E16" s="735">
        <v>0.33333333333333331</v>
      </c>
      <c r="F16" s="723"/>
      <c r="G16" s="723"/>
      <c r="H16" s="757">
        <v>1</v>
      </c>
      <c r="I16" s="49"/>
      <c r="J16" s="30"/>
      <c r="K16" s="30"/>
    </row>
    <row r="17" spans="1:8" s="243" customFormat="1" x14ac:dyDescent="0.2">
      <c r="A17" s="685"/>
      <c r="B17" s="720">
        <v>43918</v>
      </c>
      <c r="C17" s="721">
        <v>43920</v>
      </c>
      <c r="D17" s="722">
        <v>0.54166666666666663</v>
      </c>
      <c r="E17" s="722">
        <v>0.33333333333333331</v>
      </c>
      <c r="F17" s="723"/>
      <c r="G17" s="723"/>
      <c r="H17" s="758">
        <v>0.5</v>
      </c>
    </row>
    <row r="18" spans="1:8" s="243" customFormat="1" x14ac:dyDescent="0.2">
      <c r="A18" s="685"/>
      <c r="B18" s="720">
        <v>44016</v>
      </c>
      <c r="C18" s="721">
        <v>44020</v>
      </c>
      <c r="D18" s="722">
        <v>0.33333333333333331</v>
      </c>
      <c r="E18" s="722">
        <v>0.33333333333333331</v>
      </c>
      <c r="F18" s="718"/>
      <c r="G18" s="723"/>
      <c r="H18" s="723">
        <v>3</v>
      </c>
    </row>
    <row r="19" spans="1:8" s="243" customFormat="1" ht="12" customHeight="1" x14ac:dyDescent="0.2">
      <c r="A19" s="685"/>
      <c r="B19" s="720">
        <v>44036</v>
      </c>
      <c r="C19" s="721">
        <v>44047</v>
      </c>
      <c r="D19" s="722">
        <v>0.33333333333333331</v>
      </c>
      <c r="E19" s="722">
        <v>0.33333333333333331</v>
      </c>
      <c r="F19" s="718"/>
      <c r="G19" s="723"/>
      <c r="H19" s="723">
        <v>5</v>
      </c>
    </row>
    <row r="20" spans="1:8" s="243" customFormat="1" ht="12" customHeight="1" x14ac:dyDescent="0.2">
      <c r="A20" s="685"/>
      <c r="B20" s="720">
        <v>44089</v>
      </c>
      <c r="C20" s="721">
        <v>44089</v>
      </c>
      <c r="D20" s="722">
        <v>0.33333333333333331</v>
      </c>
      <c r="E20" s="722">
        <v>0.33333333333333331</v>
      </c>
      <c r="F20" s="718"/>
      <c r="G20" s="723"/>
      <c r="H20" s="758">
        <v>0.5</v>
      </c>
    </row>
    <row r="21" spans="1:8" s="243" customFormat="1" x14ac:dyDescent="0.2">
      <c r="A21" s="685"/>
      <c r="B21" s="720">
        <v>44179</v>
      </c>
      <c r="C21" s="721">
        <v>44180</v>
      </c>
      <c r="D21" s="722">
        <v>0.33333333333333331</v>
      </c>
      <c r="E21" s="722">
        <v>0.33333333333333331</v>
      </c>
      <c r="F21" s="718"/>
      <c r="G21" s="723"/>
      <c r="H21" s="723">
        <v>1</v>
      </c>
    </row>
    <row r="22" spans="1:8" s="243" customFormat="1" x14ac:dyDescent="0.2">
      <c r="A22" s="685"/>
      <c r="B22" s="720">
        <v>44223</v>
      </c>
      <c r="C22" s="721">
        <v>44225</v>
      </c>
      <c r="D22" s="722">
        <v>0.41666666666666669</v>
      </c>
      <c r="E22" s="722" t="s">
        <v>17</v>
      </c>
      <c r="F22" s="718"/>
      <c r="G22" s="723"/>
      <c r="H22" s="723">
        <v>1</v>
      </c>
    </row>
    <row r="23" spans="1:8" s="243" customFormat="1" x14ac:dyDescent="0.2">
      <c r="A23" s="685"/>
      <c r="B23" s="720">
        <v>44313</v>
      </c>
      <c r="C23" s="721">
        <v>44317</v>
      </c>
      <c r="D23" s="722">
        <v>0.33333333333333331</v>
      </c>
      <c r="E23" s="722">
        <v>0.33333333333333331</v>
      </c>
      <c r="F23" s="718"/>
      <c r="G23" s="723"/>
      <c r="H23" s="723">
        <v>4</v>
      </c>
    </row>
    <row r="24" spans="1:8" s="243" customFormat="1" x14ac:dyDescent="0.2">
      <c r="A24" s="685"/>
      <c r="B24" s="720">
        <v>44401</v>
      </c>
      <c r="C24" s="721">
        <v>44404</v>
      </c>
      <c r="D24" s="722">
        <v>0.33333333333333331</v>
      </c>
      <c r="E24" s="722">
        <v>0.33333333333333331</v>
      </c>
      <c r="F24" s="718"/>
      <c r="G24" s="723"/>
      <c r="H24" s="723">
        <v>2</v>
      </c>
    </row>
    <row r="25" spans="1:8" s="243" customFormat="1" x14ac:dyDescent="0.2">
      <c r="A25" s="685"/>
      <c r="B25" s="720">
        <v>44457</v>
      </c>
      <c r="C25" s="721">
        <v>44459</v>
      </c>
      <c r="D25" s="722">
        <v>0.33333333333333331</v>
      </c>
      <c r="E25" s="722">
        <v>0.33333333333333331</v>
      </c>
      <c r="F25" s="718"/>
      <c r="G25" s="723"/>
      <c r="H25" s="723">
        <v>1</v>
      </c>
    </row>
    <row r="26" spans="1:8" s="243" customFormat="1" x14ac:dyDescent="0.2">
      <c r="A26" s="685"/>
      <c r="B26" s="720">
        <v>44487</v>
      </c>
      <c r="C26" s="721">
        <v>44489</v>
      </c>
      <c r="D26" s="722">
        <v>0.33333333333333331</v>
      </c>
      <c r="E26" s="722">
        <v>0.33333333333333331</v>
      </c>
      <c r="F26" s="718"/>
      <c r="G26" s="723"/>
      <c r="H26" s="723">
        <v>2</v>
      </c>
    </row>
    <row r="27" spans="1:8" s="243" customFormat="1" x14ac:dyDescent="0.2">
      <c r="A27" s="685"/>
      <c r="B27" s="720">
        <v>44534</v>
      </c>
      <c r="C27" s="721">
        <v>44535</v>
      </c>
      <c r="D27" s="722">
        <v>0.54166666666666663</v>
      </c>
      <c r="E27" s="722">
        <v>0.33333333333333331</v>
      </c>
      <c r="F27" s="718"/>
      <c r="G27" s="723"/>
      <c r="H27" s="758">
        <v>0.5</v>
      </c>
    </row>
    <row r="28" spans="1:8" s="243" customFormat="1" x14ac:dyDescent="0.2">
      <c r="A28" s="685"/>
      <c r="B28" s="720">
        <v>44744</v>
      </c>
      <c r="C28" s="720">
        <v>44760</v>
      </c>
      <c r="D28" s="722">
        <v>0.33333333333333331</v>
      </c>
      <c r="E28" s="722">
        <v>0.33333333333333331</v>
      </c>
      <c r="F28" s="718"/>
      <c r="G28" s="723"/>
      <c r="H28" s="723">
        <v>8</v>
      </c>
    </row>
    <row r="29" spans="1:8" s="243" customFormat="1" x14ac:dyDescent="0.2">
      <c r="A29" s="685"/>
      <c r="B29" s="720">
        <v>44804</v>
      </c>
      <c r="C29" s="720">
        <v>44805</v>
      </c>
      <c r="D29" s="722">
        <v>0.33333333333333331</v>
      </c>
      <c r="E29" s="722">
        <v>0.33333333333333331</v>
      </c>
      <c r="F29" s="718"/>
      <c r="G29" s="723"/>
      <c r="H29" s="723">
        <v>1</v>
      </c>
    </row>
    <row r="30" spans="1:8" s="243" customFormat="1" x14ac:dyDescent="0.2">
      <c r="A30" s="685"/>
      <c r="B30" s="720">
        <v>44821</v>
      </c>
      <c r="C30" s="720">
        <v>44823</v>
      </c>
      <c r="D30" s="722">
        <v>0.33333333333333331</v>
      </c>
      <c r="E30" s="722">
        <v>0.33333333333333331</v>
      </c>
      <c r="F30" s="718"/>
      <c r="G30" s="723"/>
      <c r="H30" s="723">
        <v>1</v>
      </c>
    </row>
    <row r="31" spans="1:8" s="243" customFormat="1" x14ac:dyDescent="0.2">
      <c r="A31" s="685"/>
      <c r="B31" s="720">
        <v>44882</v>
      </c>
      <c r="C31" s="720">
        <v>44883</v>
      </c>
      <c r="D31" s="722">
        <v>0.33333333333333331</v>
      </c>
      <c r="E31" s="722">
        <v>0.33333333333333331</v>
      </c>
      <c r="F31" s="718"/>
      <c r="G31" s="723"/>
      <c r="H31" s="723">
        <v>1</v>
      </c>
    </row>
    <row r="32" spans="1:8" s="243" customFormat="1" x14ac:dyDescent="0.2">
      <c r="A32" s="685"/>
      <c r="B32" s="720">
        <v>45103</v>
      </c>
      <c r="C32" s="721">
        <v>45117</v>
      </c>
      <c r="D32" s="722">
        <v>0.33333333333333331</v>
      </c>
      <c r="E32" s="722">
        <v>0.33333333333333331</v>
      </c>
      <c r="F32" s="718"/>
      <c r="G32" s="723"/>
      <c r="H32" s="723">
        <v>7</v>
      </c>
    </row>
    <row r="33" spans="1:11" s="243" customFormat="1" x14ac:dyDescent="0.2">
      <c r="A33" s="685"/>
      <c r="B33" s="720">
        <v>45150</v>
      </c>
      <c r="C33" s="721">
        <v>45152</v>
      </c>
      <c r="D33" s="722">
        <v>0.33333333333333331</v>
      </c>
      <c r="E33" s="722">
        <v>0.33333333333333331</v>
      </c>
      <c r="F33" s="718"/>
      <c r="G33" s="723"/>
      <c r="H33" s="723">
        <v>1</v>
      </c>
    </row>
    <row r="34" spans="1:11" s="339" customFormat="1" x14ac:dyDescent="0.2">
      <c r="A34" s="766"/>
      <c r="B34" s="767">
        <v>44313</v>
      </c>
      <c r="C34" s="768">
        <v>44335</v>
      </c>
      <c r="D34" s="769">
        <v>0.33333333333333331</v>
      </c>
      <c r="E34" s="769">
        <v>0.33333333333333331</v>
      </c>
      <c r="F34" s="770"/>
      <c r="G34" s="771"/>
      <c r="H34" s="771">
        <v>15</v>
      </c>
      <c r="I34" s="339" t="s">
        <v>438</v>
      </c>
    </row>
    <row r="35" spans="1:11" s="339" customFormat="1" x14ac:dyDescent="0.2">
      <c r="A35" s="766"/>
      <c r="B35" s="767">
        <v>44737</v>
      </c>
      <c r="C35" s="768">
        <v>44760</v>
      </c>
      <c r="D35" s="769">
        <v>0.33333333333333331</v>
      </c>
      <c r="E35" s="769">
        <v>0.33333333333333331</v>
      </c>
      <c r="F35" s="770"/>
      <c r="G35" s="771"/>
      <c r="H35" s="771">
        <v>15</v>
      </c>
      <c r="I35" s="339" t="s">
        <v>438</v>
      </c>
    </row>
    <row r="36" spans="1:11" s="406" customFormat="1" x14ac:dyDescent="0.2">
      <c r="A36" s="782"/>
      <c r="B36" s="776">
        <v>45234</v>
      </c>
      <c r="C36" s="777">
        <v>45257</v>
      </c>
      <c r="D36" s="778">
        <v>0.33333333333333331</v>
      </c>
      <c r="E36" s="778">
        <v>0.33333333333333331</v>
      </c>
      <c r="F36" s="790"/>
      <c r="G36" s="791"/>
      <c r="H36" s="791">
        <v>19</v>
      </c>
    </row>
    <row r="37" spans="1:11" x14ac:dyDescent="0.2">
      <c r="A37" s="782"/>
      <c r="B37" s="776">
        <v>45455</v>
      </c>
      <c r="C37" s="777">
        <v>45472</v>
      </c>
      <c r="D37" s="778">
        <v>0.33333333333333331</v>
      </c>
      <c r="E37" s="778">
        <v>0.33333333333333331</v>
      </c>
      <c r="F37" s="799"/>
      <c r="G37" s="800"/>
      <c r="H37" s="791">
        <v>12</v>
      </c>
      <c r="I37" s="505">
        <f>+G37-H37</f>
        <v>-12</v>
      </c>
    </row>
    <row r="38" spans="1:11" s="699" customFormat="1" x14ac:dyDescent="0.2">
      <c r="A38" s="782"/>
      <c r="B38" s="776">
        <v>45583</v>
      </c>
      <c r="C38" s="777">
        <v>45583</v>
      </c>
      <c r="D38" s="778">
        <v>0.33333333333333331</v>
      </c>
      <c r="E38" s="778">
        <v>0.33333333333333331</v>
      </c>
      <c r="F38" s="799"/>
      <c r="G38" s="800"/>
      <c r="H38" s="846">
        <v>0.5</v>
      </c>
      <c r="I38" s="798"/>
    </row>
    <row r="39" spans="1:11" x14ac:dyDescent="0.2">
      <c r="A39" s="782"/>
      <c r="B39" s="804">
        <v>45682</v>
      </c>
      <c r="C39" s="805">
        <v>45685</v>
      </c>
      <c r="D39" s="778">
        <v>0.33333333333333331</v>
      </c>
      <c r="E39" s="778">
        <v>0.33333333333333331</v>
      </c>
      <c r="F39" s="799"/>
      <c r="G39" s="800"/>
      <c r="H39" s="791">
        <v>3</v>
      </c>
    </row>
    <row r="40" spans="1:11" x14ac:dyDescent="0.2">
      <c r="A40" s="782"/>
      <c r="B40" s="804">
        <v>45686</v>
      </c>
      <c r="C40" s="805">
        <v>45686</v>
      </c>
      <c r="D40" s="778">
        <v>0.33333333333333331</v>
      </c>
      <c r="E40" s="778">
        <v>0.33333333333333331</v>
      </c>
      <c r="F40" s="799"/>
      <c r="G40" s="800"/>
      <c r="H40" s="800">
        <v>1</v>
      </c>
    </row>
    <row r="41" spans="1:11" s="699" customFormat="1" x14ac:dyDescent="0.2">
      <c r="A41" s="782"/>
      <c r="B41" s="804">
        <v>45723</v>
      </c>
      <c r="C41" s="805">
        <v>45723</v>
      </c>
      <c r="D41" s="778">
        <v>0.33333333333333331</v>
      </c>
      <c r="E41" s="778">
        <v>0.33333333333333331</v>
      </c>
      <c r="F41" s="784"/>
      <c r="G41" s="785"/>
      <c r="H41" s="785">
        <v>1</v>
      </c>
    </row>
    <row r="42" spans="1:11" s="699" customFormat="1" x14ac:dyDescent="0.2">
      <c r="A42" s="782"/>
      <c r="B42" s="804">
        <v>45812</v>
      </c>
      <c r="C42" s="805">
        <v>45823</v>
      </c>
      <c r="D42" s="778">
        <v>0.33333333333333331</v>
      </c>
      <c r="E42" s="778">
        <v>0.33333333333333331</v>
      </c>
      <c r="F42" s="799"/>
      <c r="G42" s="800"/>
      <c r="H42" s="800">
        <v>6</v>
      </c>
    </row>
    <row r="43" spans="1:11" s="699" customFormat="1" x14ac:dyDescent="0.2">
      <c r="A43" s="782"/>
      <c r="B43" s="804">
        <v>45850</v>
      </c>
      <c r="C43" s="805">
        <v>45850</v>
      </c>
      <c r="D43" s="778">
        <v>0.33333333333333331</v>
      </c>
      <c r="E43" s="778">
        <v>0.33333333333333331</v>
      </c>
      <c r="F43" s="799"/>
      <c r="G43" s="800"/>
      <c r="H43" s="800">
        <v>1</v>
      </c>
    </row>
    <row r="44" spans="1:11" s="699" customFormat="1" x14ac:dyDescent="0.2">
      <c r="A44" s="782"/>
      <c r="B44" s="804">
        <v>46099</v>
      </c>
      <c r="C44" s="805">
        <v>46118</v>
      </c>
      <c r="D44" s="806"/>
      <c r="E44" s="806"/>
      <c r="F44" s="799"/>
      <c r="G44" s="800"/>
      <c r="H44" s="800">
        <v>13</v>
      </c>
    </row>
    <row r="45" spans="1:11" s="699" customFormat="1" x14ac:dyDescent="0.2">
      <c r="A45" s="782"/>
      <c r="B45" s="804">
        <v>46163</v>
      </c>
      <c r="C45" s="805">
        <v>46174</v>
      </c>
      <c r="D45" s="806"/>
      <c r="E45" s="806"/>
      <c r="F45" s="799"/>
      <c r="G45" s="800"/>
      <c r="H45" s="800">
        <v>4</v>
      </c>
    </row>
    <row r="46" spans="1:11" s="699" customFormat="1" x14ac:dyDescent="0.2">
      <c r="A46" s="782"/>
      <c r="B46" s="804">
        <v>46164</v>
      </c>
      <c r="C46" s="805">
        <v>46174</v>
      </c>
      <c r="D46" s="806"/>
      <c r="E46" s="806"/>
      <c r="F46" s="799"/>
      <c r="G46" s="800"/>
      <c r="H46" s="800">
        <v>3</v>
      </c>
    </row>
    <row r="47" spans="1:11" s="699" customFormat="1" x14ac:dyDescent="0.2">
      <c r="A47" s="782"/>
      <c r="B47" s="804"/>
      <c r="C47" s="805"/>
      <c r="D47" s="806"/>
      <c r="E47" s="806"/>
      <c r="F47" s="799"/>
      <c r="G47" s="800"/>
      <c r="H47" s="800"/>
      <c r="K47" s="972" t="s">
        <v>990</v>
      </c>
    </row>
    <row r="48" spans="1:11" s="699" customFormat="1" x14ac:dyDescent="0.2">
      <c r="A48" s="782"/>
      <c r="B48" s="804"/>
      <c r="C48" s="805"/>
      <c r="D48" s="806"/>
      <c r="E48" s="806"/>
      <c r="F48" s="799"/>
      <c r="G48" s="800"/>
      <c r="H48" s="800"/>
      <c r="K48" s="972" t="s">
        <v>991</v>
      </c>
    </row>
    <row r="49" spans="1:8" s="699" customFormat="1" x14ac:dyDescent="0.2">
      <c r="A49" s="782"/>
      <c r="B49" s="804"/>
      <c r="C49" s="805"/>
      <c r="D49" s="806"/>
      <c r="E49" s="806"/>
      <c r="F49" s="799"/>
      <c r="G49" s="800"/>
      <c r="H49" s="800"/>
    </row>
    <row r="50" spans="1:8" s="699" customFormat="1" x14ac:dyDescent="0.2">
      <c r="A50" s="782"/>
      <c r="B50" s="804"/>
      <c r="C50" s="805"/>
      <c r="D50" s="806"/>
      <c r="E50" s="806"/>
      <c r="F50" s="799"/>
      <c r="G50" s="800"/>
      <c r="H50" s="800"/>
    </row>
    <row r="51" spans="1:8" x14ac:dyDescent="0.2">
      <c r="A51" s="782"/>
      <c r="B51" s="804"/>
      <c r="C51" s="805"/>
      <c r="D51" s="783"/>
      <c r="E51" s="783"/>
      <c r="F51" s="784"/>
      <c r="G51" s="785"/>
      <c r="H51" s="785"/>
    </row>
    <row r="52" spans="1:8" x14ac:dyDescent="0.2">
      <c r="F52" s="696" t="s">
        <v>123</v>
      </c>
      <c r="G52" s="697">
        <f>SUM(G7:G51)</f>
        <v>148</v>
      </c>
      <c r="H52" s="697">
        <f>SUM(H7:H51)</f>
        <v>148</v>
      </c>
    </row>
    <row r="53" spans="1:8" x14ac:dyDescent="0.2">
      <c r="F53" s="689"/>
      <c r="G53" s="690"/>
      <c r="H53" s="690"/>
    </row>
    <row r="54" spans="1:8" ht="14.25" x14ac:dyDescent="0.2">
      <c r="F54" s="1153" t="s">
        <v>8</v>
      </c>
      <c r="G54" s="1154"/>
      <c r="H54" s="701">
        <f>G52-H52</f>
        <v>0</v>
      </c>
    </row>
    <row r="59" spans="1:8" x14ac:dyDescent="0.2">
      <c r="A59" s="30" t="s">
        <v>582</v>
      </c>
      <c r="B59" s="243" t="s">
        <v>583</v>
      </c>
      <c r="C59" s="243" t="s">
        <v>584</v>
      </c>
      <c r="D59" s="406"/>
      <c r="E59" s="243"/>
    </row>
    <row r="60" spans="1:8" x14ac:dyDescent="0.2">
      <c r="A60" s="503">
        <v>43758</v>
      </c>
      <c r="B60" s="504">
        <v>44994</v>
      </c>
      <c r="C60" s="243" t="s">
        <v>581</v>
      </c>
      <c r="D60" s="406"/>
      <c r="E60" s="243"/>
    </row>
    <row r="61" spans="1:8" x14ac:dyDescent="0.2">
      <c r="A61" s="503">
        <v>44995</v>
      </c>
      <c r="B61" s="503">
        <v>45361</v>
      </c>
      <c r="C61" s="243" t="s">
        <v>585</v>
      </c>
      <c r="D61" s="458" t="s">
        <v>491</v>
      </c>
      <c r="E61" s="243"/>
    </row>
    <row r="62" spans="1:8" x14ac:dyDescent="0.2">
      <c r="A62" s="503">
        <v>45362</v>
      </c>
      <c r="B62" s="243"/>
      <c r="C62" s="243"/>
      <c r="D62" s="406"/>
      <c r="E62" s="243"/>
    </row>
  </sheetData>
  <sortState ref="B60:I80">
    <sortCondition ref="B8"/>
  </sortState>
  <mergeCells count="3">
    <mergeCell ref="F54:G54"/>
    <mergeCell ref="C1:H5"/>
    <mergeCell ref="J1:J3"/>
  </mergeCells>
  <hyperlinks>
    <hyperlink ref="J1:J3" location="'ANA SAYFA'!A1" display="ANA SAYFA"/>
  </hyperlinks>
  <pageMargins left="0.7" right="0.12" top="0.12" bottom="0.12" header="0.12" footer="0.12"/>
  <pageSetup paperSize="9" scale="64"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4"/>
  <sheetViews>
    <sheetView zoomScaleNormal="100" workbookViewId="0">
      <selection activeCell="J1" sqref="J1:J3"/>
    </sheetView>
  </sheetViews>
  <sheetFormatPr defaultColWidth="9.140625" defaultRowHeight="12.75" x14ac:dyDescent="0.2"/>
  <cols>
    <col min="1" max="1" width="18.140625" style="82" bestFit="1" customWidth="1"/>
    <col min="2" max="2" width="27.28515625" style="82" bestFit="1" customWidth="1"/>
    <col min="3" max="3" width="28" style="82" bestFit="1" customWidth="1"/>
    <col min="4" max="5" width="9.28515625" style="82" bestFit="1" customWidth="1"/>
    <col min="6" max="6" width="18.85546875" style="82" bestFit="1" customWidth="1"/>
    <col min="7" max="7" width="14.42578125" style="82" bestFit="1" customWidth="1"/>
    <col min="8" max="8" width="12.7109375" style="82" bestFit="1" customWidth="1"/>
    <col min="9" max="9" width="4.5703125" style="82" customWidth="1"/>
    <col min="10" max="10" width="11.85546875" style="82" customWidth="1"/>
    <col min="11" max="16384" width="9.140625" style="82"/>
  </cols>
  <sheetData>
    <row r="1" spans="1:11" ht="14.25" customHeight="1" x14ac:dyDescent="0.2">
      <c r="A1" s="29" t="s">
        <v>135</v>
      </c>
      <c r="B1" s="188" t="str">
        <f>'ANA SAYFA'!B35</f>
        <v>MUSTAFA YALVAÇ</v>
      </c>
      <c r="C1" s="1166" t="s">
        <v>136</v>
      </c>
      <c r="D1" s="1166"/>
      <c r="E1" s="1166"/>
      <c r="F1" s="1166"/>
      <c r="G1" s="1166"/>
      <c r="H1" s="1166"/>
      <c r="I1" s="28"/>
      <c r="J1" s="1183" t="s">
        <v>712</v>
      </c>
      <c r="K1" s="30"/>
    </row>
    <row r="2" spans="1:11" ht="14.25" customHeight="1" x14ac:dyDescent="0.2">
      <c r="A2" s="29" t="s">
        <v>137</v>
      </c>
      <c r="B2" s="154">
        <f>'ANA SAYFA'!D35</f>
        <v>12598524950</v>
      </c>
      <c r="C2" s="1166"/>
      <c r="D2" s="1166"/>
      <c r="E2" s="1166"/>
      <c r="F2" s="1166"/>
      <c r="G2" s="1166"/>
      <c r="H2" s="1166"/>
      <c r="I2" s="28"/>
      <c r="J2" s="1184"/>
      <c r="K2" s="30"/>
    </row>
    <row r="3" spans="1:11" ht="14.25" customHeight="1" thickBot="1" x14ac:dyDescent="0.25">
      <c r="A3" s="29" t="s">
        <v>131</v>
      </c>
      <c r="B3" s="153" t="str">
        <f>'ANA SAYFA'!C35</f>
        <v>BEDEN İŞCİSİ</v>
      </c>
      <c r="C3" s="1166"/>
      <c r="D3" s="1166"/>
      <c r="E3" s="1166"/>
      <c r="F3" s="1166"/>
      <c r="G3" s="1166"/>
      <c r="H3" s="1166"/>
      <c r="I3" s="28"/>
      <c r="J3" s="1185"/>
      <c r="K3" s="30"/>
    </row>
    <row r="4" spans="1:11" ht="14.25" customHeight="1" x14ac:dyDescent="0.2">
      <c r="A4" s="29" t="s">
        <v>120</v>
      </c>
      <c r="B4" s="83">
        <f>'ANA SAYFA'!E35</f>
        <v>44567</v>
      </c>
      <c r="C4" s="1166"/>
      <c r="D4" s="1166"/>
      <c r="E4" s="1166"/>
      <c r="F4" s="1166"/>
      <c r="G4" s="1166"/>
      <c r="H4" s="1166"/>
      <c r="I4" s="28"/>
      <c r="J4" s="30"/>
      <c r="K4" s="30"/>
    </row>
    <row r="5" spans="1:11" ht="14.25" customHeight="1" x14ac:dyDescent="0.2">
      <c r="A5" s="29" t="s">
        <v>130</v>
      </c>
      <c r="B5" s="83">
        <f>'ANA SAYFA'!F35</f>
        <v>22749</v>
      </c>
      <c r="C5" s="1166"/>
      <c r="D5" s="1166"/>
      <c r="E5" s="1166"/>
      <c r="F5" s="1166"/>
      <c r="G5" s="1166"/>
      <c r="H5" s="1166"/>
      <c r="I5" s="28"/>
      <c r="J5" s="699"/>
      <c r="K5" s="699"/>
    </row>
    <row r="6" spans="1:11" ht="31.5" x14ac:dyDescent="0.2">
      <c r="A6" s="69" t="s">
        <v>0</v>
      </c>
      <c r="B6" s="70" t="s">
        <v>1</v>
      </c>
      <c r="C6" s="69" t="s">
        <v>2</v>
      </c>
      <c r="D6" s="71" t="s">
        <v>133</v>
      </c>
      <c r="E6" s="71" t="s">
        <v>4</v>
      </c>
      <c r="F6" s="71" t="s">
        <v>7</v>
      </c>
      <c r="G6" s="71" t="s">
        <v>6</v>
      </c>
      <c r="H6" s="71" t="s">
        <v>16</v>
      </c>
      <c r="I6" s="34"/>
      <c r="J6" s="699"/>
      <c r="K6" s="699"/>
    </row>
    <row r="7" spans="1:11" x14ac:dyDescent="0.2">
      <c r="A7" s="139"/>
      <c r="B7" s="155">
        <v>44795</v>
      </c>
      <c r="C7" s="156">
        <v>44802</v>
      </c>
      <c r="D7" s="168">
        <v>0.33333333333333331</v>
      </c>
      <c r="E7" s="168">
        <v>800</v>
      </c>
      <c r="F7" s="244" t="s">
        <v>392</v>
      </c>
      <c r="G7" s="191">
        <v>20</v>
      </c>
      <c r="H7" s="191">
        <v>6</v>
      </c>
      <c r="I7" s="49"/>
      <c r="J7" s="30"/>
      <c r="K7" s="30"/>
    </row>
    <row r="8" spans="1:11" x14ac:dyDescent="0.2">
      <c r="A8" s="139"/>
      <c r="B8" s="155">
        <v>44888</v>
      </c>
      <c r="C8" s="156">
        <v>44889</v>
      </c>
      <c r="D8" s="168">
        <v>800</v>
      </c>
      <c r="E8" s="168">
        <v>0.33333333333333331</v>
      </c>
      <c r="F8" s="244" t="s">
        <v>474</v>
      </c>
      <c r="G8" s="191">
        <v>20</v>
      </c>
      <c r="H8" s="191">
        <v>1</v>
      </c>
      <c r="I8" s="49"/>
      <c r="J8" s="30"/>
      <c r="K8" s="30"/>
    </row>
    <row r="9" spans="1:11" x14ac:dyDescent="0.2">
      <c r="A9" s="139"/>
      <c r="B9" s="155">
        <v>44943</v>
      </c>
      <c r="C9" s="156">
        <v>44946</v>
      </c>
      <c r="D9" s="168">
        <v>0.33333333333333331</v>
      </c>
      <c r="E9" s="168">
        <v>0.33333333333333331</v>
      </c>
      <c r="F9" s="244" t="s">
        <v>686</v>
      </c>
      <c r="G9" s="191">
        <v>20</v>
      </c>
      <c r="H9" s="191">
        <v>3</v>
      </c>
      <c r="I9" s="49"/>
      <c r="J9" s="30"/>
      <c r="K9" s="30"/>
    </row>
    <row r="10" spans="1:11" x14ac:dyDescent="0.2">
      <c r="A10" s="141"/>
      <c r="B10" s="155">
        <v>44970</v>
      </c>
      <c r="C10" s="156">
        <v>44975</v>
      </c>
      <c r="D10" s="168">
        <v>0.33333333333333331</v>
      </c>
      <c r="E10" s="168">
        <v>0.33333333333333331</v>
      </c>
      <c r="F10" s="244" t="s">
        <v>938</v>
      </c>
      <c r="G10" s="748">
        <v>20</v>
      </c>
      <c r="H10" s="191">
        <v>5</v>
      </c>
      <c r="I10" s="49"/>
      <c r="J10" s="30"/>
      <c r="K10" s="30"/>
    </row>
    <row r="11" spans="1:11" x14ac:dyDescent="0.2">
      <c r="A11" s="141"/>
      <c r="B11" s="155">
        <v>45117</v>
      </c>
      <c r="C11" s="158">
        <v>45131</v>
      </c>
      <c r="D11" s="168">
        <v>0.33333333333333331</v>
      </c>
      <c r="E11" s="168">
        <v>0.33333333333333331</v>
      </c>
      <c r="F11" s="83"/>
      <c r="G11" s="145"/>
      <c r="H11" s="191">
        <v>11</v>
      </c>
      <c r="I11" s="49"/>
      <c r="J11" s="30"/>
      <c r="K11" s="30"/>
    </row>
    <row r="12" spans="1:11" x14ac:dyDescent="0.2">
      <c r="A12" s="146"/>
      <c r="B12" s="245">
        <v>45237</v>
      </c>
      <c r="C12" s="246">
        <v>45238</v>
      </c>
      <c r="D12" s="247">
        <v>0.33333333333333331</v>
      </c>
      <c r="E12" s="247">
        <v>0.33333333333333331</v>
      </c>
      <c r="F12" s="145"/>
      <c r="G12" s="145"/>
      <c r="H12" s="145">
        <v>1</v>
      </c>
      <c r="I12" s="49"/>
      <c r="J12" s="30"/>
      <c r="K12" s="30"/>
    </row>
    <row r="13" spans="1:11" x14ac:dyDescent="0.2">
      <c r="A13" s="55"/>
      <c r="B13" s="142">
        <v>45336</v>
      </c>
      <c r="C13" s="143">
        <v>45337</v>
      </c>
      <c r="D13" s="144">
        <v>0.33333333333333331</v>
      </c>
      <c r="E13" s="144">
        <v>0.33333333333333331</v>
      </c>
      <c r="F13" s="140"/>
      <c r="G13" s="145"/>
      <c r="H13" s="145">
        <v>1</v>
      </c>
    </row>
    <row r="14" spans="1:11" x14ac:dyDescent="0.2">
      <c r="A14" s="55"/>
      <c r="B14" s="142">
        <v>45346</v>
      </c>
      <c r="C14" s="143">
        <v>45348</v>
      </c>
      <c r="D14" s="144">
        <v>0.33333333333333331</v>
      </c>
      <c r="E14" s="144">
        <v>0.33333333333333331</v>
      </c>
      <c r="F14" s="140"/>
      <c r="G14" s="145"/>
      <c r="H14" s="145">
        <v>1</v>
      </c>
    </row>
    <row r="15" spans="1:11" x14ac:dyDescent="0.2">
      <c r="A15" s="55"/>
      <c r="B15" s="142" t="s">
        <v>503</v>
      </c>
      <c r="C15" s="143" t="s">
        <v>499</v>
      </c>
      <c r="D15" s="144">
        <v>0.33333333333333331</v>
      </c>
      <c r="E15" s="144">
        <v>0.33333333333333331</v>
      </c>
      <c r="F15" s="140"/>
      <c r="G15" s="145"/>
      <c r="H15" s="145">
        <v>4</v>
      </c>
    </row>
    <row r="16" spans="1:11" x14ac:dyDescent="0.2">
      <c r="A16" s="55"/>
      <c r="B16" s="142">
        <v>45469</v>
      </c>
      <c r="C16" s="142">
        <v>45469</v>
      </c>
      <c r="D16" s="144"/>
      <c r="E16" s="144"/>
      <c r="F16" s="140"/>
      <c r="G16" s="145"/>
      <c r="H16" s="145">
        <v>1</v>
      </c>
    </row>
    <row r="17" spans="1:8" x14ac:dyDescent="0.2">
      <c r="A17" s="55"/>
      <c r="B17" s="142">
        <v>45495</v>
      </c>
      <c r="C17" s="143">
        <v>45507</v>
      </c>
      <c r="D17" s="144"/>
      <c r="E17" s="144"/>
      <c r="F17" s="140"/>
      <c r="G17" s="145"/>
      <c r="H17" s="145">
        <v>12</v>
      </c>
    </row>
    <row r="18" spans="1:8" x14ac:dyDescent="0.2">
      <c r="A18" s="1238" t="s">
        <v>598</v>
      </c>
      <c r="B18" s="1239"/>
      <c r="C18" s="1240"/>
      <c r="D18" s="144"/>
      <c r="E18" s="144"/>
      <c r="F18" s="140"/>
      <c r="G18" s="145"/>
      <c r="H18" s="145"/>
    </row>
    <row r="19" spans="1:8" x14ac:dyDescent="0.2">
      <c r="A19" s="55"/>
      <c r="B19" s="142">
        <v>45512</v>
      </c>
      <c r="C19" s="143">
        <v>45516</v>
      </c>
      <c r="D19" s="144"/>
      <c r="E19" s="144"/>
      <c r="F19" s="140"/>
      <c r="G19" s="145"/>
      <c r="H19" s="145">
        <v>4</v>
      </c>
    </row>
    <row r="20" spans="1:8" x14ac:dyDescent="0.2">
      <c r="A20" s="55"/>
      <c r="B20" s="142">
        <v>45525</v>
      </c>
      <c r="C20" s="143">
        <v>45525</v>
      </c>
      <c r="D20" s="144"/>
      <c r="E20" s="144"/>
      <c r="F20" s="48"/>
      <c r="G20" s="66"/>
      <c r="H20" s="145">
        <v>1</v>
      </c>
    </row>
    <row r="21" spans="1:8" x14ac:dyDescent="0.2">
      <c r="A21" s="1238" t="s">
        <v>633</v>
      </c>
      <c r="B21" s="1239"/>
      <c r="C21" s="1240"/>
      <c r="D21" s="144"/>
      <c r="E21" s="144"/>
      <c r="F21" s="48"/>
      <c r="G21" s="691"/>
      <c r="H21" s="822">
        <v>-5</v>
      </c>
    </row>
    <row r="22" spans="1:8" x14ac:dyDescent="0.2">
      <c r="A22" s="147"/>
      <c r="B22" s="142">
        <v>45559</v>
      </c>
      <c r="C22" s="143">
        <v>45559</v>
      </c>
      <c r="D22" s="144"/>
      <c r="E22" s="144"/>
      <c r="F22" s="48"/>
      <c r="G22" s="691"/>
      <c r="H22" s="145">
        <v>1</v>
      </c>
    </row>
    <row r="23" spans="1:8" x14ac:dyDescent="0.2">
      <c r="A23" s="1238" t="s">
        <v>642</v>
      </c>
      <c r="B23" s="1239"/>
      <c r="C23" s="1240"/>
      <c r="D23" s="144"/>
      <c r="E23" s="144"/>
      <c r="F23" s="48"/>
      <c r="G23" s="691"/>
      <c r="H23" s="848">
        <v>-3</v>
      </c>
    </row>
    <row r="24" spans="1:8" s="366" customFormat="1" x14ac:dyDescent="0.2">
      <c r="A24" s="360"/>
      <c r="B24" s="361">
        <v>45615</v>
      </c>
      <c r="C24" s="362">
        <v>45616</v>
      </c>
      <c r="D24" s="363"/>
      <c r="E24" s="363"/>
      <c r="F24" s="421"/>
      <c r="G24" s="691"/>
      <c r="H24" s="422">
        <v>2</v>
      </c>
    </row>
    <row r="25" spans="1:8" s="366" customFormat="1" x14ac:dyDescent="0.2">
      <c r="A25" s="1238" t="s">
        <v>654</v>
      </c>
      <c r="B25" s="1239"/>
      <c r="C25" s="1240"/>
      <c r="D25" s="363"/>
      <c r="E25" s="363"/>
      <c r="F25" s="421"/>
      <c r="G25" s="691"/>
      <c r="H25" s="848">
        <v>-3</v>
      </c>
    </row>
    <row r="26" spans="1:8" s="366" customFormat="1" x14ac:dyDescent="0.2">
      <c r="A26" s="360"/>
      <c r="B26" s="361">
        <v>45610</v>
      </c>
      <c r="C26" s="362">
        <v>45610</v>
      </c>
      <c r="D26" s="363"/>
      <c r="E26" s="363"/>
      <c r="F26" s="421"/>
      <c r="G26" s="691"/>
      <c r="H26" s="422">
        <v>1</v>
      </c>
    </row>
    <row r="27" spans="1:8" s="366" customFormat="1" x14ac:dyDescent="0.2">
      <c r="A27" s="1238" t="s">
        <v>665</v>
      </c>
      <c r="B27" s="1239"/>
      <c r="C27" s="1240"/>
      <c r="D27" s="363"/>
      <c r="E27" s="363"/>
      <c r="F27" s="421"/>
      <c r="G27" s="691"/>
      <c r="H27" s="848">
        <v>-3</v>
      </c>
    </row>
    <row r="28" spans="1:8" s="366" customFormat="1" x14ac:dyDescent="0.2">
      <c r="A28" s="360"/>
      <c r="B28" s="361">
        <v>45721</v>
      </c>
      <c r="C28" s="362">
        <v>45721</v>
      </c>
      <c r="D28" s="363"/>
      <c r="E28" s="363"/>
      <c r="F28" s="421"/>
      <c r="G28" s="691"/>
      <c r="H28" s="422">
        <v>1</v>
      </c>
    </row>
    <row r="29" spans="1:8" s="779" customFormat="1" x14ac:dyDescent="0.2">
      <c r="A29" s="775"/>
      <c r="B29" s="776">
        <v>45804</v>
      </c>
      <c r="C29" s="777">
        <v>45804</v>
      </c>
      <c r="D29" s="778"/>
      <c r="E29" s="778"/>
      <c r="F29" s="788"/>
      <c r="G29" s="691"/>
      <c r="H29" s="789">
        <v>1</v>
      </c>
    </row>
    <row r="30" spans="1:8" s="779" customFormat="1" x14ac:dyDescent="0.2">
      <c r="A30" s="775"/>
      <c r="B30" s="776">
        <v>45818</v>
      </c>
      <c r="C30" s="777">
        <v>45835</v>
      </c>
      <c r="D30" s="778"/>
      <c r="E30" s="778"/>
      <c r="F30" s="788"/>
      <c r="G30" s="691"/>
      <c r="H30" s="789">
        <v>16</v>
      </c>
    </row>
    <row r="31" spans="1:8" s="779" customFormat="1" x14ac:dyDescent="0.2">
      <c r="A31" s="775"/>
      <c r="B31" s="776">
        <v>45856</v>
      </c>
      <c r="C31" s="777">
        <v>45857</v>
      </c>
      <c r="D31" s="778"/>
      <c r="E31" s="778"/>
      <c r="F31" s="788"/>
      <c r="G31" s="691"/>
      <c r="H31" s="789">
        <v>2</v>
      </c>
    </row>
    <row r="32" spans="1:8" s="779" customFormat="1" x14ac:dyDescent="0.2">
      <c r="A32" s="775"/>
      <c r="B32" s="776">
        <v>45915</v>
      </c>
      <c r="C32" s="777">
        <v>45916</v>
      </c>
      <c r="D32" s="778"/>
      <c r="E32" s="778"/>
      <c r="F32" s="788"/>
      <c r="G32" s="691"/>
      <c r="H32" s="789">
        <v>2</v>
      </c>
    </row>
    <row r="33" spans="1:8" s="779" customFormat="1" x14ac:dyDescent="0.2">
      <c r="A33" s="775"/>
      <c r="B33" s="776">
        <v>45957</v>
      </c>
      <c r="C33" s="777">
        <v>45958</v>
      </c>
      <c r="D33" s="778"/>
      <c r="E33" s="778"/>
      <c r="F33" s="788"/>
      <c r="G33" s="691"/>
      <c r="H33" s="789">
        <v>2</v>
      </c>
    </row>
    <row r="34" spans="1:8" s="779" customFormat="1" x14ac:dyDescent="0.2">
      <c r="A34" s="775"/>
      <c r="B34" s="776">
        <v>46009</v>
      </c>
      <c r="C34" s="777">
        <v>46010</v>
      </c>
      <c r="D34" s="778"/>
      <c r="E34" s="778"/>
      <c r="F34" s="788"/>
      <c r="G34" s="691"/>
      <c r="H34" s="789">
        <v>1</v>
      </c>
    </row>
    <row r="35" spans="1:8" s="779" customFormat="1" x14ac:dyDescent="0.2">
      <c r="A35" s="775"/>
      <c r="B35" s="776">
        <v>46181</v>
      </c>
      <c r="C35" s="777">
        <v>46188</v>
      </c>
      <c r="D35" s="778"/>
      <c r="E35" s="778"/>
      <c r="F35" s="788"/>
      <c r="G35" s="691"/>
      <c r="H35" s="789">
        <v>7</v>
      </c>
    </row>
    <row r="36" spans="1:8" s="779" customFormat="1" x14ac:dyDescent="0.2">
      <c r="A36" s="775"/>
      <c r="B36" s="776"/>
      <c r="C36" s="777"/>
      <c r="D36" s="778"/>
      <c r="E36" s="778"/>
      <c r="F36" s="788"/>
      <c r="G36" s="691"/>
      <c r="H36" s="789"/>
    </row>
    <row r="37" spans="1:8" s="779" customFormat="1" x14ac:dyDescent="0.2">
      <c r="A37" s="775"/>
      <c r="B37" s="776"/>
      <c r="C37" s="777"/>
      <c r="D37" s="778"/>
      <c r="E37" s="778"/>
      <c r="F37" s="788"/>
      <c r="G37" s="691"/>
      <c r="H37" s="789"/>
    </row>
    <row r="38" spans="1:8" s="779" customFormat="1" x14ac:dyDescent="0.2">
      <c r="A38" s="775"/>
      <c r="B38" s="776"/>
      <c r="C38" s="777"/>
      <c r="D38" s="778"/>
      <c r="E38" s="778"/>
      <c r="F38" s="788"/>
      <c r="G38" s="691"/>
      <c r="H38" s="789"/>
    </row>
    <row r="39" spans="1:8" s="779" customFormat="1" x14ac:dyDescent="0.2">
      <c r="A39" s="775"/>
      <c r="B39" s="776"/>
      <c r="C39" s="777"/>
      <c r="D39" s="778"/>
      <c r="E39" s="778"/>
      <c r="F39" s="788"/>
      <c r="G39" s="691"/>
      <c r="H39" s="789"/>
    </row>
    <row r="40" spans="1:8" s="779" customFormat="1" x14ac:dyDescent="0.2">
      <c r="A40" s="775"/>
      <c r="B40" s="776"/>
      <c r="C40" s="777"/>
      <c r="D40" s="778"/>
      <c r="E40" s="778"/>
      <c r="F40" s="788"/>
      <c r="G40" s="691"/>
      <c r="H40" s="789"/>
    </row>
    <row r="41" spans="1:8" x14ac:dyDescent="0.2">
      <c r="A41" s="147"/>
      <c r="B41" s="142"/>
      <c r="C41" s="143"/>
      <c r="D41" s="144"/>
      <c r="E41" s="144"/>
      <c r="F41" s="48"/>
      <c r="G41" s="691"/>
      <c r="H41" s="66"/>
    </row>
    <row r="42" spans="1:8" x14ac:dyDescent="0.2">
      <c r="F42" s="227" t="s">
        <v>123</v>
      </c>
      <c r="G42" s="77">
        <f>SUM(G5:G41)</f>
        <v>80</v>
      </c>
      <c r="H42" s="77">
        <f>SUM(H7:H41)</f>
        <v>73</v>
      </c>
    </row>
    <row r="43" spans="1:8" x14ac:dyDescent="0.2">
      <c r="F43" s="62"/>
      <c r="G43" s="63"/>
      <c r="H43" s="63"/>
    </row>
    <row r="44" spans="1:8" ht="14.25" x14ac:dyDescent="0.2">
      <c r="F44" s="1153" t="s">
        <v>8</v>
      </c>
      <c r="G44" s="1154"/>
      <c r="H44" s="84">
        <f>G42-H42</f>
        <v>7</v>
      </c>
    </row>
  </sheetData>
  <sortState ref="B8:I15">
    <sortCondition ref="B8"/>
  </sortState>
  <mergeCells count="8">
    <mergeCell ref="F44:G44"/>
    <mergeCell ref="J1:J3"/>
    <mergeCell ref="C1:H5"/>
    <mergeCell ref="A18:C18"/>
    <mergeCell ref="A21:C21"/>
    <mergeCell ref="A23:C23"/>
    <mergeCell ref="A25:C25"/>
    <mergeCell ref="A27:C27"/>
  </mergeCells>
  <hyperlinks>
    <hyperlink ref="J1:J3" location="'ANA SAYFA'!A1" display="ANA SAYFA"/>
  </hyperlinks>
  <pageMargins left="0.7" right="0.12" top="0.31" bottom="0.75" header="0.3" footer="0.3"/>
  <pageSetup paperSize="9" scale="69" orientation="portrait" r:id="rId1"/>
  <colBreaks count="1" manualBreakCount="1">
    <brk id="8" max="1048575" man="1"/>
  </colBreak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M38"/>
  <sheetViews>
    <sheetView zoomScaleNormal="100" workbookViewId="0">
      <selection activeCell="J1" sqref="J1:J3"/>
    </sheetView>
  </sheetViews>
  <sheetFormatPr defaultColWidth="9.140625" defaultRowHeight="12.75" x14ac:dyDescent="0.2"/>
  <cols>
    <col min="1" max="1" width="18.140625" style="82" bestFit="1" customWidth="1"/>
    <col min="2" max="2" width="26.7109375" style="82" bestFit="1" customWidth="1"/>
    <col min="3" max="3" width="27.140625" style="82" bestFit="1" customWidth="1"/>
    <col min="4" max="5" width="8.85546875" style="82" customWidth="1"/>
    <col min="6" max="6" width="21.28515625" style="82" customWidth="1"/>
    <col min="7" max="7" width="14.28515625" style="82" bestFit="1" customWidth="1"/>
    <col min="8" max="8" width="12.5703125" style="82" bestFit="1" customWidth="1"/>
    <col min="9" max="9" width="3.5703125" style="82" customWidth="1"/>
    <col min="10" max="10" width="10.140625" style="82" customWidth="1"/>
    <col min="11" max="11" width="11.42578125" style="82" bestFit="1" customWidth="1"/>
    <col min="12" max="16384" width="9.140625" style="82"/>
  </cols>
  <sheetData>
    <row r="1" spans="1:13" ht="14.25" customHeight="1" x14ac:dyDescent="0.2">
      <c r="A1" s="29" t="s">
        <v>135</v>
      </c>
      <c r="B1" s="188" t="str">
        <f>'ANA SAYFA'!B36</f>
        <v>ERHAN AYDEMİR</v>
      </c>
      <c r="C1" s="1166" t="s">
        <v>136</v>
      </c>
      <c r="D1" s="1166"/>
      <c r="E1" s="1166"/>
      <c r="F1" s="1166"/>
      <c r="G1" s="1166"/>
      <c r="H1" s="1166"/>
      <c r="I1" s="28"/>
      <c r="J1" s="1183" t="s">
        <v>712</v>
      </c>
      <c r="K1" s="30"/>
    </row>
    <row r="2" spans="1:13" ht="14.25" customHeight="1" x14ac:dyDescent="0.2">
      <c r="A2" s="29" t="s">
        <v>137</v>
      </c>
      <c r="B2" s="154">
        <f>'ANA SAYFA'!D36</f>
        <v>11219671110</v>
      </c>
      <c r="C2" s="1166"/>
      <c r="D2" s="1166"/>
      <c r="E2" s="1166"/>
      <c r="F2" s="1166"/>
      <c r="G2" s="1166"/>
      <c r="H2" s="1166"/>
      <c r="I2" s="28"/>
      <c r="J2" s="1184"/>
      <c r="K2" s="30"/>
    </row>
    <row r="3" spans="1:13" ht="14.25" customHeight="1" thickBot="1" x14ac:dyDescent="0.25">
      <c r="A3" s="29" t="s">
        <v>131</v>
      </c>
      <c r="B3" s="153" t="str">
        <f>'ANA SAYFA'!C36</f>
        <v>KANTAR GÖREVLİSİ</v>
      </c>
      <c r="C3" s="1166"/>
      <c r="D3" s="1166"/>
      <c r="E3" s="1166"/>
      <c r="F3" s="1166"/>
      <c r="G3" s="1166"/>
      <c r="H3" s="1166"/>
      <c r="I3" s="28"/>
      <c r="J3" s="1185"/>
      <c r="K3" s="30"/>
    </row>
    <row r="4" spans="1:13" ht="14.25" customHeight="1" x14ac:dyDescent="0.2">
      <c r="A4" s="29" t="s">
        <v>120</v>
      </c>
      <c r="B4" s="83">
        <f>'ANA SAYFA'!E36</f>
        <v>44211</v>
      </c>
      <c r="C4" s="1166"/>
      <c r="D4" s="1166"/>
      <c r="E4" s="1166"/>
      <c r="F4" s="1166"/>
      <c r="G4" s="1166"/>
      <c r="H4" s="1166"/>
      <c r="I4" s="28"/>
      <c r="J4" s="30"/>
      <c r="K4" s="30"/>
    </row>
    <row r="5" spans="1:13" ht="14.25" customHeight="1" x14ac:dyDescent="0.2">
      <c r="A5" s="29" t="s">
        <v>130</v>
      </c>
      <c r="B5" s="83">
        <f>'ANA SAYFA'!F36</f>
        <v>32441</v>
      </c>
      <c r="C5" s="1166"/>
      <c r="D5" s="1166"/>
      <c r="E5" s="1166"/>
      <c r="F5" s="1166"/>
      <c r="G5" s="1166"/>
      <c r="H5" s="1166"/>
      <c r="I5" s="28"/>
      <c r="J5" s="699"/>
      <c r="K5" s="699"/>
    </row>
    <row r="6" spans="1:13" ht="31.5" x14ac:dyDescent="0.2">
      <c r="A6" s="69" t="s">
        <v>0</v>
      </c>
      <c r="B6" s="70" t="s">
        <v>1</v>
      </c>
      <c r="C6" s="69" t="s">
        <v>2</v>
      </c>
      <c r="D6" s="71" t="s">
        <v>133</v>
      </c>
      <c r="E6" s="71" t="s">
        <v>4</v>
      </c>
      <c r="F6" s="71" t="s">
        <v>7</v>
      </c>
      <c r="G6" s="71" t="s">
        <v>6</v>
      </c>
      <c r="H6" s="71" t="s">
        <v>16</v>
      </c>
      <c r="I6" s="34"/>
      <c r="J6" s="699"/>
      <c r="K6" s="964">
        <v>45870</v>
      </c>
      <c r="L6" s="962" t="s">
        <v>645</v>
      </c>
      <c r="M6" s="961"/>
    </row>
    <row r="7" spans="1:13" x14ac:dyDescent="0.2">
      <c r="A7" s="139"/>
      <c r="B7" s="535" t="s">
        <v>841</v>
      </c>
      <c r="C7" s="536"/>
      <c r="D7" s="168"/>
      <c r="E7" s="735"/>
      <c r="F7" s="746"/>
      <c r="G7" s="191">
        <v>23</v>
      </c>
      <c r="H7" s="748"/>
      <c r="I7" s="49"/>
      <c r="J7" s="30"/>
      <c r="K7" s="503">
        <v>45869</v>
      </c>
      <c r="L7" s="82" t="s">
        <v>835</v>
      </c>
    </row>
    <row r="8" spans="1:13" x14ac:dyDescent="0.2">
      <c r="A8" s="139"/>
      <c r="B8" s="535"/>
      <c r="C8" s="536"/>
      <c r="D8" s="735"/>
      <c r="E8" s="735"/>
      <c r="F8" s="746" t="s">
        <v>842</v>
      </c>
      <c r="G8" s="191"/>
      <c r="H8" s="748"/>
      <c r="I8" s="49"/>
      <c r="J8" s="30"/>
    </row>
    <row r="9" spans="1:13" x14ac:dyDescent="0.2">
      <c r="A9" s="141"/>
      <c r="B9" s="155">
        <v>46149</v>
      </c>
      <c r="C9" s="730">
        <v>46151</v>
      </c>
      <c r="D9" s="735"/>
      <c r="E9" s="735"/>
      <c r="F9" s="746"/>
      <c r="G9" s="191"/>
      <c r="H9" s="252">
        <v>2</v>
      </c>
      <c r="I9" s="49"/>
      <c r="J9" s="30"/>
      <c r="K9" s="30"/>
    </row>
    <row r="10" spans="1:13" x14ac:dyDescent="0.2">
      <c r="A10" s="141"/>
      <c r="B10" s="729"/>
      <c r="C10" s="730"/>
      <c r="D10" s="735"/>
      <c r="E10" s="735"/>
      <c r="F10" s="746"/>
      <c r="G10" s="145"/>
      <c r="H10" s="191"/>
      <c r="I10" s="49"/>
      <c r="J10" s="30"/>
      <c r="K10" s="30"/>
    </row>
    <row r="11" spans="1:13" x14ac:dyDescent="0.2">
      <c r="A11" s="141"/>
      <c r="B11" s="729"/>
      <c r="C11" s="730"/>
      <c r="D11" s="735"/>
      <c r="E11" s="735"/>
      <c r="F11" s="83"/>
      <c r="G11" s="145"/>
      <c r="H11" s="191"/>
      <c r="I11" s="49"/>
      <c r="J11" s="30"/>
      <c r="K11" s="30"/>
    </row>
    <row r="12" spans="1:13" x14ac:dyDescent="0.2">
      <c r="A12" s="141"/>
      <c r="B12" s="729"/>
      <c r="C12" s="732"/>
      <c r="D12" s="735"/>
      <c r="E12" s="735"/>
      <c r="F12" s="83"/>
      <c r="G12" s="145"/>
      <c r="H12" s="748"/>
    </row>
    <row r="13" spans="1:13" x14ac:dyDescent="0.2">
      <c r="A13" s="717"/>
      <c r="B13" s="248"/>
      <c r="C13" s="249"/>
      <c r="D13" s="735"/>
      <c r="E13" s="735"/>
      <c r="F13" s="746"/>
      <c r="G13" s="748"/>
      <c r="H13" s="252"/>
    </row>
    <row r="14" spans="1:13" s="699" customFormat="1" x14ac:dyDescent="0.2">
      <c r="A14" s="717"/>
      <c r="B14" s="729"/>
      <c r="C14" s="730"/>
      <c r="D14" s="735"/>
      <c r="E14" s="735"/>
      <c r="F14" s="746"/>
      <c r="G14" s="748"/>
      <c r="H14" s="252"/>
    </row>
    <row r="15" spans="1:13" s="699" customFormat="1" x14ac:dyDescent="0.2">
      <c r="A15" s="719"/>
      <c r="B15" s="250"/>
      <c r="C15" s="250"/>
      <c r="D15" s="762"/>
      <c r="E15" s="762"/>
      <c r="F15" s="700"/>
      <c r="G15" s="723"/>
      <c r="H15" s="748"/>
    </row>
    <row r="16" spans="1:13" s="699" customFormat="1" x14ac:dyDescent="0.2">
      <c r="A16" s="719"/>
      <c r="B16" s="250"/>
      <c r="C16" s="251"/>
      <c r="D16" s="735"/>
      <c r="E16" s="735"/>
      <c r="F16" s="700"/>
      <c r="G16" s="723"/>
      <c r="H16" s="748"/>
    </row>
    <row r="17" spans="1:8" s="699" customFormat="1" x14ac:dyDescent="0.2">
      <c r="A17" s="719"/>
      <c r="B17" s="250"/>
      <c r="C17" s="251"/>
      <c r="D17" s="762"/>
      <c r="E17" s="762"/>
      <c r="F17" s="700"/>
      <c r="G17" s="723"/>
      <c r="H17" s="748"/>
    </row>
    <row r="18" spans="1:8" s="699" customFormat="1" x14ac:dyDescent="0.2">
      <c r="A18" s="719"/>
      <c r="B18" s="250"/>
      <c r="C18" s="251"/>
      <c r="D18" s="762"/>
      <c r="E18" s="762"/>
      <c r="F18" s="700"/>
      <c r="G18" s="723"/>
      <c r="H18" s="748"/>
    </row>
    <row r="19" spans="1:8" s="699" customFormat="1" x14ac:dyDescent="0.2">
      <c r="A19" s="719"/>
      <c r="B19" s="250"/>
      <c r="C19" s="251"/>
      <c r="D19" s="762"/>
      <c r="E19" s="762"/>
      <c r="F19" s="700"/>
      <c r="G19" s="723"/>
      <c r="H19" s="748"/>
    </row>
    <row r="20" spans="1:8" s="699" customFormat="1" x14ac:dyDescent="0.2">
      <c r="A20" s="719"/>
      <c r="B20" s="250"/>
      <c r="C20" s="251"/>
      <c r="D20" s="762"/>
      <c r="E20" s="762"/>
      <c r="F20" s="700"/>
      <c r="G20" s="723"/>
      <c r="H20" s="748"/>
    </row>
    <row r="21" spans="1:8" s="699" customFormat="1" x14ac:dyDescent="0.2">
      <c r="A21" s="719"/>
      <c r="B21" s="250"/>
      <c r="C21" s="251"/>
      <c r="D21" s="762"/>
      <c r="E21" s="762"/>
      <c r="F21" s="700"/>
      <c r="G21" s="723"/>
      <c r="H21" s="748"/>
    </row>
    <row r="22" spans="1:8" s="699" customFormat="1" x14ac:dyDescent="0.2">
      <c r="A22" s="719"/>
      <c r="B22" s="250"/>
      <c r="C22" s="251"/>
      <c r="D22" s="762"/>
      <c r="E22" s="762"/>
      <c r="F22" s="700"/>
      <c r="G22" s="723"/>
      <c r="H22" s="748"/>
    </row>
    <row r="23" spans="1:8" s="699" customFormat="1" x14ac:dyDescent="0.2">
      <c r="A23" s="719"/>
      <c r="B23" s="250"/>
      <c r="C23" s="251"/>
      <c r="D23" s="762"/>
      <c r="E23" s="762"/>
      <c r="F23" s="700"/>
      <c r="G23" s="723"/>
      <c r="H23" s="748"/>
    </row>
    <row r="24" spans="1:8" s="699" customFormat="1" x14ac:dyDescent="0.2">
      <c r="A24" s="719"/>
      <c r="B24" s="250"/>
      <c r="C24" s="251"/>
      <c r="D24" s="762"/>
      <c r="E24" s="762"/>
      <c r="F24" s="700"/>
      <c r="G24" s="723"/>
      <c r="H24" s="748"/>
    </row>
    <row r="25" spans="1:8" s="699" customFormat="1" x14ac:dyDescent="0.2">
      <c r="A25" s="719"/>
      <c r="B25" s="250"/>
      <c r="C25" s="251"/>
      <c r="D25" s="762"/>
      <c r="E25" s="762"/>
      <c r="F25" s="700"/>
      <c r="G25" s="723"/>
      <c r="H25" s="748"/>
    </row>
    <row r="26" spans="1:8" s="699" customFormat="1" x14ac:dyDescent="0.2">
      <c r="A26" s="719"/>
      <c r="B26" s="250"/>
      <c r="C26" s="251"/>
      <c r="D26" s="762"/>
      <c r="E26" s="762"/>
      <c r="F26" s="700"/>
      <c r="G26" s="723"/>
      <c r="H26" s="748"/>
    </row>
    <row r="27" spans="1:8" s="699" customFormat="1" x14ac:dyDescent="0.2">
      <c r="A27" s="719"/>
      <c r="B27" s="250"/>
      <c r="C27" s="251"/>
      <c r="D27" s="762"/>
      <c r="E27" s="762"/>
      <c r="F27" s="700"/>
      <c r="G27" s="723"/>
      <c r="H27" s="748"/>
    </row>
    <row r="28" spans="1:8" s="699" customFormat="1" x14ac:dyDescent="0.2">
      <c r="A28" s="719"/>
      <c r="B28" s="250"/>
      <c r="C28" s="251"/>
      <c r="D28" s="762"/>
      <c r="E28" s="762"/>
      <c r="F28" s="700"/>
      <c r="G28" s="723"/>
      <c r="H28" s="748"/>
    </row>
    <row r="29" spans="1:8" s="699" customFormat="1" x14ac:dyDescent="0.2">
      <c r="A29" s="719"/>
      <c r="B29" s="250"/>
      <c r="C29" s="251"/>
      <c r="D29" s="762"/>
      <c r="E29" s="762"/>
      <c r="F29" s="700"/>
      <c r="G29" s="723"/>
      <c r="H29" s="748"/>
    </row>
    <row r="30" spans="1:8" s="699" customFormat="1" x14ac:dyDescent="0.2">
      <c r="A30" s="719"/>
      <c r="B30" s="250"/>
      <c r="C30" s="251"/>
      <c r="D30" s="762"/>
      <c r="E30" s="762"/>
      <c r="F30" s="700"/>
      <c r="G30" s="723"/>
      <c r="H30" s="748"/>
    </row>
    <row r="31" spans="1:8" s="699" customFormat="1" x14ac:dyDescent="0.2">
      <c r="A31" s="719"/>
      <c r="B31" s="250"/>
      <c r="C31" s="251"/>
      <c r="D31" s="762"/>
      <c r="E31" s="762"/>
      <c r="F31" s="700"/>
      <c r="G31" s="723"/>
      <c r="H31" s="748"/>
    </row>
    <row r="32" spans="1:8" s="699" customFormat="1" x14ac:dyDescent="0.2">
      <c r="A32" s="719"/>
      <c r="B32" s="250"/>
      <c r="C32" s="251"/>
      <c r="D32" s="762"/>
      <c r="E32" s="762"/>
      <c r="F32" s="700"/>
      <c r="G32" s="723"/>
      <c r="H32" s="748"/>
    </row>
    <row r="33" spans="1:8" x14ac:dyDescent="0.2">
      <c r="A33" s="141"/>
      <c r="B33" s="250"/>
      <c r="C33" s="250"/>
      <c r="D33" s="247"/>
      <c r="E33" s="247"/>
      <c r="F33" s="83"/>
      <c r="G33" s="145"/>
      <c r="H33" s="191"/>
    </row>
    <row r="34" spans="1:8" x14ac:dyDescent="0.2">
      <c r="A34" s="141"/>
      <c r="B34" s="250"/>
      <c r="C34" s="251"/>
      <c r="D34" s="247"/>
      <c r="E34" s="247"/>
      <c r="F34" s="83"/>
      <c r="G34" s="145"/>
      <c r="H34" s="239"/>
    </row>
    <row r="35" spans="1:8" x14ac:dyDescent="0.2">
      <c r="A35" s="141"/>
      <c r="B35" s="250"/>
      <c r="C35" s="251"/>
      <c r="D35" s="247"/>
      <c r="E35" s="247"/>
      <c r="F35" s="83"/>
      <c r="G35" s="145"/>
      <c r="H35" s="239"/>
    </row>
    <row r="36" spans="1:8" x14ac:dyDescent="0.2">
      <c r="F36" s="227" t="s">
        <v>123</v>
      </c>
      <c r="G36" s="77">
        <f>SUM(G7:G35)</f>
        <v>23</v>
      </c>
      <c r="H36" s="77">
        <f>SUM(H7:H35)</f>
        <v>2</v>
      </c>
    </row>
    <row r="37" spans="1:8" x14ac:dyDescent="0.2">
      <c r="F37" s="62"/>
      <c r="G37" s="63"/>
      <c r="H37" s="63"/>
    </row>
    <row r="38" spans="1:8" ht="14.25" x14ac:dyDescent="0.2">
      <c r="F38" s="1153" t="s">
        <v>8</v>
      </c>
      <c r="G38" s="1154"/>
      <c r="H38" s="84">
        <f>G36-H36</f>
        <v>21</v>
      </c>
    </row>
  </sheetData>
  <sortState ref="B7:D14">
    <sortCondition ref="B7"/>
  </sortState>
  <mergeCells count="3">
    <mergeCell ref="F38:G38"/>
    <mergeCell ref="J1:J3"/>
    <mergeCell ref="C1:H5"/>
  </mergeCells>
  <hyperlinks>
    <hyperlink ref="J1:J3" location="'ANA SAYFA'!A1" display="ANA SAYFA"/>
  </hyperlinks>
  <pageMargins left="0.7" right="0.12" top="0.28999999999999998" bottom="0.75" header="0.3" footer="0.3"/>
  <pageSetup paperSize="9" scale="69" orientation="portrait" r:id="rId1"/>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4"/>
  <sheetViews>
    <sheetView zoomScaleNormal="100" workbookViewId="0">
      <pane ySplit="6" topLeftCell="A34" activePane="bottomLeft" state="frozen"/>
      <selection pane="bottomLeft"/>
    </sheetView>
  </sheetViews>
  <sheetFormatPr defaultColWidth="9.140625" defaultRowHeight="12.75" x14ac:dyDescent="0.2"/>
  <cols>
    <col min="1" max="1" width="18.140625" style="82" bestFit="1" customWidth="1"/>
    <col min="2" max="2" width="28.28515625" style="82" bestFit="1" customWidth="1"/>
    <col min="3" max="3" width="27.7109375" style="82" bestFit="1" customWidth="1"/>
    <col min="4" max="5" width="9.28515625" style="82" bestFit="1" customWidth="1"/>
    <col min="6" max="6" width="18.85546875" style="82" bestFit="1" customWidth="1"/>
    <col min="7" max="7" width="14.28515625" style="82" customWidth="1"/>
    <col min="8" max="8" width="12.7109375" style="82" bestFit="1" customWidth="1"/>
    <col min="9" max="9" width="3.7109375" style="82" customWidth="1"/>
    <col min="10" max="10" width="10.7109375" style="82" customWidth="1"/>
    <col min="11" max="16384" width="9.140625" style="82"/>
  </cols>
  <sheetData>
    <row r="1" spans="1:12" ht="13.5" customHeight="1" x14ac:dyDescent="0.2">
      <c r="A1" s="29" t="s">
        <v>135</v>
      </c>
      <c r="B1" s="188" t="str">
        <f>'ANA SAYFA'!B37</f>
        <v>MÜMİN AKÇİN</v>
      </c>
      <c r="C1" s="1166" t="s">
        <v>136</v>
      </c>
      <c r="D1" s="1166"/>
      <c r="E1" s="1166"/>
      <c r="F1" s="1166"/>
      <c r="G1" s="1166"/>
      <c r="H1" s="1166"/>
      <c r="I1" s="28"/>
      <c r="J1" s="1183" t="s">
        <v>712</v>
      </c>
      <c r="K1" s="30"/>
    </row>
    <row r="2" spans="1:12" ht="13.5" customHeight="1" x14ac:dyDescent="0.2">
      <c r="A2" s="29" t="s">
        <v>137</v>
      </c>
      <c r="B2" s="154">
        <f>'ANA SAYFA'!D37</f>
        <v>12254984746</v>
      </c>
      <c r="C2" s="1166"/>
      <c r="D2" s="1166"/>
      <c r="E2" s="1166"/>
      <c r="F2" s="1166"/>
      <c r="G2" s="1166"/>
      <c r="H2" s="1166"/>
      <c r="I2" s="28"/>
      <c r="J2" s="1184"/>
      <c r="K2" s="30"/>
    </row>
    <row r="3" spans="1:12" ht="13.5" customHeight="1" thickBot="1" x14ac:dyDescent="0.25">
      <c r="A3" s="29" t="s">
        <v>131</v>
      </c>
      <c r="B3" s="153" t="str">
        <f>'ANA SAYFA'!C37</f>
        <v>OPERATÖR</v>
      </c>
      <c r="C3" s="1166"/>
      <c r="D3" s="1166"/>
      <c r="E3" s="1166"/>
      <c r="F3" s="1166"/>
      <c r="G3" s="1166"/>
      <c r="H3" s="1166"/>
      <c r="I3" s="28"/>
      <c r="J3" s="1185"/>
      <c r="K3" s="30"/>
    </row>
    <row r="4" spans="1:12" ht="13.5" customHeight="1" x14ac:dyDescent="0.2">
      <c r="A4" s="29" t="s">
        <v>120</v>
      </c>
      <c r="B4" s="83">
        <f>'ANA SAYFA'!E37</f>
        <v>44992</v>
      </c>
      <c r="C4" s="1166"/>
      <c r="D4" s="1166"/>
      <c r="E4" s="1166"/>
      <c r="F4" s="1166"/>
      <c r="G4" s="1166"/>
      <c r="H4" s="1166"/>
      <c r="I4" s="28"/>
      <c r="J4" s="30"/>
      <c r="K4" s="30"/>
    </row>
    <row r="5" spans="1:12" ht="13.5" customHeight="1" x14ac:dyDescent="0.2">
      <c r="A5" s="29" t="s">
        <v>130</v>
      </c>
      <c r="B5" s="83">
        <f>'ANA SAYFA'!F37</f>
        <v>27211</v>
      </c>
      <c r="C5" s="1166"/>
      <c r="D5" s="1166"/>
      <c r="E5" s="1166"/>
      <c r="F5" s="1166"/>
      <c r="G5" s="1166"/>
      <c r="H5" s="1166"/>
      <c r="I5" s="28"/>
      <c r="J5" s="699"/>
      <c r="K5" s="699"/>
    </row>
    <row r="6" spans="1:12" ht="31.5" x14ac:dyDescent="0.2">
      <c r="A6" s="69" t="s">
        <v>0</v>
      </c>
      <c r="B6" s="70" t="s">
        <v>1</v>
      </c>
      <c r="C6" s="69" t="s">
        <v>2</v>
      </c>
      <c r="D6" s="71" t="s">
        <v>133</v>
      </c>
      <c r="E6" s="71" t="s">
        <v>4</v>
      </c>
      <c r="F6" s="71" t="s">
        <v>7</v>
      </c>
      <c r="G6" s="71" t="s">
        <v>6</v>
      </c>
      <c r="H6" s="71" t="s">
        <v>16</v>
      </c>
      <c r="I6" s="34"/>
      <c r="J6" s="699"/>
      <c r="K6" s="699"/>
    </row>
    <row r="7" spans="1:12" s="243" customFormat="1" x14ac:dyDescent="0.2">
      <c r="A7" s="139"/>
      <c r="B7" s="1241" t="s">
        <v>483</v>
      </c>
      <c r="C7" s="1242"/>
      <c r="D7" s="168"/>
      <c r="E7" s="168"/>
      <c r="F7" s="254"/>
      <c r="G7" s="441">
        <v>9</v>
      </c>
      <c r="H7" s="192"/>
      <c r="I7" s="49"/>
      <c r="J7" s="30"/>
      <c r="K7" s="30"/>
    </row>
    <row r="8" spans="1:12" s="243" customFormat="1" x14ac:dyDescent="0.2">
      <c r="A8" s="139"/>
      <c r="B8" s="1241" t="s">
        <v>592</v>
      </c>
      <c r="C8" s="1242"/>
      <c r="D8" s="168"/>
      <c r="E8" s="168"/>
      <c r="F8" s="455"/>
      <c r="G8" s="441">
        <v>2</v>
      </c>
      <c r="H8" s="192"/>
      <c r="I8" s="49"/>
      <c r="J8" s="30"/>
      <c r="K8" s="30"/>
    </row>
    <row r="9" spans="1:12" s="243" customFormat="1" ht="14.25" customHeight="1" x14ac:dyDescent="0.2">
      <c r="A9" s="139"/>
      <c r="B9" s="450">
        <v>45005</v>
      </c>
      <c r="C9" s="451">
        <v>45007</v>
      </c>
      <c r="D9" s="452">
        <v>0.33333333333333331</v>
      </c>
      <c r="E9" s="452">
        <v>0.33333333333333331</v>
      </c>
      <c r="F9" s="454" t="s">
        <v>542</v>
      </c>
      <c r="G9" s="448">
        <v>14</v>
      </c>
      <c r="H9" s="448">
        <v>2</v>
      </c>
      <c r="I9" s="49"/>
      <c r="J9" s="30"/>
      <c r="K9" s="30"/>
    </row>
    <row r="10" spans="1:12" s="243" customFormat="1" ht="14.25" customHeight="1" x14ac:dyDescent="0.2">
      <c r="A10" s="141"/>
      <c r="B10" s="450">
        <v>45001</v>
      </c>
      <c r="C10" s="453">
        <v>45003</v>
      </c>
      <c r="D10" s="452">
        <v>0.33333333333333331</v>
      </c>
      <c r="E10" s="452">
        <v>0.33333333333333331</v>
      </c>
      <c r="F10" s="454" t="s">
        <v>683</v>
      </c>
      <c r="G10" s="448">
        <v>20</v>
      </c>
      <c r="H10" s="448">
        <v>2</v>
      </c>
      <c r="I10" s="49"/>
      <c r="J10" s="357"/>
      <c r="K10" s="357"/>
      <c r="L10" s="357"/>
    </row>
    <row r="11" spans="1:12" s="243" customFormat="1" ht="14.25" customHeight="1" x14ac:dyDescent="0.2">
      <c r="A11" s="141"/>
      <c r="B11" s="450">
        <v>45090</v>
      </c>
      <c r="C11" s="451">
        <v>45092</v>
      </c>
      <c r="D11" s="452">
        <v>0.33333333333333331</v>
      </c>
      <c r="E11" s="452">
        <v>0.33333333333333331</v>
      </c>
      <c r="F11" s="454" t="s">
        <v>978</v>
      </c>
      <c r="G11" s="448">
        <v>20</v>
      </c>
      <c r="H11" s="449">
        <v>2</v>
      </c>
      <c r="I11" s="49"/>
      <c r="J11" s="357"/>
      <c r="K11" s="357"/>
      <c r="L11" s="357"/>
    </row>
    <row r="12" spans="1:12" s="243" customFormat="1" ht="14.25" customHeight="1" x14ac:dyDescent="0.2">
      <c r="A12" s="141"/>
      <c r="B12" s="445">
        <v>45103</v>
      </c>
      <c r="C12" s="446">
        <v>45111</v>
      </c>
      <c r="D12" s="452">
        <v>0.33333333333333331</v>
      </c>
      <c r="E12" s="452">
        <v>0.33333333333333331</v>
      </c>
      <c r="F12" s="454"/>
      <c r="G12" s="448"/>
      <c r="H12" s="448">
        <v>2</v>
      </c>
      <c r="I12" s="49"/>
      <c r="J12" s="357"/>
      <c r="K12" s="357"/>
      <c r="L12" s="357"/>
    </row>
    <row r="13" spans="1:12" s="243" customFormat="1" ht="14.25" customHeight="1" x14ac:dyDescent="0.2">
      <c r="A13" s="141"/>
      <c r="B13" s="445">
        <v>45139</v>
      </c>
      <c r="C13" s="446">
        <v>45155</v>
      </c>
      <c r="D13" s="452">
        <v>0.33333333333333331</v>
      </c>
      <c r="E13" s="452">
        <v>0.33333333333333331</v>
      </c>
      <c r="F13" s="443"/>
      <c r="G13" s="444"/>
      <c r="H13" s="448">
        <v>14</v>
      </c>
      <c r="I13" s="49"/>
      <c r="J13" s="357"/>
      <c r="K13" s="357"/>
      <c r="L13" s="357"/>
    </row>
    <row r="14" spans="1:12" s="243" customFormat="1" ht="14.25" customHeight="1" x14ac:dyDescent="0.2">
      <c r="A14" s="141"/>
      <c r="B14" s="445">
        <v>45155</v>
      </c>
      <c r="C14" s="446">
        <v>45169</v>
      </c>
      <c r="D14" s="447">
        <v>0.33333333333333331</v>
      </c>
      <c r="E14" s="447">
        <v>0.33333333333333331</v>
      </c>
      <c r="F14" s="443"/>
      <c r="G14" s="444"/>
      <c r="H14" s="448">
        <v>12</v>
      </c>
      <c r="I14" s="49"/>
      <c r="J14" s="357"/>
      <c r="K14" s="357"/>
      <c r="L14" s="357"/>
    </row>
    <row r="15" spans="1:12" s="243" customFormat="1" ht="14.25" customHeight="1" x14ac:dyDescent="0.2">
      <c r="A15" s="141"/>
      <c r="B15" s="445">
        <v>45278</v>
      </c>
      <c r="C15" s="446">
        <v>45281</v>
      </c>
      <c r="D15" s="447">
        <v>0.33333333333333331</v>
      </c>
      <c r="E15" s="447">
        <v>0.33333333333333331</v>
      </c>
      <c r="F15" s="443"/>
      <c r="G15" s="444"/>
      <c r="H15" s="448">
        <v>3</v>
      </c>
      <c r="I15" s="49"/>
      <c r="J15" s="357"/>
      <c r="K15" s="357"/>
      <c r="L15" s="357"/>
    </row>
    <row r="16" spans="1:12" s="243" customFormat="1" ht="14.25" customHeight="1" x14ac:dyDescent="0.2">
      <c r="A16" s="141"/>
      <c r="B16" s="445">
        <v>45299</v>
      </c>
      <c r="C16" s="446">
        <v>45300</v>
      </c>
      <c r="D16" s="447">
        <v>0.33333333333333331</v>
      </c>
      <c r="E16" s="447">
        <v>0.33333333333333331</v>
      </c>
      <c r="F16" s="443"/>
      <c r="G16" s="795"/>
      <c r="H16" s="448">
        <v>1</v>
      </c>
      <c r="I16" s="49"/>
      <c r="J16" s="357"/>
      <c r="K16" s="357"/>
      <c r="L16" s="357"/>
    </row>
    <row r="17" spans="1:12" s="243" customFormat="1" ht="14.25" customHeight="1" x14ac:dyDescent="0.2">
      <c r="A17" s="141"/>
      <c r="B17" s="445">
        <v>45314</v>
      </c>
      <c r="C17" s="446">
        <v>45315</v>
      </c>
      <c r="D17" s="447">
        <v>0.5</v>
      </c>
      <c r="E17" s="447">
        <v>0.33333333333333331</v>
      </c>
      <c r="F17" s="443"/>
      <c r="G17" s="795"/>
      <c r="H17" s="456">
        <v>0.5</v>
      </c>
      <c r="I17" s="49"/>
      <c r="J17" s="407"/>
      <c r="K17" s="407"/>
      <c r="L17" s="357"/>
    </row>
    <row r="18" spans="1:12" s="243" customFormat="1" ht="14.25" customHeight="1" x14ac:dyDescent="0.2">
      <c r="A18" s="1243" t="s">
        <v>484</v>
      </c>
      <c r="B18" s="1244"/>
      <c r="C18" s="1245"/>
      <c r="D18" s="247"/>
      <c r="E18" s="247"/>
      <c r="F18" s="253"/>
      <c r="G18" s="723"/>
      <c r="H18" s="822">
        <v>-5</v>
      </c>
      <c r="I18" s="49"/>
      <c r="J18" s="30"/>
      <c r="K18" s="30"/>
    </row>
    <row r="19" spans="1:12" s="243" customFormat="1" ht="14.25" customHeight="1" x14ac:dyDescent="0.2">
      <c r="A19" s="141"/>
      <c r="B19" s="245">
        <v>45339</v>
      </c>
      <c r="C19" s="246">
        <v>45339</v>
      </c>
      <c r="D19" s="447">
        <v>0.5</v>
      </c>
      <c r="E19" s="247">
        <v>0.75</v>
      </c>
      <c r="F19" s="253"/>
      <c r="G19" s="723"/>
      <c r="H19" s="456">
        <v>0.5</v>
      </c>
    </row>
    <row r="20" spans="1:12" s="243" customFormat="1" ht="14.25" customHeight="1" x14ac:dyDescent="0.2">
      <c r="A20" s="141"/>
      <c r="B20" s="245">
        <v>45348</v>
      </c>
      <c r="C20" s="246">
        <v>45349</v>
      </c>
      <c r="D20" s="447">
        <v>0.33333333333333331</v>
      </c>
      <c r="E20" s="247">
        <v>0.33333333333333331</v>
      </c>
      <c r="F20" s="253"/>
      <c r="G20" s="723"/>
      <c r="H20" s="456">
        <v>1</v>
      </c>
    </row>
    <row r="21" spans="1:12" s="243" customFormat="1" ht="14.25" customHeight="1" x14ac:dyDescent="0.2">
      <c r="A21" s="141"/>
      <c r="B21" s="245" t="s">
        <v>504</v>
      </c>
      <c r="C21" s="245" t="s">
        <v>504</v>
      </c>
      <c r="D21" s="447">
        <v>0.54166666666666663</v>
      </c>
      <c r="E21" s="247">
        <v>0.75</v>
      </c>
      <c r="F21" s="253"/>
      <c r="G21" s="723"/>
      <c r="H21" s="456">
        <v>0.5</v>
      </c>
    </row>
    <row r="22" spans="1:12" s="243" customFormat="1" ht="14.25" customHeight="1" x14ac:dyDescent="0.2">
      <c r="A22" s="141"/>
      <c r="B22" s="245">
        <v>45390</v>
      </c>
      <c r="C22" s="245">
        <v>45390</v>
      </c>
      <c r="D22" s="447">
        <v>0.33333333333333331</v>
      </c>
      <c r="E22" s="447">
        <v>0.33333333333333331</v>
      </c>
      <c r="F22" s="253"/>
      <c r="G22" s="723"/>
      <c r="H22" s="456">
        <v>1</v>
      </c>
    </row>
    <row r="23" spans="1:12" s="243" customFormat="1" ht="14.25" customHeight="1" x14ac:dyDescent="0.2">
      <c r="A23" s="141"/>
      <c r="B23" s="245">
        <v>45449</v>
      </c>
      <c r="C23" s="246">
        <v>45450</v>
      </c>
      <c r="D23" s="447">
        <v>0.33333333333333331</v>
      </c>
      <c r="E23" s="447">
        <v>0.33333333333333331</v>
      </c>
      <c r="F23" s="253"/>
      <c r="G23" s="723"/>
      <c r="H23" s="456">
        <v>1</v>
      </c>
    </row>
    <row r="24" spans="1:12" s="243" customFormat="1" ht="14.25" customHeight="1" x14ac:dyDescent="0.2">
      <c r="A24" s="141"/>
      <c r="B24" s="245" t="s">
        <v>566</v>
      </c>
      <c r="C24" s="246" t="s">
        <v>567</v>
      </c>
      <c r="D24" s="447">
        <v>0.33333333333333331</v>
      </c>
      <c r="E24" s="447">
        <v>0.33333333333333331</v>
      </c>
      <c r="F24" s="253"/>
      <c r="G24" s="723"/>
      <c r="H24" s="192">
        <v>4</v>
      </c>
    </row>
    <row r="25" spans="1:12" s="243" customFormat="1" ht="14.25" customHeight="1" x14ac:dyDescent="0.2">
      <c r="A25" s="1243" t="s">
        <v>594</v>
      </c>
      <c r="B25" s="1244"/>
      <c r="C25" s="1245"/>
      <c r="D25" s="247"/>
      <c r="E25" s="247"/>
      <c r="F25" s="253"/>
      <c r="G25" s="723"/>
      <c r="H25" s="849">
        <v>-5</v>
      </c>
    </row>
    <row r="26" spans="1:12" s="243" customFormat="1" ht="14.25" customHeight="1" x14ac:dyDescent="0.2">
      <c r="A26" s="141"/>
      <c r="B26" s="245">
        <v>45535</v>
      </c>
      <c r="C26" s="245">
        <v>45535</v>
      </c>
      <c r="D26" s="447">
        <v>0.33333333333333331</v>
      </c>
      <c r="E26" s="447">
        <v>0.33333333333333331</v>
      </c>
      <c r="F26" s="253"/>
      <c r="G26" s="723"/>
      <c r="H26" s="157">
        <v>1</v>
      </c>
    </row>
    <row r="27" spans="1:12" s="243" customFormat="1" ht="14.25" customHeight="1" x14ac:dyDescent="0.2">
      <c r="A27" s="1243" t="s">
        <v>631</v>
      </c>
      <c r="B27" s="1244"/>
      <c r="C27" s="1245"/>
      <c r="D27" s="247"/>
      <c r="E27" s="247"/>
      <c r="F27" s="253"/>
      <c r="G27" s="723"/>
      <c r="H27" s="849">
        <v>-5</v>
      </c>
    </row>
    <row r="28" spans="1:12" s="243" customFormat="1" ht="14.25" customHeight="1" x14ac:dyDescent="0.2">
      <c r="A28" s="141"/>
      <c r="B28" s="245">
        <v>45566</v>
      </c>
      <c r="C28" s="245">
        <v>45566</v>
      </c>
      <c r="D28" s="447">
        <v>0.33333333333333331</v>
      </c>
      <c r="E28" s="447">
        <v>0.33333333333333331</v>
      </c>
      <c r="F28" s="253"/>
      <c r="G28" s="723"/>
      <c r="H28" s="157">
        <v>1</v>
      </c>
    </row>
    <row r="29" spans="1:12" s="243" customFormat="1" ht="14.25" customHeight="1" x14ac:dyDescent="0.2">
      <c r="A29" s="1243" t="s">
        <v>642</v>
      </c>
      <c r="B29" s="1244"/>
      <c r="C29" s="1245"/>
      <c r="D29" s="247"/>
      <c r="E29" s="247"/>
      <c r="F29" s="253"/>
      <c r="G29" s="723"/>
      <c r="H29" s="849">
        <v>-3</v>
      </c>
    </row>
    <row r="30" spans="1:12" s="366" customFormat="1" ht="14.25" customHeight="1" x14ac:dyDescent="0.2">
      <c r="A30" s="526"/>
      <c r="B30" s="527">
        <v>45619</v>
      </c>
      <c r="C30" s="527">
        <v>45619</v>
      </c>
      <c r="D30" s="447">
        <v>0.33333333333333331</v>
      </c>
      <c r="E30" s="447">
        <v>0.33333333333333331</v>
      </c>
      <c r="F30" s="364"/>
      <c r="G30" s="723"/>
      <c r="H30" s="529">
        <v>1</v>
      </c>
    </row>
    <row r="31" spans="1:12" s="366" customFormat="1" ht="14.25" customHeight="1" x14ac:dyDescent="0.2">
      <c r="A31" s="526"/>
      <c r="B31" s="527">
        <v>45617</v>
      </c>
      <c r="C31" s="527">
        <v>45618</v>
      </c>
      <c r="D31" s="447">
        <v>0.33333333333333331</v>
      </c>
      <c r="E31" s="447">
        <v>0.33333333333333331</v>
      </c>
      <c r="F31" s="364"/>
      <c r="G31" s="723"/>
      <c r="H31" s="529">
        <v>2</v>
      </c>
    </row>
    <row r="32" spans="1:12" s="366" customFormat="1" ht="14.25" customHeight="1" x14ac:dyDescent="0.2">
      <c r="A32" s="1243" t="s">
        <v>654</v>
      </c>
      <c r="B32" s="1244"/>
      <c r="C32" s="1245"/>
      <c r="D32" s="528"/>
      <c r="E32" s="528"/>
      <c r="F32" s="364"/>
      <c r="G32" s="723"/>
      <c r="H32" s="849">
        <v>-3</v>
      </c>
    </row>
    <row r="33" spans="1:8" s="366" customFormat="1" ht="14.25" customHeight="1" x14ac:dyDescent="0.2">
      <c r="A33" s="1243" t="s">
        <v>665</v>
      </c>
      <c r="B33" s="1244"/>
      <c r="C33" s="1245"/>
      <c r="D33" s="528"/>
      <c r="E33" s="528"/>
      <c r="F33" s="364"/>
      <c r="G33" s="723"/>
      <c r="H33" s="849">
        <v>-3</v>
      </c>
    </row>
    <row r="34" spans="1:8" s="366" customFormat="1" ht="14.25" customHeight="1" x14ac:dyDescent="0.2">
      <c r="A34" s="526"/>
      <c r="B34" s="527">
        <v>45672</v>
      </c>
      <c r="C34" s="527">
        <v>45672</v>
      </c>
      <c r="D34" s="447">
        <v>0.33333333333333331</v>
      </c>
      <c r="E34" s="447">
        <v>0.33333333333333331</v>
      </c>
      <c r="F34" s="364"/>
      <c r="G34" s="723"/>
      <c r="H34" s="529">
        <v>1</v>
      </c>
    </row>
    <row r="35" spans="1:8" s="366" customFormat="1" ht="14.25" customHeight="1" x14ac:dyDescent="0.2">
      <c r="A35" s="526"/>
      <c r="B35" s="527">
        <v>45314</v>
      </c>
      <c r="C35" s="527">
        <v>45682</v>
      </c>
      <c r="D35" s="447">
        <v>0.33333333333333331</v>
      </c>
      <c r="E35" s="447">
        <v>0.33333333333333331</v>
      </c>
      <c r="F35" s="364"/>
      <c r="G35" s="723"/>
      <c r="H35" s="529">
        <v>3</v>
      </c>
    </row>
    <row r="36" spans="1:8" s="366" customFormat="1" ht="14.25" customHeight="1" x14ac:dyDescent="0.2">
      <c r="A36" s="1243" t="s">
        <v>678</v>
      </c>
      <c r="B36" s="1244"/>
      <c r="C36" s="1245"/>
      <c r="D36" s="528"/>
      <c r="E36" s="528"/>
      <c r="F36" s="364"/>
      <c r="G36" s="723"/>
      <c r="H36" s="849">
        <v>-2</v>
      </c>
    </row>
    <row r="37" spans="1:8" s="366" customFormat="1" ht="14.25" customHeight="1" x14ac:dyDescent="0.2">
      <c r="A37" s="526"/>
      <c r="B37" s="527">
        <v>45724</v>
      </c>
      <c r="C37" s="527">
        <v>45724</v>
      </c>
      <c r="D37" s="447">
        <v>0.33333333333333331</v>
      </c>
      <c r="E37" s="447">
        <v>0.33333333333333331</v>
      </c>
      <c r="F37" s="364"/>
      <c r="G37" s="723"/>
      <c r="H37" s="529">
        <v>1</v>
      </c>
    </row>
    <row r="38" spans="1:8" s="779" customFormat="1" ht="14.25" customHeight="1" x14ac:dyDescent="0.2">
      <c r="A38" s="526"/>
      <c r="B38" s="527">
        <v>45759</v>
      </c>
      <c r="C38" s="527">
        <v>45759</v>
      </c>
      <c r="D38" s="447">
        <v>0.33333333333333331</v>
      </c>
      <c r="E38" s="447">
        <v>0.33333333333333331</v>
      </c>
      <c r="F38" s="364"/>
      <c r="G38" s="723"/>
      <c r="H38" s="529">
        <v>1</v>
      </c>
    </row>
    <row r="39" spans="1:8" s="779" customFormat="1" ht="14.25" customHeight="1" x14ac:dyDescent="0.2">
      <c r="A39" s="526"/>
      <c r="B39" s="527">
        <v>45782</v>
      </c>
      <c r="C39" s="527">
        <v>45787</v>
      </c>
      <c r="D39" s="447">
        <v>0.33333333333333331</v>
      </c>
      <c r="E39" s="447">
        <v>0.33333333333333331</v>
      </c>
      <c r="F39" s="364"/>
      <c r="G39" s="723"/>
      <c r="H39" s="529">
        <v>6</v>
      </c>
    </row>
    <row r="40" spans="1:8" s="779" customFormat="1" ht="14.25" customHeight="1" x14ac:dyDescent="0.2">
      <c r="A40" s="526"/>
      <c r="B40" s="527">
        <v>45838</v>
      </c>
      <c r="C40" s="527">
        <v>45838</v>
      </c>
      <c r="D40" s="447">
        <v>0.33333333333333331</v>
      </c>
      <c r="E40" s="447">
        <v>0.75</v>
      </c>
      <c r="F40" s="364"/>
      <c r="G40" s="723"/>
      <c r="H40" s="529">
        <v>1</v>
      </c>
    </row>
    <row r="41" spans="1:8" s="779" customFormat="1" ht="14.25" customHeight="1" x14ac:dyDescent="0.2">
      <c r="A41" s="526"/>
      <c r="B41" s="527">
        <v>45852</v>
      </c>
      <c r="C41" s="527">
        <v>45854</v>
      </c>
      <c r="D41" s="447">
        <v>0.33333333333333331</v>
      </c>
      <c r="E41" s="447">
        <v>0.33333333333333331</v>
      </c>
      <c r="F41" s="364"/>
      <c r="G41" s="723"/>
      <c r="H41" s="529">
        <v>2</v>
      </c>
    </row>
    <row r="42" spans="1:8" s="779" customFormat="1" ht="14.25" customHeight="1" x14ac:dyDescent="0.2">
      <c r="A42" s="526"/>
      <c r="B42" s="527">
        <v>45887</v>
      </c>
      <c r="C42" s="527">
        <v>45888</v>
      </c>
      <c r="D42" s="447">
        <v>0.33333333333333331</v>
      </c>
      <c r="E42" s="447">
        <v>0.33333333333333331</v>
      </c>
      <c r="F42" s="364"/>
      <c r="G42" s="723"/>
      <c r="H42" s="529">
        <v>1</v>
      </c>
    </row>
    <row r="43" spans="1:8" s="779" customFormat="1" ht="14.25" customHeight="1" x14ac:dyDescent="0.2">
      <c r="A43" s="526"/>
      <c r="B43" s="527">
        <v>45931</v>
      </c>
      <c r="C43" s="527">
        <v>45932</v>
      </c>
      <c r="D43" s="447">
        <v>0.33333333333333331</v>
      </c>
      <c r="E43" s="447">
        <v>0.33333333333333331</v>
      </c>
      <c r="F43" s="364"/>
      <c r="G43" s="723"/>
      <c r="H43" s="529">
        <v>1</v>
      </c>
    </row>
    <row r="44" spans="1:8" s="779" customFormat="1" ht="14.25" customHeight="1" x14ac:dyDescent="0.2">
      <c r="A44" s="526"/>
      <c r="B44" s="527">
        <v>45971</v>
      </c>
      <c r="C44" s="527">
        <v>45978</v>
      </c>
      <c r="D44" s="447">
        <v>0.33333333333333331</v>
      </c>
      <c r="E44" s="447">
        <v>0.33333333333333331</v>
      </c>
      <c r="F44" s="364"/>
      <c r="G44" s="723"/>
      <c r="H44" s="529">
        <v>6</v>
      </c>
    </row>
    <row r="45" spans="1:8" s="779" customFormat="1" ht="14.25" customHeight="1" x14ac:dyDescent="0.2">
      <c r="A45" s="526"/>
      <c r="B45" s="527">
        <v>45985</v>
      </c>
      <c r="C45" s="527">
        <v>45986</v>
      </c>
      <c r="D45" s="447">
        <v>0.33333333333333331</v>
      </c>
      <c r="E45" s="447">
        <v>0.33333333333333331</v>
      </c>
      <c r="F45" s="364"/>
      <c r="G45" s="723"/>
      <c r="H45" s="529">
        <v>1</v>
      </c>
    </row>
    <row r="46" spans="1:8" s="779" customFormat="1" ht="14.25" customHeight="1" x14ac:dyDescent="0.2">
      <c r="A46" s="526"/>
      <c r="B46" s="527">
        <v>46006</v>
      </c>
      <c r="C46" s="527">
        <v>46007</v>
      </c>
      <c r="D46" s="447">
        <v>0.33333333333333331</v>
      </c>
      <c r="E46" s="447">
        <v>0.33333333333333331</v>
      </c>
      <c r="F46" s="364"/>
      <c r="G46" s="723"/>
      <c r="H46" s="529">
        <v>1</v>
      </c>
    </row>
    <row r="47" spans="1:8" s="779" customFormat="1" ht="14.25" customHeight="1" x14ac:dyDescent="0.2">
      <c r="A47" s="526"/>
      <c r="B47" s="527">
        <v>46202</v>
      </c>
      <c r="C47" s="527">
        <v>46204</v>
      </c>
      <c r="D47" s="447"/>
      <c r="E47" s="447"/>
      <c r="F47" s="364"/>
      <c r="G47" s="723"/>
      <c r="H47" s="529">
        <v>3</v>
      </c>
    </row>
    <row r="48" spans="1:8" s="779" customFormat="1" ht="14.25" customHeight="1" x14ac:dyDescent="0.2">
      <c r="A48" s="526"/>
      <c r="B48" s="527"/>
      <c r="C48" s="527"/>
      <c r="D48" s="447"/>
      <c r="E48" s="447"/>
      <c r="F48" s="364"/>
      <c r="G48" s="723"/>
      <c r="H48" s="529"/>
    </row>
    <row r="49" spans="1:8" s="779" customFormat="1" ht="14.25" customHeight="1" x14ac:dyDescent="0.2">
      <c r="A49" s="526"/>
      <c r="B49" s="527"/>
      <c r="C49" s="527"/>
      <c r="D49" s="447"/>
      <c r="E49" s="447"/>
      <c r="F49" s="364"/>
      <c r="G49" s="723"/>
      <c r="H49" s="529"/>
    </row>
    <row r="50" spans="1:8" s="779" customFormat="1" ht="14.25" customHeight="1" x14ac:dyDescent="0.2">
      <c r="A50" s="526"/>
      <c r="B50" s="527"/>
      <c r="C50" s="527"/>
      <c r="D50" s="447"/>
      <c r="E50" s="447"/>
      <c r="F50" s="364"/>
      <c r="G50" s="723"/>
      <c r="H50" s="529"/>
    </row>
    <row r="51" spans="1:8" ht="14.25" customHeight="1" x14ac:dyDescent="0.2">
      <c r="A51" s="147"/>
      <c r="B51" s="442"/>
      <c r="C51" s="143"/>
      <c r="D51" s="144"/>
      <c r="E51" s="144"/>
      <c r="F51" s="48"/>
      <c r="G51" s="66"/>
      <c r="H51" s="66"/>
    </row>
    <row r="52" spans="1:8" ht="14.25" customHeight="1" x14ac:dyDescent="0.2">
      <c r="F52" s="227" t="s">
        <v>123</v>
      </c>
      <c r="G52" s="77">
        <f>SUM(G7:G51)</f>
        <v>65</v>
      </c>
      <c r="H52" s="77">
        <f>SUM(H7:H51)</f>
        <v>53.5</v>
      </c>
    </row>
    <row r="53" spans="1:8" ht="14.25" customHeight="1" x14ac:dyDescent="0.2">
      <c r="F53" s="62"/>
      <c r="G53" s="63"/>
      <c r="H53" s="63"/>
    </row>
    <row r="54" spans="1:8" ht="14.25" customHeight="1" x14ac:dyDescent="0.2">
      <c r="F54" s="1153" t="s">
        <v>8</v>
      </c>
      <c r="G54" s="1154"/>
      <c r="H54" s="84">
        <f>G52-H52</f>
        <v>11.5</v>
      </c>
    </row>
  </sheetData>
  <mergeCells count="12">
    <mergeCell ref="J1:J3"/>
    <mergeCell ref="C1:H5"/>
    <mergeCell ref="F54:G54"/>
    <mergeCell ref="B8:C8"/>
    <mergeCell ref="B7:C7"/>
    <mergeCell ref="A18:C18"/>
    <mergeCell ref="A25:C25"/>
    <mergeCell ref="A27:C27"/>
    <mergeCell ref="A29:C29"/>
    <mergeCell ref="A32:C32"/>
    <mergeCell ref="A33:C33"/>
    <mergeCell ref="A36:C36"/>
  </mergeCells>
  <hyperlinks>
    <hyperlink ref="J1:J3" location="'ANA SAYFA'!A1" display="ANA SAYFA"/>
  </hyperlinks>
  <pageMargins left="0.7" right="0.12" top="0.12" bottom="0.75" header="0.12" footer="0.3"/>
  <pageSetup paperSize="9" scale="6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zoomScaleNormal="100" workbookViewId="0">
      <selection activeCell="J1" sqref="J1:J3"/>
    </sheetView>
  </sheetViews>
  <sheetFormatPr defaultColWidth="9.140625" defaultRowHeight="12.75" x14ac:dyDescent="0.2"/>
  <cols>
    <col min="1" max="1" width="18.140625" style="82" bestFit="1" customWidth="1"/>
    <col min="2" max="3" width="26.85546875" style="82" bestFit="1" customWidth="1"/>
    <col min="4" max="4" width="6.7109375" style="82" bestFit="1" customWidth="1"/>
    <col min="5" max="5" width="8.85546875" style="82" bestFit="1" customWidth="1"/>
    <col min="6" max="6" width="19.42578125" style="82" bestFit="1" customWidth="1"/>
    <col min="7" max="8" width="14" style="82" customWidth="1"/>
    <col min="9" max="9" width="4.42578125" style="82" customWidth="1"/>
    <col min="10" max="10" width="10.42578125" style="82" customWidth="1"/>
    <col min="11" max="16384" width="9.140625" style="82"/>
  </cols>
  <sheetData>
    <row r="1" spans="1:11" ht="14.25" customHeight="1" x14ac:dyDescent="0.2">
      <c r="A1" s="29" t="s">
        <v>135</v>
      </c>
      <c r="B1" s="188" t="str">
        <f>'ANA SAYFA'!B38</f>
        <v>MEHMET CEMİL ÇETİN</v>
      </c>
      <c r="C1" s="1166" t="s">
        <v>136</v>
      </c>
      <c r="D1" s="1166"/>
      <c r="E1" s="1166"/>
      <c r="F1" s="1166"/>
      <c r="G1" s="1166"/>
      <c r="H1" s="1166"/>
      <c r="I1" s="28"/>
      <c r="J1" s="1183" t="s">
        <v>712</v>
      </c>
      <c r="K1" s="30"/>
    </row>
    <row r="2" spans="1:11" ht="14.25" customHeight="1" x14ac:dyDescent="0.2">
      <c r="A2" s="29" t="s">
        <v>137</v>
      </c>
      <c r="B2" s="154">
        <f>'ANA SAYFA'!D38</f>
        <v>20401800252</v>
      </c>
      <c r="C2" s="1166"/>
      <c r="D2" s="1166"/>
      <c r="E2" s="1166"/>
      <c r="F2" s="1166"/>
      <c r="G2" s="1166"/>
      <c r="H2" s="1166"/>
      <c r="I2" s="28"/>
      <c r="J2" s="1184"/>
      <c r="K2" s="30"/>
    </row>
    <row r="3" spans="1:11" ht="14.25" customHeight="1" thickBot="1" x14ac:dyDescent="0.25">
      <c r="A3" s="29" t="s">
        <v>131</v>
      </c>
      <c r="B3" s="153" t="str">
        <f>'ANA SAYFA'!C38</f>
        <v>TIR-ÇEKİCİ ŞOFÖRÜ</v>
      </c>
      <c r="C3" s="1166"/>
      <c r="D3" s="1166"/>
      <c r="E3" s="1166"/>
      <c r="F3" s="1166"/>
      <c r="G3" s="1166"/>
      <c r="H3" s="1166"/>
      <c r="I3" s="28"/>
      <c r="J3" s="1185"/>
      <c r="K3" s="30"/>
    </row>
    <row r="4" spans="1:11" ht="14.25" customHeight="1" x14ac:dyDescent="0.2">
      <c r="A4" s="29" t="s">
        <v>120</v>
      </c>
      <c r="B4" s="83">
        <f>'ANA SAYFA'!E38</f>
        <v>44985</v>
      </c>
      <c r="C4" s="1166"/>
      <c r="D4" s="1166"/>
      <c r="E4" s="1166"/>
      <c r="F4" s="1166"/>
      <c r="G4" s="1166"/>
      <c r="H4" s="1166"/>
      <c r="I4" s="28"/>
      <c r="J4" s="30"/>
      <c r="K4" s="30"/>
    </row>
    <row r="5" spans="1:11" ht="14.25" customHeight="1" x14ac:dyDescent="0.2">
      <c r="A5" s="29" t="s">
        <v>130</v>
      </c>
      <c r="B5" s="83">
        <f>'ANA SAYFA'!F38</f>
        <v>25821</v>
      </c>
      <c r="C5" s="1166"/>
      <c r="D5" s="1166"/>
      <c r="E5" s="1166"/>
      <c r="F5" s="1166"/>
      <c r="G5" s="1166"/>
      <c r="H5" s="1166"/>
      <c r="I5" s="28"/>
      <c r="J5" s="699"/>
      <c r="K5" s="699"/>
    </row>
    <row r="6" spans="1:11" ht="31.5" x14ac:dyDescent="0.2">
      <c r="A6" s="69" t="s">
        <v>0</v>
      </c>
      <c r="B6" s="70" t="s">
        <v>1</v>
      </c>
      <c r="C6" s="69" t="s">
        <v>2</v>
      </c>
      <c r="D6" s="71" t="s">
        <v>133</v>
      </c>
      <c r="E6" s="71" t="s">
        <v>4</v>
      </c>
      <c r="F6" s="71" t="s">
        <v>7</v>
      </c>
      <c r="G6" s="71" t="s">
        <v>6</v>
      </c>
      <c r="H6" s="71" t="s">
        <v>16</v>
      </c>
      <c r="I6" s="34"/>
      <c r="J6" s="699"/>
      <c r="K6" s="699"/>
    </row>
    <row r="7" spans="1:11" s="243" customFormat="1" ht="15.75" customHeight="1" x14ac:dyDescent="0.2">
      <c r="A7" s="139"/>
      <c r="B7" s="245">
        <v>45103</v>
      </c>
      <c r="C7" s="246">
        <v>45110</v>
      </c>
      <c r="D7" s="144">
        <v>0.33333333333333331</v>
      </c>
      <c r="E7" s="144">
        <v>0.5</v>
      </c>
      <c r="F7" s="260" t="s">
        <v>543</v>
      </c>
      <c r="G7" s="145">
        <v>20</v>
      </c>
      <c r="H7" s="191">
        <v>1.5</v>
      </c>
      <c r="I7" s="49"/>
      <c r="J7" s="30"/>
      <c r="K7" s="30"/>
    </row>
    <row r="8" spans="1:11" s="243" customFormat="1" ht="15.75" customHeight="1" x14ac:dyDescent="0.2">
      <c r="A8" s="139"/>
      <c r="B8" s="245">
        <v>45175</v>
      </c>
      <c r="C8" s="246">
        <v>45182</v>
      </c>
      <c r="D8" s="144">
        <v>0.33333333333333331</v>
      </c>
      <c r="E8" s="144">
        <v>0.33333333333333331</v>
      </c>
      <c r="F8" s="260" t="s">
        <v>700</v>
      </c>
      <c r="G8" s="145">
        <v>20</v>
      </c>
      <c r="H8" s="145">
        <v>6</v>
      </c>
      <c r="I8" s="49"/>
      <c r="J8" s="30"/>
      <c r="K8" s="30"/>
    </row>
    <row r="9" spans="1:11" s="243" customFormat="1" ht="15.75" customHeight="1" x14ac:dyDescent="0.2">
      <c r="A9" s="141"/>
      <c r="B9" s="245">
        <v>45269</v>
      </c>
      <c r="C9" s="246">
        <v>45278</v>
      </c>
      <c r="D9" s="144">
        <v>0.33333333333333331</v>
      </c>
      <c r="E9" s="144">
        <v>0.33333333333333331</v>
      </c>
      <c r="F9" s="260" t="s">
        <v>964</v>
      </c>
      <c r="G9" s="723">
        <v>20</v>
      </c>
      <c r="H9" s="191">
        <v>7</v>
      </c>
      <c r="I9" s="49"/>
      <c r="J9" s="30"/>
      <c r="K9" s="30"/>
    </row>
    <row r="10" spans="1:11" s="243" customFormat="1" ht="15.75" customHeight="1" x14ac:dyDescent="0.2">
      <c r="A10" s="141"/>
      <c r="B10" s="142">
        <v>45316</v>
      </c>
      <c r="C10" s="143">
        <v>45321</v>
      </c>
      <c r="D10" s="722">
        <v>0.33333333333333331</v>
      </c>
      <c r="E10" s="722">
        <v>0.33333333333333331</v>
      </c>
      <c r="F10" s="332"/>
      <c r="G10" s="145"/>
      <c r="H10" s="242">
        <v>4</v>
      </c>
      <c r="I10" s="49"/>
      <c r="J10" s="30"/>
      <c r="K10" s="30"/>
    </row>
    <row r="11" spans="1:11" s="243" customFormat="1" ht="15.75" customHeight="1" x14ac:dyDescent="0.2">
      <c r="A11" s="141"/>
      <c r="B11" s="142" t="s">
        <v>509</v>
      </c>
      <c r="C11" s="143" t="s">
        <v>514</v>
      </c>
      <c r="D11" s="722">
        <v>0.33333333333333331</v>
      </c>
      <c r="E11" s="722">
        <v>0.33333333333333331</v>
      </c>
      <c r="F11" s="260"/>
      <c r="G11" s="145"/>
      <c r="H11" s="258">
        <v>2</v>
      </c>
      <c r="I11" s="49"/>
      <c r="J11" s="30"/>
      <c r="K11" s="30"/>
    </row>
    <row r="12" spans="1:11" s="243" customFormat="1" ht="15.75" customHeight="1" x14ac:dyDescent="0.2">
      <c r="A12" s="491"/>
      <c r="B12" s="142">
        <v>45457</v>
      </c>
      <c r="C12" s="142">
        <v>45464</v>
      </c>
      <c r="D12" s="722">
        <v>0.33333333333333331</v>
      </c>
      <c r="E12" s="722">
        <v>0.33333333333333331</v>
      </c>
      <c r="F12" s="253"/>
      <c r="G12" s="145"/>
      <c r="H12" s="145">
        <v>3</v>
      </c>
    </row>
    <row r="13" spans="1:11" s="243" customFormat="1" ht="15.75" customHeight="1" x14ac:dyDescent="0.2">
      <c r="A13" s="141"/>
      <c r="B13" s="142">
        <v>45495</v>
      </c>
      <c r="C13" s="143">
        <v>45496</v>
      </c>
      <c r="D13" s="722">
        <v>0.33333333333333331</v>
      </c>
      <c r="E13" s="722">
        <v>0.33333333333333331</v>
      </c>
      <c r="F13" s="253"/>
      <c r="G13" s="145"/>
      <c r="H13" s="145">
        <v>2</v>
      </c>
    </row>
    <row r="14" spans="1:11" s="243" customFormat="1" ht="15.75" customHeight="1" x14ac:dyDescent="0.2">
      <c r="A14" s="1195" t="s">
        <v>631</v>
      </c>
      <c r="B14" s="1246"/>
      <c r="C14" s="1196"/>
      <c r="D14" s="144"/>
      <c r="E14" s="144"/>
      <c r="F14" s="253"/>
      <c r="G14" s="258"/>
      <c r="H14" s="822">
        <v>-3</v>
      </c>
    </row>
    <row r="15" spans="1:11" s="243" customFormat="1" ht="15.75" customHeight="1" x14ac:dyDescent="0.2">
      <c r="A15" s="141"/>
      <c r="B15" s="142">
        <v>45626</v>
      </c>
      <c r="C15" s="143">
        <v>45633</v>
      </c>
      <c r="D15" s="722">
        <v>0.33333333333333331</v>
      </c>
      <c r="E15" s="722">
        <v>0.33333333333333331</v>
      </c>
      <c r="F15" s="253"/>
      <c r="G15" s="145"/>
      <c r="H15" s="145">
        <v>7</v>
      </c>
    </row>
    <row r="16" spans="1:11" s="243" customFormat="1" ht="15.75" customHeight="1" x14ac:dyDescent="0.2">
      <c r="A16" s="141" t="s">
        <v>792</v>
      </c>
      <c r="B16" s="142">
        <v>45813</v>
      </c>
      <c r="C16" s="143">
        <v>45827</v>
      </c>
      <c r="D16" s="722">
        <v>0.33333333333333331</v>
      </c>
      <c r="E16" s="722">
        <v>0.33333333333333331</v>
      </c>
      <c r="F16" s="145"/>
      <c r="G16" s="145"/>
      <c r="H16" s="145">
        <v>8</v>
      </c>
    </row>
    <row r="17" spans="1:8" s="243" customFormat="1" ht="15.75" customHeight="1" x14ac:dyDescent="0.2">
      <c r="A17" s="141"/>
      <c r="B17" s="142">
        <v>45910</v>
      </c>
      <c r="C17" s="143">
        <v>45917</v>
      </c>
      <c r="D17" s="722">
        <v>0.33333333333333331</v>
      </c>
      <c r="E17" s="722">
        <v>0.33333333333333331</v>
      </c>
      <c r="F17" s="145"/>
      <c r="G17" s="145"/>
      <c r="H17" s="145">
        <v>6</v>
      </c>
    </row>
    <row r="18" spans="1:8" s="243" customFormat="1" ht="15.75" customHeight="1" x14ac:dyDescent="0.2">
      <c r="A18" s="141"/>
      <c r="B18" s="142">
        <v>45994</v>
      </c>
      <c r="C18" s="143">
        <v>46001</v>
      </c>
      <c r="D18" s="722"/>
      <c r="E18" s="722"/>
      <c r="F18" s="145"/>
      <c r="G18" s="145"/>
      <c r="H18" s="145">
        <v>6</v>
      </c>
    </row>
    <row r="19" spans="1:8" s="243" customFormat="1" ht="15.75" customHeight="1" x14ac:dyDescent="0.2">
      <c r="A19" s="141"/>
      <c r="B19" s="142">
        <v>46104</v>
      </c>
      <c r="C19" s="143">
        <v>46106</v>
      </c>
      <c r="D19" s="144"/>
      <c r="E19" s="144"/>
      <c r="F19" s="140"/>
      <c r="G19" s="145"/>
      <c r="H19" s="145">
        <v>2</v>
      </c>
    </row>
    <row r="20" spans="1:8" s="243" customFormat="1" ht="15.75" customHeight="1" x14ac:dyDescent="0.2">
      <c r="A20" s="141"/>
      <c r="B20" s="142">
        <v>46174</v>
      </c>
      <c r="C20" s="143">
        <v>46183</v>
      </c>
      <c r="D20" s="144"/>
      <c r="E20" s="144"/>
      <c r="F20" s="140"/>
      <c r="G20" s="145"/>
      <c r="H20" s="242">
        <v>9</v>
      </c>
    </row>
    <row r="21" spans="1:8" s="243" customFormat="1" ht="15.75" customHeight="1" x14ac:dyDescent="0.2">
      <c r="A21" s="146"/>
      <c r="B21" s="142"/>
      <c r="C21" s="143"/>
      <c r="D21" s="144"/>
      <c r="E21" s="144"/>
      <c r="F21" s="140"/>
      <c r="G21" s="145"/>
      <c r="H21" s="242"/>
    </row>
    <row r="22" spans="1:8" ht="15.75" customHeight="1" x14ac:dyDescent="0.2">
      <c r="A22" s="55"/>
      <c r="B22" s="142"/>
      <c r="C22" s="143"/>
      <c r="D22" s="144"/>
      <c r="E22" s="144"/>
      <c r="F22" s="140"/>
      <c r="G22" s="145"/>
      <c r="H22" s="145"/>
    </row>
    <row r="23" spans="1:8" ht="15.75" customHeight="1" x14ac:dyDescent="0.2">
      <c r="A23" s="55"/>
      <c r="B23" s="142"/>
      <c r="C23" s="143"/>
      <c r="D23" s="144"/>
      <c r="E23" s="144"/>
      <c r="F23" s="140"/>
      <c r="G23" s="145"/>
      <c r="H23" s="145"/>
    </row>
    <row r="24" spans="1:8" ht="15.75" customHeight="1" x14ac:dyDescent="0.2">
      <c r="A24" s="55"/>
      <c r="B24" s="142"/>
      <c r="C24" s="143"/>
      <c r="D24" s="144"/>
      <c r="E24" s="144"/>
      <c r="F24" s="140"/>
      <c r="G24" s="145"/>
      <c r="H24" s="145"/>
    </row>
    <row r="25" spans="1:8" ht="15.75" customHeight="1" x14ac:dyDescent="0.2">
      <c r="A25" s="55"/>
      <c r="B25" s="142"/>
      <c r="C25" s="143"/>
      <c r="D25" s="144"/>
      <c r="E25" s="144"/>
      <c r="F25" s="140"/>
      <c r="G25" s="145"/>
      <c r="H25" s="145"/>
    </row>
    <row r="26" spans="1:8" ht="15.75" customHeight="1" x14ac:dyDescent="0.2">
      <c r="A26" s="55"/>
      <c r="B26" s="142"/>
      <c r="C26" s="143"/>
      <c r="D26" s="144"/>
      <c r="E26" s="144"/>
      <c r="F26" s="140"/>
      <c r="G26" s="145"/>
      <c r="H26" s="145"/>
    </row>
    <row r="27" spans="1:8" ht="15.75" customHeight="1" x14ac:dyDescent="0.2">
      <c r="A27" s="55"/>
      <c r="B27" s="142"/>
      <c r="C27" s="143"/>
      <c r="D27" s="144"/>
      <c r="E27" s="144"/>
      <c r="F27" s="140"/>
      <c r="G27" s="145"/>
      <c r="H27" s="259"/>
    </row>
    <row r="28" spans="1:8" ht="15.75" customHeight="1" x14ac:dyDescent="0.2">
      <c r="A28" s="55"/>
      <c r="B28" s="142"/>
      <c r="C28" s="143"/>
      <c r="D28" s="144"/>
      <c r="E28" s="144"/>
      <c r="F28" s="140"/>
      <c r="G28" s="145"/>
      <c r="H28" s="145"/>
    </row>
    <row r="29" spans="1:8" ht="15.75" customHeight="1" x14ac:dyDescent="0.2">
      <c r="A29" s="55"/>
      <c r="B29" s="142"/>
      <c r="C29" s="143"/>
      <c r="D29" s="144"/>
      <c r="E29" s="144"/>
      <c r="F29" s="140"/>
      <c r="G29" s="145"/>
      <c r="H29" s="145"/>
    </row>
    <row r="30" spans="1:8" ht="15.75" customHeight="1" x14ac:dyDescent="0.2">
      <c r="A30" s="147"/>
      <c r="B30" s="142"/>
      <c r="C30" s="143"/>
      <c r="D30" s="144"/>
      <c r="E30" s="144"/>
      <c r="F30" s="48"/>
      <c r="G30" s="66"/>
      <c r="H30" s="145"/>
    </row>
    <row r="31" spans="1:8" ht="15.75" customHeight="1" x14ac:dyDescent="0.2">
      <c r="A31" s="147"/>
      <c r="B31" s="142"/>
      <c r="C31" s="143"/>
      <c r="D31" s="144"/>
      <c r="E31" s="144"/>
      <c r="F31" s="48"/>
      <c r="G31" s="66"/>
      <c r="H31" s="145"/>
    </row>
    <row r="32" spans="1:8" ht="15.75" customHeight="1" x14ac:dyDescent="0.2">
      <c r="A32" s="147"/>
      <c r="B32" s="142"/>
      <c r="C32" s="143"/>
      <c r="D32" s="144"/>
      <c r="E32" s="144"/>
      <c r="F32" s="48"/>
      <c r="G32" s="66"/>
      <c r="H32" s="68"/>
    </row>
    <row r="33" spans="1:8" ht="15.75" customHeight="1" x14ac:dyDescent="0.2">
      <c r="A33" s="147"/>
      <c r="B33" s="142"/>
      <c r="C33" s="143"/>
      <c r="D33" s="144"/>
      <c r="E33" s="144"/>
      <c r="F33" s="48"/>
      <c r="G33" s="66"/>
      <c r="H33" s="66"/>
    </row>
    <row r="34" spans="1:8" ht="15.75" customHeight="1" x14ac:dyDescent="0.2">
      <c r="F34" s="229" t="s">
        <v>123</v>
      </c>
      <c r="G34" s="77">
        <f>SUM(G5:G33)</f>
        <v>60</v>
      </c>
      <c r="H34" s="77">
        <f>SUM(H7:H33)</f>
        <v>60.5</v>
      </c>
    </row>
    <row r="35" spans="1:8" x14ac:dyDescent="0.2">
      <c r="F35" s="62"/>
      <c r="G35" s="63"/>
      <c r="H35" s="63"/>
    </row>
    <row r="36" spans="1:8" ht="14.25" x14ac:dyDescent="0.2">
      <c r="F36" s="1153" t="s">
        <v>8</v>
      </c>
      <c r="G36" s="1154"/>
      <c r="H36" s="84">
        <f>G34-H34</f>
        <v>-0.5</v>
      </c>
    </row>
  </sheetData>
  <sortState ref="B8:J17">
    <sortCondition ref="B8"/>
  </sortState>
  <mergeCells count="4">
    <mergeCell ref="F36:G36"/>
    <mergeCell ref="A14:C14"/>
    <mergeCell ref="J1:J3"/>
    <mergeCell ref="C1:H5"/>
  </mergeCells>
  <hyperlinks>
    <hyperlink ref="J1:J3" location="'ANA SAYFA'!A1" display="ANA SAYFA"/>
  </hyperlinks>
  <pageMargins left="0.7" right="0.12" top="0.28000000000000003" bottom="0.75" header="0.3" footer="0.3"/>
  <pageSetup paperSize="9" scale="70"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
  <sheetViews>
    <sheetView zoomScaleNormal="100" workbookViewId="0">
      <pane ySplit="6" topLeftCell="A19" activePane="bottomLeft" state="frozen"/>
      <selection pane="bottomLeft" activeCell="M20" sqref="M20"/>
    </sheetView>
  </sheetViews>
  <sheetFormatPr defaultColWidth="9.140625" defaultRowHeight="12.75" x14ac:dyDescent="0.2"/>
  <cols>
    <col min="1" max="1" width="18.140625" style="82" bestFit="1" customWidth="1"/>
    <col min="2" max="2" width="27.42578125" style="82" bestFit="1" customWidth="1"/>
    <col min="3" max="3" width="28.7109375" style="82" bestFit="1" customWidth="1"/>
    <col min="4" max="5" width="9.28515625" style="82" bestFit="1" customWidth="1"/>
    <col min="6" max="6" width="18.85546875" style="82" bestFit="1" customWidth="1"/>
    <col min="7" max="8" width="13.85546875" style="82" customWidth="1"/>
    <col min="9" max="9" width="3.85546875" style="82" customWidth="1"/>
    <col min="10" max="10" width="10.85546875" style="82" customWidth="1"/>
    <col min="11" max="16384" width="9.140625" style="82"/>
  </cols>
  <sheetData>
    <row r="1" spans="1:11" x14ac:dyDescent="0.2">
      <c r="A1" s="29" t="s">
        <v>135</v>
      </c>
      <c r="B1" s="188" t="str">
        <f>'ANA SAYFA'!B39</f>
        <v>NİHAT ÖZGEL</v>
      </c>
      <c r="C1" s="1166" t="s">
        <v>136</v>
      </c>
      <c r="D1" s="1166"/>
      <c r="E1" s="1166"/>
      <c r="F1" s="1166"/>
      <c r="G1" s="1166"/>
      <c r="H1" s="1166"/>
      <c r="I1" s="28"/>
      <c r="J1" s="1183" t="s">
        <v>712</v>
      </c>
      <c r="K1" s="30"/>
    </row>
    <row r="2" spans="1:11" x14ac:dyDescent="0.2">
      <c r="A2" s="29" t="s">
        <v>137</v>
      </c>
      <c r="B2" s="154">
        <f>'ANA SAYFA'!D39</f>
        <v>49831847958</v>
      </c>
      <c r="C2" s="1166"/>
      <c r="D2" s="1166"/>
      <c r="E2" s="1166"/>
      <c r="F2" s="1166"/>
      <c r="G2" s="1166"/>
      <c r="H2" s="1166"/>
      <c r="I2" s="28"/>
      <c r="J2" s="1184"/>
      <c r="K2" s="30"/>
    </row>
    <row r="3" spans="1:11" ht="13.5" thickBot="1" x14ac:dyDescent="0.25">
      <c r="A3" s="29" t="s">
        <v>131</v>
      </c>
      <c r="B3" s="153" t="str">
        <f>'ANA SAYFA'!C39</f>
        <v>KAMYON ŞOFÖRÜ</v>
      </c>
      <c r="C3" s="1166"/>
      <c r="D3" s="1166"/>
      <c r="E3" s="1166"/>
      <c r="F3" s="1166"/>
      <c r="G3" s="1166"/>
      <c r="H3" s="1166"/>
      <c r="I3" s="28"/>
      <c r="J3" s="1185"/>
      <c r="K3" s="30"/>
    </row>
    <row r="4" spans="1:11" x14ac:dyDescent="0.2">
      <c r="A4" s="29" t="s">
        <v>120</v>
      </c>
      <c r="B4" s="83">
        <f>'ANA SAYFA'!E39</f>
        <v>43984</v>
      </c>
      <c r="C4" s="1166"/>
      <c r="D4" s="1166"/>
      <c r="E4" s="1166"/>
      <c r="F4" s="1166"/>
      <c r="G4" s="1166"/>
      <c r="H4" s="1166"/>
      <c r="I4" s="28"/>
      <c r="J4" s="30"/>
      <c r="K4" s="30"/>
    </row>
    <row r="5" spans="1:11" x14ac:dyDescent="0.2">
      <c r="A5" s="29" t="s">
        <v>130</v>
      </c>
      <c r="B5" s="83">
        <f>'ANA SAYFA'!F39</f>
        <v>23377</v>
      </c>
      <c r="C5" s="1166"/>
      <c r="D5" s="1166"/>
      <c r="E5" s="1166"/>
      <c r="F5" s="1166"/>
      <c r="G5" s="1166"/>
      <c r="H5" s="1166"/>
      <c r="I5" s="28"/>
      <c r="J5" s="699"/>
      <c r="K5" s="699"/>
    </row>
    <row r="6" spans="1:11" ht="31.5" x14ac:dyDescent="0.2">
      <c r="A6" s="69" t="s">
        <v>0</v>
      </c>
      <c r="B6" s="70" t="s">
        <v>1</v>
      </c>
      <c r="C6" s="69" t="s">
        <v>2</v>
      </c>
      <c r="D6" s="71" t="s">
        <v>133</v>
      </c>
      <c r="E6" s="71" t="s">
        <v>4</v>
      </c>
      <c r="F6" s="71" t="s">
        <v>7</v>
      </c>
      <c r="G6" s="71" t="s">
        <v>6</v>
      </c>
      <c r="H6" s="71" t="s">
        <v>16</v>
      </c>
      <c r="I6" s="34"/>
      <c r="J6" s="699"/>
      <c r="K6" s="699"/>
    </row>
    <row r="7" spans="1:11" s="243" customFormat="1" ht="15" customHeight="1" x14ac:dyDescent="0.2">
      <c r="A7" s="139"/>
      <c r="B7" s="155">
        <v>44179</v>
      </c>
      <c r="C7" s="158">
        <v>44180</v>
      </c>
      <c r="D7" s="168">
        <v>0.33333333333333331</v>
      </c>
      <c r="E7" s="168">
        <v>0.33333333333333331</v>
      </c>
      <c r="F7" s="261" t="s">
        <v>118</v>
      </c>
      <c r="G7" s="191">
        <v>20</v>
      </c>
      <c r="H7" s="264">
        <v>1</v>
      </c>
      <c r="I7" s="49"/>
      <c r="J7" s="30"/>
      <c r="K7" s="30"/>
    </row>
    <row r="8" spans="1:11" s="243" customFormat="1" ht="15" customHeight="1" x14ac:dyDescent="0.2">
      <c r="A8" s="139"/>
      <c r="B8" s="155">
        <v>44223</v>
      </c>
      <c r="C8" s="156">
        <v>44225</v>
      </c>
      <c r="D8" s="168">
        <v>0.41666666666666669</v>
      </c>
      <c r="E8" s="168">
        <v>0.33333333333333331</v>
      </c>
      <c r="F8" s="262" t="s">
        <v>119</v>
      </c>
      <c r="G8" s="191">
        <v>20</v>
      </c>
      <c r="H8" s="252">
        <v>1</v>
      </c>
      <c r="I8" s="49"/>
      <c r="J8" s="30"/>
      <c r="K8" s="30"/>
    </row>
    <row r="9" spans="1:11" s="243" customFormat="1" ht="15" customHeight="1" x14ac:dyDescent="0.2">
      <c r="A9" s="141"/>
      <c r="B9" s="155">
        <v>44462</v>
      </c>
      <c r="C9" s="156">
        <v>44463</v>
      </c>
      <c r="D9" s="168">
        <v>0.33333333333333331</v>
      </c>
      <c r="E9" s="168">
        <v>0.33333333333333331</v>
      </c>
      <c r="F9" s="262" t="s">
        <v>432</v>
      </c>
      <c r="G9" s="191">
        <v>20</v>
      </c>
      <c r="H9" s="252">
        <v>1</v>
      </c>
      <c r="I9" s="49"/>
      <c r="J9" s="30"/>
      <c r="K9" s="30"/>
    </row>
    <row r="10" spans="1:11" s="243" customFormat="1" ht="15" customHeight="1" x14ac:dyDescent="0.2">
      <c r="A10" s="141"/>
      <c r="B10" s="155">
        <v>44545</v>
      </c>
      <c r="C10" s="158">
        <v>44550</v>
      </c>
      <c r="D10" s="144">
        <v>0.33333333333333331</v>
      </c>
      <c r="E10" s="144">
        <v>0.33333333333333331</v>
      </c>
      <c r="F10" s="261" t="s">
        <v>599</v>
      </c>
      <c r="G10" s="191">
        <v>20</v>
      </c>
      <c r="H10" s="264">
        <v>4</v>
      </c>
      <c r="I10" s="49"/>
      <c r="J10" s="30"/>
      <c r="K10" s="30"/>
    </row>
    <row r="11" spans="1:11" s="243" customFormat="1" ht="15" customHeight="1" x14ac:dyDescent="0.2">
      <c r="A11" s="141"/>
      <c r="B11" s="245">
        <v>44629</v>
      </c>
      <c r="C11" s="246">
        <v>44630</v>
      </c>
      <c r="D11" s="168">
        <v>0.33333333333333331</v>
      </c>
      <c r="E11" s="168">
        <v>0.33333333333333331</v>
      </c>
      <c r="F11" s="261" t="s">
        <v>891</v>
      </c>
      <c r="G11" s="748">
        <v>20</v>
      </c>
      <c r="H11" s="252">
        <v>1</v>
      </c>
      <c r="I11" s="49"/>
      <c r="J11" s="30"/>
      <c r="K11" s="30"/>
    </row>
    <row r="12" spans="1:11" s="243" customFormat="1" ht="15" customHeight="1" x14ac:dyDescent="0.2">
      <c r="A12" s="141"/>
      <c r="B12" s="142">
        <v>44737</v>
      </c>
      <c r="C12" s="143">
        <v>44738</v>
      </c>
      <c r="D12" s="168">
        <v>0.33333333333333331</v>
      </c>
      <c r="E12" s="168">
        <v>0.33333333333333331</v>
      </c>
      <c r="F12" s="253"/>
      <c r="G12" s="191"/>
      <c r="H12" s="242">
        <v>1</v>
      </c>
    </row>
    <row r="13" spans="1:11" s="243" customFormat="1" ht="15" customHeight="1" x14ac:dyDescent="0.2">
      <c r="A13" s="141"/>
      <c r="B13" s="142">
        <v>44741</v>
      </c>
      <c r="C13" s="143">
        <v>44741</v>
      </c>
      <c r="D13" s="144">
        <v>0.33333333333333331</v>
      </c>
      <c r="E13" s="144">
        <v>0.75</v>
      </c>
      <c r="F13" s="253"/>
      <c r="G13" s="191"/>
      <c r="H13" s="242">
        <v>1</v>
      </c>
    </row>
    <row r="14" spans="1:11" s="243" customFormat="1" ht="15" customHeight="1" x14ac:dyDescent="0.2">
      <c r="A14" s="1247" t="s">
        <v>381</v>
      </c>
      <c r="B14" s="1248"/>
      <c r="C14" s="1249"/>
      <c r="D14" s="144"/>
      <c r="E14" s="144"/>
      <c r="F14" s="253"/>
      <c r="G14" s="145"/>
      <c r="H14" s="145">
        <v>30</v>
      </c>
    </row>
    <row r="15" spans="1:11" ht="15" customHeight="1" x14ac:dyDescent="0.2">
      <c r="A15" s="141"/>
      <c r="B15" s="142">
        <v>45121</v>
      </c>
      <c r="C15" s="143">
        <v>45122</v>
      </c>
      <c r="D15" s="144">
        <v>0.33333333333333331</v>
      </c>
      <c r="E15" s="168">
        <v>0.33333333333333331</v>
      </c>
      <c r="F15" s="253"/>
      <c r="G15" s="145"/>
      <c r="H15" s="145">
        <v>1</v>
      </c>
    </row>
    <row r="16" spans="1:11" ht="15" customHeight="1" x14ac:dyDescent="0.2">
      <c r="A16" s="141"/>
      <c r="B16" s="142">
        <v>45131</v>
      </c>
      <c r="C16" s="143">
        <v>45132</v>
      </c>
      <c r="D16" s="144">
        <v>0.33333333333333331</v>
      </c>
      <c r="E16" s="144">
        <v>0.33333333333333331</v>
      </c>
      <c r="F16" s="253"/>
      <c r="G16" s="145"/>
      <c r="H16" s="145">
        <v>1</v>
      </c>
    </row>
    <row r="17" spans="1:8" ht="15" customHeight="1" x14ac:dyDescent="0.2">
      <c r="A17" s="141"/>
      <c r="B17" s="142">
        <v>45189</v>
      </c>
      <c r="C17" s="143">
        <v>45190</v>
      </c>
      <c r="D17" s="144">
        <v>0.33333333333333331</v>
      </c>
      <c r="E17" s="144">
        <v>0.33333333333333331</v>
      </c>
      <c r="F17" s="253"/>
      <c r="G17" s="145"/>
      <c r="H17" s="145">
        <v>1</v>
      </c>
    </row>
    <row r="18" spans="1:8" s="243" customFormat="1" ht="15" customHeight="1" x14ac:dyDescent="0.2">
      <c r="A18" s="1247" t="s">
        <v>479</v>
      </c>
      <c r="B18" s="1248"/>
      <c r="C18" s="1249"/>
      <c r="D18" s="144"/>
      <c r="E18" s="144"/>
      <c r="F18" s="253"/>
      <c r="G18" s="145"/>
      <c r="H18" s="145">
        <v>10</v>
      </c>
    </row>
    <row r="19" spans="1:8" ht="15" customHeight="1" x14ac:dyDescent="0.2">
      <c r="A19" s="141"/>
      <c r="B19" s="142">
        <v>45216</v>
      </c>
      <c r="C19" s="143">
        <v>45217</v>
      </c>
      <c r="D19" s="144">
        <v>0.33333333333333331</v>
      </c>
      <c r="E19" s="144">
        <v>0.33333333333333331</v>
      </c>
      <c r="F19" s="263"/>
      <c r="G19" s="145"/>
      <c r="H19" s="145">
        <v>1</v>
      </c>
    </row>
    <row r="20" spans="1:8" ht="15" customHeight="1" x14ac:dyDescent="0.2">
      <c r="A20" s="141"/>
      <c r="B20" s="142">
        <v>45237</v>
      </c>
      <c r="C20" s="143">
        <v>45238</v>
      </c>
      <c r="D20" s="144">
        <v>0.33333333333333331</v>
      </c>
      <c r="E20" s="144">
        <v>0.33333333333333331</v>
      </c>
      <c r="F20" s="263"/>
      <c r="G20" s="145"/>
      <c r="H20" s="145">
        <v>1</v>
      </c>
    </row>
    <row r="21" spans="1:8" ht="15" customHeight="1" x14ac:dyDescent="0.2">
      <c r="A21" s="141"/>
      <c r="B21" s="142">
        <v>45362</v>
      </c>
      <c r="C21" s="143">
        <v>45363</v>
      </c>
      <c r="D21" s="144">
        <v>0.33333333333333331</v>
      </c>
      <c r="E21" s="144">
        <v>0.33333333333333331</v>
      </c>
      <c r="F21" s="263"/>
      <c r="G21" s="145"/>
      <c r="H21" s="145">
        <v>1</v>
      </c>
    </row>
    <row r="22" spans="1:8" ht="15" customHeight="1" x14ac:dyDescent="0.2">
      <c r="A22" s="141"/>
      <c r="B22" s="142">
        <v>45463</v>
      </c>
      <c r="C22" s="143">
        <v>45463</v>
      </c>
      <c r="D22" s="722">
        <v>0.33333333333333331</v>
      </c>
      <c r="E22" s="722">
        <v>0.33333333333333331</v>
      </c>
      <c r="F22" s="263"/>
      <c r="G22" s="145"/>
      <c r="H22" s="145">
        <v>1</v>
      </c>
    </row>
    <row r="23" spans="1:8" ht="15" customHeight="1" x14ac:dyDescent="0.2">
      <c r="A23" s="141"/>
      <c r="B23" s="142">
        <v>45477</v>
      </c>
      <c r="C23" s="143">
        <v>45477</v>
      </c>
      <c r="D23" s="722">
        <v>0.33333333333333331</v>
      </c>
      <c r="E23" s="722">
        <v>0.33333333333333331</v>
      </c>
      <c r="F23" s="263"/>
      <c r="G23" s="145"/>
      <c r="H23" s="242">
        <v>1</v>
      </c>
    </row>
    <row r="24" spans="1:8" ht="15" customHeight="1" x14ac:dyDescent="0.2">
      <c r="A24" s="1250" t="s">
        <v>597</v>
      </c>
      <c r="B24" s="1251"/>
      <c r="C24" s="1252"/>
      <c r="D24" s="722">
        <v>0.33333333333333331</v>
      </c>
      <c r="E24" s="722">
        <v>0.33333333333333331</v>
      </c>
      <c r="F24" s="263"/>
      <c r="G24" s="145"/>
      <c r="H24" s="242"/>
    </row>
    <row r="25" spans="1:8" ht="15" customHeight="1" x14ac:dyDescent="0.2">
      <c r="A25" s="141"/>
      <c r="B25" s="142">
        <v>45507</v>
      </c>
      <c r="C25" s="143">
        <v>45507</v>
      </c>
      <c r="D25" s="722">
        <v>0.33333333333333331</v>
      </c>
      <c r="E25" s="722">
        <v>0.33333333333333331</v>
      </c>
      <c r="F25" s="263"/>
      <c r="G25" s="145"/>
      <c r="H25" s="242">
        <v>1</v>
      </c>
    </row>
    <row r="26" spans="1:8" ht="15" customHeight="1" x14ac:dyDescent="0.2">
      <c r="A26" s="141"/>
      <c r="B26" s="142">
        <v>45513</v>
      </c>
      <c r="C26" s="143">
        <v>45513</v>
      </c>
      <c r="D26" s="722">
        <v>0.33333333333333331</v>
      </c>
      <c r="E26" s="722">
        <v>0.33333333333333331</v>
      </c>
      <c r="F26" s="263"/>
      <c r="G26" s="145"/>
      <c r="H26" s="242">
        <v>1</v>
      </c>
    </row>
    <row r="27" spans="1:8" ht="15" customHeight="1" x14ac:dyDescent="0.2">
      <c r="A27" s="146"/>
      <c r="B27" s="142">
        <v>45531</v>
      </c>
      <c r="C27" s="142">
        <v>45531</v>
      </c>
      <c r="D27" s="722">
        <v>0.33333333333333331</v>
      </c>
      <c r="E27" s="722">
        <v>0.33333333333333331</v>
      </c>
      <c r="F27" s="263"/>
      <c r="G27" s="145"/>
      <c r="H27" s="242">
        <v>1</v>
      </c>
    </row>
    <row r="28" spans="1:8" s="699" customFormat="1" ht="15" customHeight="1" x14ac:dyDescent="0.2">
      <c r="A28" s="724"/>
      <c r="B28" s="720">
        <v>45757</v>
      </c>
      <c r="C28" s="720">
        <v>45757</v>
      </c>
      <c r="D28" s="722">
        <v>0.33333333333333331</v>
      </c>
      <c r="E28" s="722">
        <v>0.33333333333333331</v>
      </c>
      <c r="F28" s="263"/>
      <c r="G28" s="723"/>
      <c r="H28" s="758">
        <v>1</v>
      </c>
    </row>
    <row r="29" spans="1:8" s="699" customFormat="1" ht="15" customHeight="1" x14ac:dyDescent="0.2">
      <c r="A29" s="724"/>
      <c r="B29" s="720">
        <v>45771</v>
      </c>
      <c r="C29" s="720">
        <v>45771</v>
      </c>
      <c r="D29" s="722">
        <v>0.33333333333333331</v>
      </c>
      <c r="E29" s="722">
        <v>0.33333333333333331</v>
      </c>
      <c r="F29" s="263"/>
      <c r="G29" s="723"/>
      <c r="H29" s="758">
        <v>1</v>
      </c>
    </row>
    <row r="30" spans="1:8" s="699" customFormat="1" ht="15" customHeight="1" x14ac:dyDescent="0.2">
      <c r="A30" s="724"/>
      <c r="B30" s="720">
        <v>45818</v>
      </c>
      <c r="C30" s="720">
        <v>45819</v>
      </c>
      <c r="D30" s="722">
        <v>0.33333333333333331</v>
      </c>
      <c r="E30" s="722">
        <v>0.33333333333333331</v>
      </c>
      <c r="F30" s="263"/>
      <c r="G30" s="723"/>
      <c r="H30" s="758">
        <v>2</v>
      </c>
    </row>
    <row r="31" spans="1:8" s="699" customFormat="1" ht="15" customHeight="1" x14ac:dyDescent="0.2">
      <c r="A31" s="724"/>
      <c r="B31" s="720">
        <v>45847</v>
      </c>
      <c r="C31" s="720">
        <v>45847</v>
      </c>
      <c r="D31" s="722">
        <v>0.33333333333333331</v>
      </c>
      <c r="E31" s="722">
        <v>0.33333333333333331</v>
      </c>
      <c r="F31" s="263"/>
      <c r="G31" s="723"/>
      <c r="H31" s="758">
        <v>1</v>
      </c>
    </row>
    <row r="32" spans="1:8" s="699" customFormat="1" ht="15" customHeight="1" x14ac:dyDescent="0.2">
      <c r="A32" s="724"/>
      <c r="B32" s="720">
        <v>45875</v>
      </c>
      <c r="C32" s="720">
        <v>45875</v>
      </c>
      <c r="D32" s="722">
        <v>0.33333333333333331</v>
      </c>
      <c r="E32" s="722">
        <v>0.33333333333333331</v>
      </c>
      <c r="F32" s="263"/>
      <c r="G32" s="723"/>
      <c r="H32" s="758">
        <v>1</v>
      </c>
    </row>
    <row r="33" spans="1:8" s="699" customFormat="1" ht="15" customHeight="1" x14ac:dyDescent="0.2">
      <c r="A33" s="724"/>
      <c r="B33" s="720">
        <v>45888</v>
      </c>
      <c r="C33" s="720">
        <v>45888</v>
      </c>
      <c r="D33" s="722">
        <v>0.33333333333333331</v>
      </c>
      <c r="E33" s="722">
        <v>0.33333333333333331</v>
      </c>
      <c r="F33" s="263"/>
      <c r="G33" s="723"/>
      <c r="H33" s="758">
        <v>1</v>
      </c>
    </row>
    <row r="34" spans="1:8" s="699" customFormat="1" ht="15" customHeight="1" x14ac:dyDescent="0.2">
      <c r="A34" s="724"/>
      <c r="B34" s="720">
        <v>45938</v>
      </c>
      <c r="C34" s="720">
        <v>45938</v>
      </c>
      <c r="D34" s="722">
        <v>0.33333333333333331</v>
      </c>
      <c r="E34" s="722">
        <v>0.33333333333333331</v>
      </c>
      <c r="F34" s="263"/>
      <c r="G34" s="723"/>
      <c r="H34" s="758">
        <v>1</v>
      </c>
    </row>
    <row r="35" spans="1:8" s="699" customFormat="1" ht="15" customHeight="1" x14ac:dyDescent="0.2">
      <c r="A35" s="724"/>
      <c r="B35" s="720">
        <v>45960</v>
      </c>
      <c r="C35" s="720">
        <v>45961</v>
      </c>
      <c r="D35" s="722">
        <v>0.33333333333333331</v>
      </c>
      <c r="E35" s="722">
        <v>0.33333333333333331</v>
      </c>
      <c r="F35" s="263"/>
      <c r="G35" s="723"/>
      <c r="H35" s="758">
        <v>1</v>
      </c>
    </row>
    <row r="36" spans="1:8" s="699" customFormat="1" ht="15" customHeight="1" x14ac:dyDescent="0.2">
      <c r="A36" s="724"/>
      <c r="B36" s="720">
        <v>45994</v>
      </c>
      <c r="C36" s="720">
        <v>45995</v>
      </c>
      <c r="D36" s="722">
        <v>0.33333333333333331</v>
      </c>
      <c r="E36" s="722">
        <v>0.33333333333333331</v>
      </c>
      <c r="F36" s="263"/>
      <c r="G36" s="723"/>
      <c r="H36" s="758">
        <v>1</v>
      </c>
    </row>
    <row r="37" spans="1:8" s="699" customFormat="1" ht="15" customHeight="1" x14ac:dyDescent="0.2">
      <c r="A37" s="724"/>
      <c r="B37" s="720">
        <v>46045</v>
      </c>
      <c r="C37" s="720">
        <v>46046</v>
      </c>
      <c r="D37" s="722"/>
      <c r="E37" s="722"/>
      <c r="F37" s="263"/>
      <c r="G37" s="723"/>
      <c r="H37" s="758">
        <v>1</v>
      </c>
    </row>
    <row r="38" spans="1:8" s="699" customFormat="1" ht="15" customHeight="1" x14ac:dyDescent="0.2">
      <c r="A38" s="724"/>
      <c r="B38" s="720">
        <v>46086</v>
      </c>
      <c r="C38" s="720">
        <v>46087</v>
      </c>
      <c r="D38" s="722"/>
      <c r="E38" s="722"/>
      <c r="F38" s="263"/>
      <c r="G38" s="723"/>
      <c r="H38" s="758">
        <v>1</v>
      </c>
    </row>
    <row r="39" spans="1:8" s="699" customFormat="1" ht="15" customHeight="1" x14ac:dyDescent="0.2">
      <c r="A39" s="724"/>
      <c r="B39" s="720"/>
      <c r="C39" s="720"/>
      <c r="D39" s="722"/>
      <c r="E39" s="722"/>
      <c r="F39" s="263"/>
      <c r="G39" s="723"/>
      <c r="H39" s="758"/>
    </row>
    <row r="40" spans="1:8" s="699" customFormat="1" ht="15" customHeight="1" x14ac:dyDescent="0.2">
      <c r="A40" s="724"/>
      <c r="B40" s="720"/>
      <c r="C40" s="720"/>
      <c r="D40" s="722"/>
      <c r="E40" s="722"/>
      <c r="F40" s="263"/>
      <c r="G40" s="723"/>
      <c r="H40" s="758"/>
    </row>
    <row r="41" spans="1:8" s="699" customFormat="1" ht="15" customHeight="1" x14ac:dyDescent="0.2">
      <c r="A41" s="724"/>
      <c r="B41" s="720"/>
      <c r="C41" s="720"/>
      <c r="D41" s="722"/>
      <c r="E41" s="722"/>
      <c r="F41" s="263"/>
      <c r="G41" s="723"/>
      <c r="H41" s="758"/>
    </row>
    <row r="42" spans="1:8" ht="15" customHeight="1" x14ac:dyDescent="0.2">
      <c r="A42" s="55"/>
      <c r="B42" s="142"/>
      <c r="C42" s="143"/>
      <c r="D42" s="144"/>
      <c r="E42" s="144"/>
      <c r="F42" s="263"/>
      <c r="G42" s="145"/>
      <c r="H42" s="145"/>
    </row>
    <row r="43" spans="1:8" x14ac:dyDescent="0.2">
      <c r="F43" s="229" t="s">
        <v>123</v>
      </c>
      <c r="G43" s="77">
        <f>SUM(G7:G42)</f>
        <v>100</v>
      </c>
      <c r="H43" s="77">
        <f>SUM(H7:H42)</f>
        <v>73</v>
      </c>
    </row>
    <row r="44" spans="1:8" x14ac:dyDescent="0.2">
      <c r="F44" s="62"/>
      <c r="G44" s="63"/>
      <c r="H44" s="63"/>
    </row>
    <row r="45" spans="1:8" ht="14.25" x14ac:dyDescent="0.2">
      <c r="F45" s="1153" t="s">
        <v>8</v>
      </c>
      <c r="G45" s="1154"/>
      <c r="H45" s="84">
        <f>G43-H43</f>
        <v>27</v>
      </c>
    </row>
  </sheetData>
  <mergeCells count="6">
    <mergeCell ref="F45:G45"/>
    <mergeCell ref="J1:J3"/>
    <mergeCell ref="C1:H5"/>
    <mergeCell ref="A14:C14"/>
    <mergeCell ref="A18:C18"/>
    <mergeCell ref="A24:C24"/>
  </mergeCells>
  <hyperlinks>
    <hyperlink ref="J1:J3" location="'ANA SAYFA'!A1" display="ANA SAYFA"/>
  </hyperlinks>
  <pageMargins left="0.7" right="0.12" top="0.28999999999999998" bottom="0.75" header="0.3" footer="0.3"/>
  <pageSetup paperSize="9" scale="68" orientation="portrait" r:id="rId1"/>
  <colBreaks count="1" manualBreakCount="1">
    <brk id="8" max="1048575" man="1"/>
  </col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3"/>
  <sheetViews>
    <sheetView zoomScaleNormal="100" workbookViewId="0">
      <pane ySplit="6" topLeftCell="A37" activePane="bottomLeft" state="frozen"/>
      <selection pane="bottomLeft" activeCell="J1" sqref="J1:J3"/>
    </sheetView>
  </sheetViews>
  <sheetFormatPr defaultColWidth="9.140625" defaultRowHeight="12.75" x14ac:dyDescent="0.2"/>
  <cols>
    <col min="1" max="1" width="18.140625" style="82" bestFit="1" customWidth="1"/>
    <col min="2" max="3" width="27.42578125" style="82" bestFit="1" customWidth="1"/>
    <col min="4" max="4" width="6.7109375" style="82" bestFit="1" customWidth="1"/>
    <col min="5" max="5" width="8.85546875" style="82" bestFit="1" customWidth="1"/>
    <col min="6" max="6" width="20.7109375" style="82" bestFit="1" customWidth="1"/>
    <col min="7" max="7" width="14" style="82" customWidth="1"/>
    <col min="8" max="8" width="12.5703125" style="82" bestFit="1" customWidth="1"/>
    <col min="9" max="9" width="3.28515625" style="82" customWidth="1"/>
    <col min="10" max="10" width="10.140625" style="82" bestFit="1" customWidth="1"/>
    <col min="11" max="16384" width="9.140625" style="82"/>
  </cols>
  <sheetData>
    <row r="1" spans="1:11" ht="15" customHeight="1" x14ac:dyDescent="0.2">
      <c r="A1" s="29" t="s">
        <v>135</v>
      </c>
      <c r="B1" s="188" t="str">
        <f>'ANA SAYFA'!B40</f>
        <v>NURETTİN AYDIN</v>
      </c>
      <c r="C1" s="1166" t="s">
        <v>136</v>
      </c>
      <c r="D1" s="1166"/>
      <c r="E1" s="1166"/>
      <c r="F1" s="1166"/>
      <c r="G1" s="1166"/>
      <c r="H1" s="1166"/>
      <c r="I1" s="28"/>
      <c r="J1" s="1183" t="s">
        <v>712</v>
      </c>
      <c r="K1" s="30"/>
    </row>
    <row r="2" spans="1:11" ht="15" customHeight="1" x14ac:dyDescent="0.2">
      <c r="A2" s="29" t="s">
        <v>137</v>
      </c>
      <c r="B2" s="154">
        <f>'ANA SAYFA'!D40</f>
        <v>25240844054</v>
      </c>
      <c r="C2" s="1166"/>
      <c r="D2" s="1166"/>
      <c r="E2" s="1166"/>
      <c r="F2" s="1166"/>
      <c r="G2" s="1166"/>
      <c r="H2" s="1166"/>
      <c r="I2" s="28"/>
      <c r="J2" s="1184"/>
      <c r="K2" s="30"/>
    </row>
    <row r="3" spans="1:11" ht="15" customHeight="1" thickBot="1" x14ac:dyDescent="0.25">
      <c r="A3" s="29" t="s">
        <v>131</v>
      </c>
      <c r="B3" s="153" t="str">
        <f>'ANA SAYFA'!C40</f>
        <v>DOZER OPERATÖR</v>
      </c>
      <c r="C3" s="1166"/>
      <c r="D3" s="1166"/>
      <c r="E3" s="1166"/>
      <c r="F3" s="1166"/>
      <c r="G3" s="1166"/>
      <c r="H3" s="1166"/>
      <c r="I3" s="28"/>
      <c r="J3" s="1185"/>
      <c r="K3" s="30"/>
    </row>
    <row r="4" spans="1:11" ht="15" customHeight="1" x14ac:dyDescent="0.2">
      <c r="A4" s="29" t="s">
        <v>120</v>
      </c>
      <c r="B4" s="83">
        <f>'ANA SAYFA'!E40</f>
        <v>43029</v>
      </c>
      <c r="C4" s="1166"/>
      <c r="D4" s="1166"/>
      <c r="E4" s="1166"/>
      <c r="F4" s="1166"/>
      <c r="G4" s="1166"/>
      <c r="H4" s="1166"/>
      <c r="I4" s="28"/>
      <c r="J4" s="30"/>
      <c r="K4" s="30"/>
    </row>
    <row r="5" spans="1:11" ht="15" customHeight="1" x14ac:dyDescent="0.2">
      <c r="A5" s="29" t="s">
        <v>130</v>
      </c>
      <c r="B5" s="83">
        <f>'ANA SAYFA'!F40</f>
        <v>22051</v>
      </c>
      <c r="C5" s="1166"/>
      <c r="D5" s="1166"/>
      <c r="E5" s="1166"/>
      <c r="F5" s="1166"/>
      <c r="G5" s="1166"/>
      <c r="H5" s="1166"/>
      <c r="I5" s="28"/>
      <c r="J5" s="699"/>
      <c r="K5" s="699"/>
    </row>
    <row r="6" spans="1:11" ht="31.5" x14ac:dyDescent="0.2">
      <c r="A6" s="69" t="s">
        <v>0</v>
      </c>
      <c r="B6" s="70" t="s">
        <v>1</v>
      </c>
      <c r="C6" s="69" t="s">
        <v>2</v>
      </c>
      <c r="D6" s="71" t="s">
        <v>133</v>
      </c>
      <c r="E6" s="71" t="s">
        <v>4</v>
      </c>
      <c r="F6" s="71" t="s">
        <v>7</v>
      </c>
      <c r="G6" s="71" t="s">
        <v>6</v>
      </c>
      <c r="H6" s="71" t="s">
        <v>16</v>
      </c>
      <c r="I6" s="34"/>
      <c r="J6" s="699"/>
      <c r="K6" s="699"/>
    </row>
    <row r="7" spans="1:11" x14ac:dyDescent="0.2">
      <c r="A7" s="139"/>
      <c r="B7" s="155">
        <v>43068</v>
      </c>
      <c r="C7" s="156">
        <v>43069</v>
      </c>
      <c r="D7" s="168">
        <v>0.33333333333333331</v>
      </c>
      <c r="E7" s="168">
        <v>0.33333333333333331</v>
      </c>
      <c r="F7" s="704" t="s">
        <v>47</v>
      </c>
      <c r="G7" s="191">
        <v>20</v>
      </c>
      <c r="H7" s="239">
        <v>0.5</v>
      </c>
      <c r="I7" s="49"/>
      <c r="J7" s="30"/>
      <c r="K7" s="30"/>
    </row>
    <row r="8" spans="1:11" ht="13.15" customHeight="1" x14ac:dyDescent="0.2">
      <c r="A8" s="139"/>
      <c r="B8" s="155">
        <v>43192</v>
      </c>
      <c r="C8" s="156">
        <v>43193</v>
      </c>
      <c r="D8" s="168">
        <v>0.33333333333333331</v>
      </c>
      <c r="E8" s="168">
        <v>0.33333333333333331</v>
      </c>
      <c r="F8" s="677" t="s">
        <v>61</v>
      </c>
      <c r="G8" s="191">
        <v>20</v>
      </c>
      <c r="H8" s="191">
        <v>1</v>
      </c>
      <c r="I8" s="49"/>
      <c r="J8" s="30"/>
      <c r="K8" s="30"/>
    </row>
    <row r="9" spans="1:11" x14ac:dyDescent="0.2">
      <c r="A9" s="141"/>
      <c r="B9" s="155">
        <v>43299</v>
      </c>
      <c r="C9" s="158">
        <v>43300</v>
      </c>
      <c r="D9" s="168">
        <v>0.33333333333333331</v>
      </c>
      <c r="E9" s="168">
        <v>0.33333333333333331</v>
      </c>
      <c r="F9" s="677" t="s">
        <v>78</v>
      </c>
      <c r="G9" s="191">
        <v>20</v>
      </c>
      <c r="H9" s="191">
        <v>1</v>
      </c>
      <c r="I9" s="49"/>
      <c r="J9" s="30"/>
      <c r="K9" s="30"/>
    </row>
    <row r="10" spans="1:11" ht="13.15" customHeight="1" x14ac:dyDescent="0.2">
      <c r="A10" s="141"/>
      <c r="B10" s="155">
        <v>43315</v>
      </c>
      <c r="C10" s="158">
        <v>43316</v>
      </c>
      <c r="D10" s="168">
        <v>0.54166666666666663</v>
      </c>
      <c r="E10" s="168">
        <v>0.33333333333333331</v>
      </c>
      <c r="F10" s="677" t="s">
        <v>86</v>
      </c>
      <c r="G10" s="145">
        <v>20</v>
      </c>
      <c r="H10" s="239">
        <v>0.5</v>
      </c>
      <c r="I10" s="49"/>
      <c r="J10" s="30"/>
      <c r="K10" s="30"/>
    </row>
    <row r="11" spans="1:11" x14ac:dyDescent="0.2">
      <c r="A11" s="141"/>
      <c r="B11" s="245">
        <v>43353</v>
      </c>
      <c r="C11" s="246">
        <v>43354</v>
      </c>
      <c r="D11" s="247">
        <v>0.33333333333333331</v>
      </c>
      <c r="E11" s="168">
        <v>0.33333333333333331</v>
      </c>
      <c r="F11" s="677" t="s">
        <v>393</v>
      </c>
      <c r="G11" s="145">
        <v>20</v>
      </c>
      <c r="H11" s="145">
        <v>1</v>
      </c>
      <c r="I11" s="49"/>
      <c r="J11" s="30"/>
      <c r="K11" s="30"/>
    </row>
    <row r="12" spans="1:11" x14ac:dyDescent="0.2">
      <c r="A12" s="141"/>
      <c r="B12" s="245">
        <v>43357</v>
      </c>
      <c r="C12" s="246">
        <v>43360</v>
      </c>
      <c r="D12" s="247">
        <v>0.33333333333333331</v>
      </c>
      <c r="E12" s="168">
        <v>0.33333333333333331</v>
      </c>
      <c r="F12" s="677" t="s">
        <v>468</v>
      </c>
      <c r="G12" s="145">
        <v>20</v>
      </c>
      <c r="H12" s="191">
        <v>2</v>
      </c>
    </row>
    <row r="13" spans="1:11" x14ac:dyDescent="0.2">
      <c r="A13" s="141"/>
      <c r="B13" s="142">
        <v>43612</v>
      </c>
      <c r="C13" s="143">
        <v>43613</v>
      </c>
      <c r="D13" s="247">
        <v>0.33333333333333331</v>
      </c>
      <c r="E13" s="168">
        <v>0.33333333333333331</v>
      </c>
      <c r="F13" s="677" t="s">
        <v>657</v>
      </c>
      <c r="G13" s="145">
        <v>20</v>
      </c>
      <c r="H13" s="145">
        <v>1</v>
      </c>
    </row>
    <row r="14" spans="1:11" x14ac:dyDescent="0.2">
      <c r="A14" s="141"/>
      <c r="B14" s="142">
        <v>43629</v>
      </c>
      <c r="C14" s="143">
        <v>43630</v>
      </c>
      <c r="D14" s="247">
        <v>0.33333333333333331</v>
      </c>
      <c r="E14" s="168">
        <v>0.33333333333333331</v>
      </c>
      <c r="F14" s="691" t="s">
        <v>974</v>
      </c>
      <c r="G14" s="145">
        <v>20</v>
      </c>
      <c r="H14" s="145">
        <v>1</v>
      </c>
    </row>
    <row r="15" spans="1:11" x14ac:dyDescent="0.2">
      <c r="A15" s="141"/>
      <c r="B15" s="142">
        <v>43727</v>
      </c>
      <c r="C15" s="143">
        <v>43728</v>
      </c>
      <c r="D15" s="247">
        <v>0.33333333333333331</v>
      </c>
      <c r="E15" s="168">
        <v>0.33333333333333331</v>
      </c>
      <c r="F15" s="691"/>
      <c r="G15" s="145"/>
      <c r="H15" s="145">
        <v>1</v>
      </c>
    </row>
    <row r="16" spans="1:11" x14ac:dyDescent="0.2">
      <c r="A16" s="141"/>
      <c r="B16" s="142">
        <v>43753</v>
      </c>
      <c r="C16" s="143">
        <v>43754</v>
      </c>
      <c r="D16" s="247">
        <v>0.33333333333333331</v>
      </c>
      <c r="E16" s="168">
        <v>0.33333333333333331</v>
      </c>
      <c r="F16" s="691"/>
      <c r="G16" s="145"/>
      <c r="H16" s="145">
        <v>1</v>
      </c>
    </row>
    <row r="17" spans="1:8" x14ac:dyDescent="0.2">
      <c r="A17" s="141"/>
      <c r="B17" s="142">
        <v>43853</v>
      </c>
      <c r="C17" s="143">
        <v>43854</v>
      </c>
      <c r="D17" s="247">
        <v>0.33333333333333331</v>
      </c>
      <c r="E17" s="168">
        <v>0.33333333333333331</v>
      </c>
      <c r="F17" s="691"/>
      <c r="G17" s="145"/>
      <c r="H17" s="145">
        <v>1</v>
      </c>
    </row>
    <row r="18" spans="1:8" x14ac:dyDescent="0.2">
      <c r="A18" s="141"/>
      <c r="B18" s="142">
        <v>43864</v>
      </c>
      <c r="C18" s="143">
        <v>43871</v>
      </c>
      <c r="D18" s="247">
        <v>0.33333333333333331</v>
      </c>
      <c r="E18" s="168">
        <v>0.33333333333333331</v>
      </c>
      <c r="F18" s="691"/>
      <c r="G18" s="145"/>
      <c r="H18" s="145">
        <v>6</v>
      </c>
    </row>
    <row r="19" spans="1:8" x14ac:dyDescent="0.2">
      <c r="A19" s="141"/>
      <c r="B19" s="142">
        <v>43874</v>
      </c>
      <c r="C19" s="143">
        <v>43875</v>
      </c>
      <c r="D19" s="247">
        <v>0.33333333333333331</v>
      </c>
      <c r="E19" s="168">
        <v>0.33333333333333331</v>
      </c>
      <c r="F19" s="691"/>
      <c r="G19" s="145"/>
      <c r="H19" s="145">
        <v>1</v>
      </c>
    </row>
    <row r="20" spans="1:8" x14ac:dyDescent="0.2">
      <c r="A20" s="141"/>
      <c r="B20" s="142">
        <v>43920</v>
      </c>
      <c r="C20" s="143">
        <v>43930</v>
      </c>
      <c r="D20" s="247">
        <v>0.33333333333333331</v>
      </c>
      <c r="E20" s="168">
        <v>0.33333333333333331</v>
      </c>
      <c r="F20" s="691"/>
      <c r="G20" s="145"/>
      <c r="H20" s="145">
        <v>10</v>
      </c>
    </row>
    <row r="21" spans="1:8" x14ac:dyDescent="0.2">
      <c r="A21" s="146"/>
      <c r="B21" s="142">
        <v>43973</v>
      </c>
      <c r="C21" s="143">
        <v>43974</v>
      </c>
      <c r="D21" s="144">
        <v>0.33333333333333331</v>
      </c>
      <c r="E21" s="144">
        <v>0.33333333333333331</v>
      </c>
      <c r="F21" s="691"/>
      <c r="G21" s="145"/>
      <c r="H21" s="145">
        <v>1</v>
      </c>
    </row>
    <row r="22" spans="1:8" x14ac:dyDescent="0.2">
      <c r="A22" s="55"/>
      <c r="B22" s="142">
        <v>43990</v>
      </c>
      <c r="C22" s="143">
        <v>43991</v>
      </c>
      <c r="D22" s="144">
        <v>0.33333333333333331</v>
      </c>
      <c r="E22" s="144">
        <v>0.33333333333333331</v>
      </c>
      <c r="F22" s="691"/>
      <c r="G22" s="145"/>
      <c r="H22" s="145">
        <v>1</v>
      </c>
    </row>
    <row r="23" spans="1:8" x14ac:dyDescent="0.2">
      <c r="A23" s="55"/>
      <c r="B23" s="142">
        <v>44210</v>
      </c>
      <c r="C23" s="143">
        <v>44214</v>
      </c>
      <c r="D23" s="144">
        <v>0.33333333333333331</v>
      </c>
      <c r="E23" s="144">
        <v>0.33333333333333331</v>
      </c>
      <c r="F23" s="691"/>
      <c r="G23" s="145"/>
      <c r="H23" s="145">
        <v>3</v>
      </c>
    </row>
    <row r="24" spans="1:8" x14ac:dyDescent="0.2">
      <c r="A24" s="55"/>
      <c r="B24" s="142">
        <v>44242</v>
      </c>
      <c r="C24" s="143">
        <v>44249</v>
      </c>
      <c r="D24" s="144">
        <v>0.33333333333333331</v>
      </c>
      <c r="E24" s="144">
        <v>0.33333333333333331</v>
      </c>
      <c r="F24" s="691"/>
      <c r="G24" s="145"/>
      <c r="H24" s="145">
        <v>6</v>
      </c>
    </row>
    <row r="25" spans="1:8" x14ac:dyDescent="0.2">
      <c r="A25" s="55"/>
      <c r="B25" s="142">
        <v>44403</v>
      </c>
      <c r="C25" s="143">
        <v>44404</v>
      </c>
      <c r="D25" s="144">
        <v>0.33333333333333331</v>
      </c>
      <c r="E25" s="144">
        <v>0.33333333333333331</v>
      </c>
      <c r="F25" s="691"/>
      <c r="G25" s="145"/>
      <c r="H25" s="145">
        <v>1</v>
      </c>
    </row>
    <row r="26" spans="1:8" x14ac:dyDescent="0.2">
      <c r="A26" s="55"/>
      <c r="B26" s="142">
        <v>44405</v>
      </c>
      <c r="C26" s="143">
        <v>44406</v>
      </c>
      <c r="D26" s="144">
        <v>0.33333333333333331</v>
      </c>
      <c r="E26" s="144">
        <v>0.33333333333333331</v>
      </c>
      <c r="F26" s="691"/>
      <c r="G26" s="145"/>
      <c r="H26" s="145">
        <v>1</v>
      </c>
    </row>
    <row r="27" spans="1:8" x14ac:dyDescent="0.2">
      <c r="A27" s="55"/>
      <c r="B27" s="142">
        <v>44518</v>
      </c>
      <c r="C27" s="143">
        <v>44521</v>
      </c>
      <c r="D27" s="144">
        <v>0.33333333333333331</v>
      </c>
      <c r="E27" s="144">
        <v>0.33333333333333331</v>
      </c>
      <c r="F27" s="691"/>
      <c r="G27" s="145"/>
      <c r="H27" s="145">
        <v>3</v>
      </c>
    </row>
    <row r="28" spans="1:8" x14ac:dyDescent="0.2">
      <c r="A28" s="55"/>
      <c r="B28" s="142">
        <v>44525</v>
      </c>
      <c r="C28" s="143">
        <v>44528</v>
      </c>
      <c r="D28" s="144">
        <v>0.33333333333333331</v>
      </c>
      <c r="E28" s="144">
        <v>0.33333333333333331</v>
      </c>
      <c r="F28" s="691"/>
      <c r="G28" s="145"/>
      <c r="H28" s="145">
        <v>3</v>
      </c>
    </row>
    <row r="29" spans="1:8" x14ac:dyDescent="0.2">
      <c r="A29" s="55"/>
      <c r="B29" s="142">
        <v>44564</v>
      </c>
      <c r="C29" s="143">
        <v>44567</v>
      </c>
      <c r="D29" s="144">
        <v>0.33333333333333331</v>
      </c>
      <c r="E29" s="144">
        <v>0.33333333333333331</v>
      </c>
      <c r="F29" s="691"/>
      <c r="G29" s="145"/>
      <c r="H29" s="145">
        <v>3</v>
      </c>
    </row>
    <row r="30" spans="1:8" x14ac:dyDescent="0.2">
      <c r="A30" s="147"/>
      <c r="B30" s="142">
        <v>44621</v>
      </c>
      <c r="C30" s="143">
        <v>44622</v>
      </c>
      <c r="D30" s="144">
        <v>0.33333333333333331</v>
      </c>
      <c r="E30" s="144">
        <v>0.33333333333333331</v>
      </c>
      <c r="F30" s="691"/>
      <c r="G30" s="66"/>
      <c r="H30" s="145">
        <v>1</v>
      </c>
    </row>
    <row r="31" spans="1:8" x14ac:dyDescent="0.2">
      <c r="A31" s="147"/>
      <c r="B31" s="142">
        <v>44889</v>
      </c>
      <c r="C31" s="143">
        <v>44890</v>
      </c>
      <c r="D31" s="144">
        <v>0.33333333333333331</v>
      </c>
      <c r="E31" s="144">
        <v>0.33333333333333331</v>
      </c>
      <c r="F31" s="691"/>
      <c r="G31" s="66"/>
      <c r="H31" s="145">
        <v>1</v>
      </c>
    </row>
    <row r="32" spans="1:8" x14ac:dyDescent="0.2">
      <c r="A32" s="147"/>
      <c r="B32" s="142">
        <v>45051</v>
      </c>
      <c r="C32" s="143">
        <v>45054</v>
      </c>
      <c r="D32" s="144">
        <v>0.33333333333333331</v>
      </c>
      <c r="E32" s="144">
        <v>0.33333333333333331</v>
      </c>
      <c r="F32" s="691"/>
      <c r="G32" s="66"/>
      <c r="H32" s="145">
        <v>2</v>
      </c>
    </row>
    <row r="33" spans="1:8" x14ac:dyDescent="0.2">
      <c r="A33" s="147"/>
      <c r="B33" s="142">
        <v>45075</v>
      </c>
      <c r="C33" s="143">
        <v>45076</v>
      </c>
      <c r="D33" s="144">
        <v>0.33333333333333331</v>
      </c>
      <c r="E33" s="144">
        <v>0.33333333333333331</v>
      </c>
      <c r="F33" s="691"/>
      <c r="G33" s="66"/>
      <c r="H33" s="145">
        <v>1</v>
      </c>
    </row>
    <row r="34" spans="1:8" x14ac:dyDescent="0.2">
      <c r="A34" s="147"/>
      <c r="B34" s="142">
        <v>45101</v>
      </c>
      <c r="C34" s="143">
        <v>45113</v>
      </c>
      <c r="D34" s="144">
        <v>0.33333333333333331</v>
      </c>
      <c r="E34" s="144">
        <v>0.33333333333333331</v>
      </c>
      <c r="F34" s="691"/>
      <c r="G34" s="66"/>
      <c r="H34" s="145">
        <v>5</v>
      </c>
    </row>
    <row r="35" spans="1:8" x14ac:dyDescent="0.2">
      <c r="A35" s="490"/>
      <c r="B35" s="142">
        <v>45447</v>
      </c>
      <c r="C35" s="143">
        <v>45472</v>
      </c>
      <c r="D35" s="722">
        <v>0.33333333333333331</v>
      </c>
      <c r="E35" s="722">
        <v>0.33333333333333331</v>
      </c>
      <c r="F35" s="691"/>
      <c r="G35" s="66"/>
      <c r="H35" s="145">
        <v>19</v>
      </c>
    </row>
    <row r="36" spans="1:8" x14ac:dyDescent="0.2">
      <c r="A36" s="147"/>
      <c r="B36" s="142">
        <v>45549</v>
      </c>
      <c r="C36" s="143">
        <v>45549</v>
      </c>
      <c r="D36" s="722">
        <v>0.5</v>
      </c>
      <c r="E36" s="722">
        <v>0.33333333333333331</v>
      </c>
      <c r="F36" s="691"/>
      <c r="G36" s="66"/>
      <c r="H36" s="755">
        <v>0.5</v>
      </c>
    </row>
    <row r="37" spans="1:8" s="699" customFormat="1" x14ac:dyDescent="0.2">
      <c r="A37" s="725"/>
      <c r="B37" s="720" t="s">
        <v>769</v>
      </c>
      <c r="C37" s="720" t="s">
        <v>769</v>
      </c>
      <c r="D37" s="722">
        <v>0.33333333333333331</v>
      </c>
      <c r="E37" s="722">
        <v>0.33333333333333331</v>
      </c>
      <c r="F37" s="691"/>
      <c r="G37" s="691"/>
      <c r="H37" s="754">
        <v>1</v>
      </c>
    </row>
    <row r="38" spans="1:8" s="699" customFormat="1" x14ac:dyDescent="0.2">
      <c r="A38" s="725"/>
      <c r="B38" s="720">
        <v>45880</v>
      </c>
      <c r="C38" s="721">
        <v>45881</v>
      </c>
      <c r="D38" s="722">
        <v>0.33333333333333331</v>
      </c>
      <c r="E38" s="722">
        <v>0.33333333333333331</v>
      </c>
      <c r="F38" s="691"/>
      <c r="G38" s="691"/>
      <c r="H38" s="754">
        <v>1</v>
      </c>
    </row>
    <row r="39" spans="1:8" s="699" customFormat="1" x14ac:dyDescent="0.2">
      <c r="A39" s="725"/>
      <c r="B39" s="720">
        <v>45898</v>
      </c>
      <c r="C39" s="721">
        <v>45902</v>
      </c>
      <c r="D39" s="722">
        <v>0.33333333333333331</v>
      </c>
      <c r="E39" s="722">
        <v>0.33333333333333331</v>
      </c>
      <c r="F39" s="691"/>
      <c r="G39" s="691"/>
      <c r="H39" s="754">
        <v>2</v>
      </c>
    </row>
    <row r="40" spans="1:8" s="699" customFormat="1" x14ac:dyDescent="0.2">
      <c r="A40" s="725"/>
      <c r="B40" s="720">
        <v>45915</v>
      </c>
      <c r="C40" s="721">
        <v>45924</v>
      </c>
      <c r="D40" s="722">
        <v>0.33333333333333331</v>
      </c>
      <c r="E40" s="722">
        <v>0.33333333333333331</v>
      </c>
      <c r="F40" s="691"/>
      <c r="G40" s="691"/>
      <c r="H40" s="754">
        <v>9</v>
      </c>
    </row>
    <row r="41" spans="1:8" s="699" customFormat="1" x14ac:dyDescent="0.2">
      <c r="A41" s="725"/>
      <c r="B41" s="720">
        <v>45964</v>
      </c>
      <c r="C41" s="721">
        <v>45965</v>
      </c>
      <c r="D41" s="722"/>
      <c r="E41" s="722"/>
      <c r="F41" s="691"/>
      <c r="G41" s="691"/>
      <c r="H41" s="754">
        <v>1</v>
      </c>
    </row>
    <row r="42" spans="1:8" s="699" customFormat="1" x14ac:dyDescent="0.2">
      <c r="A42" s="725"/>
      <c r="B42" s="720">
        <v>45981</v>
      </c>
      <c r="C42" s="721">
        <v>45983</v>
      </c>
      <c r="D42" s="722"/>
      <c r="E42" s="722"/>
      <c r="F42" s="691"/>
      <c r="G42" s="691"/>
      <c r="H42" s="754">
        <v>2</v>
      </c>
    </row>
    <row r="43" spans="1:8" s="699" customFormat="1" x14ac:dyDescent="0.2">
      <c r="A43" s="725"/>
      <c r="B43" s="720">
        <v>46099</v>
      </c>
      <c r="C43" s="721">
        <v>46100</v>
      </c>
      <c r="D43" s="722"/>
      <c r="E43" s="722"/>
      <c r="F43" s="691"/>
      <c r="G43" s="691"/>
      <c r="H43" s="754">
        <v>1</v>
      </c>
    </row>
    <row r="44" spans="1:8" s="699" customFormat="1" x14ac:dyDescent="0.2">
      <c r="A44" s="725"/>
      <c r="B44" s="720">
        <v>46147</v>
      </c>
      <c r="C44" s="721">
        <v>46148</v>
      </c>
      <c r="D44" s="722"/>
      <c r="E44" s="722"/>
      <c r="F44" s="691"/>
      <c r="G44" s="691"/>
      <c r="H44" s="754">
        <v>1</v>
      </c>
    </row>
    <row r="45" spans="1:8" s="699" customFormat="1" x14ac:dyDescent="0.2">
      <c r="A45" s="725"/>
      <c r="B45" s="720">
        <v>46162</v>
      </c>
      <c r="C45" s="721">
        <v>46163</v>
      </c>
      <c r="D45" s="722"/>
      <c r="E45" s="722"/>
      <c r="F45" s="691"/>
      <c r="G45" s="691"/>
      <c r="H45" s="754">
        <v>1</v>
      </c>
    </row>
    <row r="46" spans="1:8" s="699" customFormat="1" x14ac:dyDescent="0.2">
      <c r="A46" s="725"/>
      <c r="B46" s="720">
        <v>46164</v>
      </c>
      <c r="C46" s="721">
        <v>46174</v>
      </c>
      <c r="D46" s="722"/>
      <c r="E46" s="722"/>
      <c r="F46" s="691"/>
      <c r="G46" s="691"/>
      <c r="H46" s="754">
        <v>3</v>
      </c>
    </row>
    <row r="47" spans="1:8" s="699" customFormat="1" x14ac:dyDescent="0.2">
      <c r="A47" s="725"/>
      <c r="B47" s="720"/>
      <c r="C47" s="721"/>
      <c r="D47" s="722"/>
      <c r="E47" s="722"/>
      <c r="F47" s="691"/>
      <c r="G47" s="691"/>
      <c r="H47" s="754"/>
    </row>
    <row r="48" spans="1:8" s="699" customFormat="1" x14ac:dyDescent="0.2">
      <c r="A48" s="725"/>
      <c r="B48" s="720"/>
      <c r="C48" s="721"/>
      <c r="D48" s="722"/>
      <c r="E48" s="722"/>
      <c r="F48" s="691"/>
      <c r="G48" s="691"/>
      <c r="H48" s="754"/>
    </row>
    <row r="49" spans="1:8" s="699" customFormat="1" x14ac:dyDescent="0.2">
      <c r="A49" s="725"/>
      <c r="B49" s="720"/>
      <c r="C49" s="721"/>
      <c r="D49" s="722"/>
      <c r="E49" s="722"/>
      <c r="F49" s="691"/>
      <c r="G49" s="691"/>
      <c r="H49" s="754"/>
    </row>
    <row r="50" spans="1:8" s="699" customFormat="1" x14ac:dyDescent="0.2">
      <c r="A50" s="725"/>
      <c r="B50" s="720"/>
      <c r="C50" s="721"/>
      <c r="D50" s="722"/>
      <c r="E50" s="722"/>
      <c r="F50" s="691"/>
      <c r="G50" s="691"/>
      <c r="H50" s="754"/>
    </row>
    <row r="51" spans="1:8" s="699" customFormat="1" x14ac:dyDescent="0.2">
      <c r="A51" s="725"/>
      <c r="B51" s="720"/>
      <c r="C51" s="721"/>
      <c r="D51" s="722"/>
      <c r="E51" s="722"/>
      <c r="F51" s="691"/>
      <c r="G51" s="691"/>
      <c r="H51" s="754"/>
    </row>
    <row r="52" spans="1:8" s="699" customFormat="1" x14ac:dyDescent="0.2">
      <c r="A52" s="725"/>
      <c r="B52" s="720"/>
      <c r="C52" s="721"/>
      <c r="D52" s="722"/>
      <c r="E52" s="722"/>
      <c r="F52" s="691"/>
      <c r="G52" s="691"/>
      <c r="H52" s="754"/>
    </row>
    <row r="53" spans="1:8" s="699" customFormat="1" x14ac:dyDescent="0.2">
      <c r="A53" s="725"/>
      <c r="B53" s="720"/>
      <c r="C53" s="721"/>
      <c r="D53" s="722"/>
      <c r="E53" s="722"/>
      <c r="F53" s="691"/>
      <c r="G53" s="691"/>
      <c r="H53" s="754"/>
    </row>
    <row r="54" spans="1:8" s="699" customFormat="1" x14ac:dyDescent="0.2">
      <c r="A54" s="725"/>
      <c r="B54" s="720"/>
      <c r="C54" s="721"/>
      <c r="D54" s="722"/>
      <c r="E54" s="722"/>
      <c r="F54" s="691"/>
      <c r="G54" s="691"/>
      <c r="H54" s="754"/>
    </row>
    <row r="55" spans="1:8" s="699" customFormat="1" x14ac:dyDescent="0.2">
      <c r="A55" s="725"/>
      <c r="B55" s="720"/>
      <c r="C55" s="721"/>
      <c r="D55" s="722"/>
      <c r="E55" s="722"/>
      <c r="F55" s="691"/>
      <c r="G55" s="691"/>
      <c r="H55" s="754"/>
    </row>
    <row r="56" spans="1:8" s="699" customFormat="1" x14ac:dyDescent="0.2">
      <c r="A56" s="725"/>
      <c r="B56" s="720"/>
      <c r="C56" s="721"/>
      <c r="D56" s="722"/>
      <c r="E56" s="722"/>
      <c r="F56" s="691"/>
      <c r="G56" s="691"/>
      <c r="H56" s="754"/>
    </row>
    <row r="57" spans="1:8" s="699" customFormat="1" x14ac:dyDescent="0.2">
      <c r="A57" s="725"/>
      <c r="B57" s="720"/>
      <c r="C57" s="721"/>
      <c r="D57" s="722"/>
      <c r="E57" s="722"/>
      <c r="F57" s="691"/>
      <c r="G57" s="691"/>
      <c r="H57" s="755"/>
    </row>
    <row r="58" spans="1:8" x14ac:dyDescent="0.2">
      <c r="A58" s="147"/>
      <c r="B58" s="142"/>
      <c r="C58" s="143"/>
      <c r="D58" s="144"/>
      <c r="E58" s="144"/>
      <c r="F58" s="691"/>
      <c r="G58" s="66"/>
      <c r="H58" s="145"/>
    </row>
    <row r="59" spans="1:8" x14ac:dyDescent="0.2">
      <c r="A59" s="147"/>
      <c r="B59" s="142"/>
      <c r="C59" s="143"/>
      <c r="D59" s="144"/>
      <c r="E59" s="144"/>
      <c r="F59" s="691"/>
      <c r="G59" s="66"/>
      <c r="H59" s="68"/>
    </row>
    <row r="60" spans="1:8" x14ac:dyDescent="0.2">
      <c r="A60" s="147"/>
      <c r="B60" s="142"/>
      <c r="C60" s="143"/>
      <c r="D60" s="144"/>
      <c r="E60" s="144"/>
      <c r="F60" s="691"/>
      <c r="G60" s="66"/>
      <c r="H60" s="66"/>
    </row>
    <row r="61" spans="1:8" x14ac:dyDescent="0.2">
      <c r="F61" s="229" t="s">
        <v>123</v>
      </c>
      <c r="G61" s="77">
        <f>SUM(G7:G60)</f>
        <v>160</v>
      </c>
      <c r="H61" s="77">
        <f>SUM(H7:H60)</f>
        <v>101.5</v>
      </c>
    </row>
    <row r="62" spans="1:8" x14ac:dyDescent="0.2">
      <c r="F62" s="62"/>
      <c r="G62" s="63"/>
      <c r="H62" s="63"/>
    </row>
    <row r="63" spans="1:8" ht="14.25" x14ac:dyDescent="0.2">
      <c r="F63" s="1153" t="s">
        <v>8</v>
      </c>
      <c r="G63" s="1154"/>
      <c r="H63" s="84">
        <f>G61-H61</f>
        <v>58.5</v>
      </c>
    </row>
  </sheetData>
  <sortState ref="B31:K36">
    <sortCondition ref="B31"/>
  </sortState>
  <mergeCells count="3">
    <mergeCell ref="F63:G63"/>
    <mergeCell ref="J1:J3"/>
    <mergeCell ref="C1:H5"/>
  </mergeCells>
  <hyperlinks>
    <hyperlink ref="J1:J3" location="'ANA SAYFA'!A1" display="ANA SAYFA"/>
  </hyperlinks>
  <pageMargins left="0.7" right="0.12" top="0.12" bottom="0.75" header="0.12" footer="0.3"/>
  <pageSetup paperSize="9" scale="70" orientation="portrait" r:id="rId1"/>
  <colBreaks count="1" manualBreakCount="1">
    <brk id="8" max="1048575" man="1"/>
  </col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zoomScaleNormal="100" workbookViewId="0">
      <selection activeCell="J1" sqref="J1:J3"/>
    </sheetView>
  </sheetViews>
  <sheetFormatPr defaultColWidth="9.140625" defaultRowHeight="12.75" x14ac:dyDescent="0.2"/>
  <cols>
    <col min="1" max="1" width="18.140625" style="82" bestFit="1" customWidth="1"/>
    <col min="2" max="3" width="26.7109375" style="82" bestFit="1" customWidth="1"/>
    <col min="4" max="5" width="9.28515625" style="82" bestFit="1" customWidth="1"/>
    <col min="6" max="6" width="20.140625" style="82" bestFit="1" customWidth="1"/>
    <col min="7" max="7" width="14.28515625" style="82" bestFit="1" customWidth="1"/>
    <col min="8" max="8" width="12.5703125" style="82" bestFit="1" customWidth="1"/>
    <col min="9" max="9" width="4.28515625" style="82" customWidth="1"/>
    <col min="10" max="10" width="12" style="82" customWidth="1"/>
    <col min="11" max="16384" width="9.140625" style="82"/>
  </cols>
  <sheetData>
    <row r="1" spans="1:11" ht="14.25" customHeight="1" x14ac:dyDescent="0.2">
      <c r="A1" s="29" t="s">
        <v>135</v>
      </c>
      <c r="B1" s="151" t="str">
        <f>'ANA SAYFA'!B41</f>
        <v>MEHMET ÇELİK</v>
      </c>
      <c r="C1" s="1166" t="s">
        <v>136</v>
      </c>
      <c r="D1" s="1166"/>
      <c r="E1" s="1166"/>
      <c r="F1" s="1166"/>
      <c r="G1" s="1166"/>
      <c r="H1" s="1166"/>
      <c r="I1" s="28"/>
      <c r="J1" s="1183" t="s">
        <v>712</v>
      </c>
      <c r="K1" s="30"/>
    </row>
    <row r="2" spans="1:11" ht="14.25" customHeight="1" x14ac:dyDescent="0.2">
      <c r="A2" s="29" t="s">
        <v>137</v>
      </c>
      <c r="B2" s="161">
        <f>'ANA SAYFA'!D41</f>
        <v>67363072846</v>
      </c>
      <c r="C2" s="1166"/>
      <c r="D2" s="1166"/>
      <c r="E2" s="1166"/>
      <c r="F2" s="1166"/>
      <c r="G2" s="1166"/>
      <c r="H2" s="1166"/>
      <c r="I2" s="28"/>
      <c r="J2" s="1184"/>
      <c r="K2" s="30"/>
    </row>
    <row r="3" spans="1:11" ht="14.25" customHeight="1" thickBot="1" x14ac:dyDescent="0.25">
      <c r="A3" s="29" t="s">
        <v>131</v>
      </c>
      <c r="B3" s="162" t="str">
        <f>'ANA SAYFA'!C41</f>
        <v>İŞ MAK. YAĞCISI</v>
      </c>
      <c r="C3" s="1166"/>
      <c r="D3" s="1166"/>
      <c r="E3" s="1166"/>
      <c r="F3" s="1166"/>
      <c r="G3" s="1166"/>
      <c r="H3" s="1166"/>
      <c r="I3" s="28"/>
      <c r="J3" s="1185"/>
      <c r="K3" s="30"/>
    </row>
    <row r="4" spans="1:11" ht="14.25" customHeight="1" x14ac:dyDescent="0.2">
      <c r="A4" s="29" t="s">
        <v>120</v>
      </c>
      <c r="B4" s="89">
        <f>'ANA SAYFA'!E41</f>
        <v>45173</v>
      </c>
      <c r="C4" s="1166"/>
      <c r="D4" s="1166"/>
      <c r="E4" s="1166"/>
      <c r="F4" s="1166"/>
      <c r="G4" s="1166"/>
      <c r="H4" s="1166"/>
      <c r="I4" s="28"/>
      <c r="J4" s="30"/>
      <c r="K4" s="30"/>
    </row>
    <row r="5" spans="1:11" ht="14.25" customHeight="1" x14ac:dyDescent="0.2">
      <c r="A5" s="29" t="s">
        <v>130</v>
      </c>
      <c r="B5" s="89">
        <f>'ANA SAYFA'!F41</f>
        <v>37196</v>
      </c>
      <c r="C5" s="1166"/>
      <c r="D5" s="1166"/>
      <c r="E5" s="1166"/>
      <c r="F5" s="1166"/>
      <c r="G5" s="1166"/>
      <c r="H5" s="1166"/>
      <c r="I5" s="28"/>
      <c r="J5" s="699"/>
      <c r="K5" s="699"/>
    </row>
    <row r="6" spans="1:11" ht="31.5" x14ac:dyDescent="0.2">
      <c r="A6" s="69" t="s">
        <v>0</v>
      </c>
      <c r="B6" s="70" t="s">
        <v>1</v>
      </c>
      <c r="C6" s="69" t="s">
        <v>2</v>
      </c>
      <c r="D6" s="71" t="s">
        <v>133</v>
      </c>
      <c r="E6" s="71" t="s">
        <v>4</v>
      </c>
      <c r="F6" s="71" t="s">
        <v>7</v>
      </c>
      <c r="G6" s="71" t="s">
        <v>6</v>
      </c>
      <c r="H6" s="71" t="s">
        <v>16</v>
      </c>
      <c r="I6" s="34"/>
      <c r="J6" s="699"/>
      <c r="K6" s="699"/>
    </row>
    <row r="7" spans="1:11" x14ac:dyDescent="0.2">
      <c r="A7" s="139"/>
      <c r="B7" s="209">
        <v>45239</v>
      </c>
      <c r="C7" s="412">
        <v>45240</v>
      </c>
      <c r="D7" s="413">
        <v>0.33333333333333331</v>
      </c>
      <c r="E7" s="413">
        <v>0.33333333333333331</v>
      </c>
      <c r="F7" s="786" t="s">
        <v>618</v>
      </c>
      <c r="G7" s="414">
        <v>14</v>
      </c>
      <c r="H7" s="414">
        <v>1</v>
      </c>
      <c r="I7" s="49"/>
      <c r="J7" s="30"/>
      <c r="K7" s="30"/>
    </row>
    <row r="8" spans="1:11" x14ac:dyDescent="0.2">
      <c r="A8" s="139"/>
      <c r="B8" s="209">
        <v>45310</v>
      </c>
      <c r="C8" s="412">
        <v>45315</v>
      </c>
      <c r="D8" s="413">
        <v>0.33333333333333331</v>
      </c>
      <c r="E8" s="413">
        <v>0.33333333333333331</v>
      </c>
      <c r="F8" s="786" t="s">
        <v>864</v>
      </c>
      <c r="G8" s="414">
        <v>14</v>
      </c>
      <c r="H8" s="414">
        <v>4</v>
      </c>
      <c r="I8" s="49"/>
      <c r="J8" s="30"/>
      <c r="K8" s="30"/>
    </row>
    <row r="9" spans="1:11" x14ac:dyDescent="0.2">
      <c r="A9" s="141"/>
      <c r="B9" s="1208" t="s">
        <v>484</v>
      </c>
      <c r="C9" s="1209"/>
      <c r="D9" s="413"/>
      <c r="E9" s="413"/>
      <c r="F9" s="786"/>
      <c r="G9" s="414"/>
      <c r="H9" s="652">
        <v>-3</v>
      </c>
      <c r="I9" s="49"/>
      <c r="J9" s="30"/>
      <c r="K9" s="30"/>
    </row>
    <row r="10" spans="1:11" x14ac:dyDescent="0.2">
      <c r="A10" s="141"/>
      <c r="B10" s="209" t="s">
        <v>554</v>
      </c>
      <c r="C10" s="412" t="s">
        <v>555</v>
      </c>
      <c r="D10" s="413">
        <v>0.33333333333333331</v>
      </c>
      <c r="E10" s="413">
        <v>0.33333333333333331</v>
      </c>
      <c r="F10" s="786"/>
      <c r="G10" s="415"/>
      <c r="H10" s="414">
        <v>3.5</v>
      </c>
      <c r="I10" s="49"/>
      <c r="J10" s="30"/>
      <c r="K10" s="30"/>
    </row>
    <row r="11" spans="1:11" x14ac:dyDescent="0.2">
      <c r="A11" s="141"/>
      <c r="B11" s="416">
        <v>45513</v>
      </c>
      <c r="C11" s="417">
        <v>45513</v>
      </c>
      <c r="D11" s="413">
        <v>0.33333333333333331</v>
      </c>
      <c r="E11" s="413">
        <v>0.33333333333333331</v>
      </c>
      <c r="F11" s="787"/>
      <c r="G11" s="415"/>
      <c r="H11" s="414">
        <v>1</v>
      </c>
      <c r="I11" s="49"/>
      <c r="J11" s="407"/>
      <c r="K11" s="30"/>
    </row>
    <row r="12" spans="1:11" x14ac:dyDescent="0.2">
      <c r="A12" s="141"/>
      <c r="B12" s="418">
        <v>45656</v>
      </c>
      <c r="C12" s="419">
        <v>45663</v>
      </c>
      <c r="D12" s="413">
        <v>0.33333333333333331</v>
      </c>
      <c r="E12" s="413">
        <v>0.33333333333333331</v>
      </c>
      <c r="F12" s="787"/>
      <c r="G12" s="415"/>
      <c r="H12" s="837">
        <v>7.5</v>
      </c>
    </row>
    <row r="13" spans="1:11" x14ac:dyDescent="0.2">
      <c r="A13" s="141"/>
      <c r="B13" s="418">
        <v>45702</v>
      </c>
      <c r="C13" s="419">
        <v>45702</v>
      </c>
      <c r="D13" s="413">
        <v>0.33333333333333331</v>
      </c>
      <c r="E13" s="413">
        <v>0.33333333333333331</v>
      </c>
      <c r="F13" s="787"/>
      <c r="G13" s="415"/>
      <c r="H13" s="415">
        <v>1</v>
      </c>
    </row>
    <row r="14" spans="1:11" x14ac:dyDescent="0.2">
      <c r="A14" s="141"/>
      <c r="B14" s="418">
        <v>45749</v>
      </c>
      <c r="C14" s="419">
        <v>45750</v>
      </c>
      <c r="D14" s="413">
        <v>0.33333333333333331</v>
      </c>
      <c r="E14" s="413">
        <v>0.33333333333333331</v>
      </c>
      <c r="F14" s="787"/>
      <c r="G14" s="415"/>
      <c r="H14" s="415">
        <v>2</v>
      </c>
    </row>
    <row r="15" spans="1:11" ht="22.5" x14ac:dyDescent="0.2">
      <c r="A15" s="141"/>
      <c r="B15" s="883" t="s">
        <v>781</v>
      </c>
      <c r="C15" s="419"/>
      <c r="D15" s="420"/>
      <c r="E15" s="420"/>
      <c r="F15" s="787"/>
      <c r="G15" s="415"/>
      <c r="H15" s="889">
        <v>-3</v>
      </c>
    </row>
    <row r="16" spans="1:11" x14ac:dyDescent="0.2">
      <c r="A16" s="141"/>
      <c r="B16" s="418">
        <v>45843</v>
      </c>
      <c r="C16" s="419">
        <v>45850</v>
      </c>
      <c r="D16" s="413">
        <v>0.33333333333333331</v>
      </c>
      <c r="E16" s="413">
        <v>0.33333333333333331</v>
      </c>
      <c r="F16" s="787"/>
      <c r="G16" s="415"/>
      <c r="H16" s="415">
        <v>7</v>
      </c>
    </row>
    <row r="17" spans="1:10" x14ac:dyDescent="0.2">
      <c r="A17" s="141"/>
      <c r="B17" s="418">
        <v>45971</v>
      </c>
      <c r="C17" s="419">
        <v>45973</v>
      </c>
      <c r="D17" s="413">
        <v>0.33333333333333331</v>
      </c>
      <c r="E17" s="413">
        <v>0.33333333333333331</v>
      </c>
      <c r="F17" s="787"/>
      <c r="G17" s="415"/>
      <c r="H17" s="415">
        <v>2</v>
      </c>
    </row>
    <row r="18" spans="1:10" x14ac:dyDescent="0.2">
      <c r="A18" s="141"/>
      <c r="B18" s="418">
        <v>45969</v>
      </c>
      <c r="C18" s="419">
        <v>45971</v>
      </c>
      <c r="D18" s="420"/>
      <c r="E18" s="420"/>
      <c r="F18" s="787"/>
      <c r="G18" s="415"/>
      <c r="H18" s="415">
        <v>1</v>
      </c>
    </row>
    <row r="19" spans="1:10" x14ac:dyDescent="0.2">
      <c r="A19" s="141"/>
      <c r="B19" s="418">
        <v>45979</v>
      </c>
      <c r="C19" s="419">
        <v>45980</v>
      </c>
      <c r="D19" s="420"/>
      <c r="E19" s="420"/>
      <c r="F19" s="788"/>
      <c r="G19" s="415"/>
      <c r="H19" s="415">
        <v>1</v>
      </c>
    </row>
    <row r="20" spans="1:10" x14ac:dyDescent="0.2">
      <c r="A20" s="141"/>
      <c r="B20" s="418">
        <v>46024</v>
      </c>
      <c r="C20" s="419">
        <v>46029</v>
      </c>
      <c r="D20" s="420"/>
      <c r="E20" s="420"/>
      <c r="F20" s="788"/>
      <c r="G20" s="415"/>
      <c r="H20" s="422">
        <v>4</v>
      </c>
    </row>
    <row r="21" spans="1:10" x14ac:dyDescent="0.2">
      <c r="A21" s="146"/>
      <c r="B21" s="418">
        <v>46104</v>
      </c>
      <c r="C21" s="419">
        <v>46106</v>
      </c>
      <c r="D21" s="420"/>
      <c r="E21" s="420"/>
      <c r="F21" s="788"/>
      <c r="G21" s="415"/>
      <c r="H21" s="422">
        <v>2</v>
      </c>
      <c r="J21" s="82" t="s">
        <v>830</v>
      </c>
    </row>
    <row r="22" spans="1:10" x14ac:dyDescent="0.2">
      <c r="A22" s="55"/>
      <c r="B22" s="1167" t="s">
        <v>988</v>
      </c>
      <c r="C22" s="1168"/>
      <c r="D22" s="1043"/>
      <c r="E22" s="1043"/>
      <c r="F22" s="1044"/>
      <c r="G22" s="802"/>
      <c r="H22" s="802">
        <v>-3</v>
      </c>
    </row>
    <row r="23" spans="1:10" x14ac:dyDescent="0.2">
      <c r="A23" s="55"/>
      <c r="B23" s="418">
        <v>46164</v>
      </c>
      <c r="C23" s="419">
        <v>46175</v>
      </c>
      <c r="D23" s="420"/>
      <c r="E23" s="420"/>
      <c r="F23" s="788"/>
      <c r="G23" s="415"/>
      <c r="H23" s="415">
        <v>4</v>
      </c>
    </row>
    <row r="24" spans="1:10" x14ac:dyDescent="0.2">
      <c r="A24" s="55"/>
      <c r="B24" s="418">
        <v>46204</v>
      </c>
      <c r="C24" s="419">
        <v>46205</v>
      </c>
      <c r="D24" s="420"/>
      <c r="E24" s="420"/>
      <c r="F24" s="788"/>
      <c r="G24" s="415"/>
      <c r="H24" s="415"/>
    </row>
    <row r="25" spans="1:10" x14ac:dyDescent="0.2">
      <c r="A25" s="55"/>
      <c r="B25" s="418"/>
      <c r="C25" s="419"/>
      <c r="D25" s="420"/>
      <c r="E25" s="420"/>
      <c r="F25" s="788"/>
      <c r="G25" s="415"/>
      <c r="H25" s="415"/>
    </row>
    <row r="26" spans="1:10" x14ac:dyDescent="0.2">
      <c r="A26" s="55"/>
      <c r="B26" s="418"/>
      <c r="C26" s="419"/>
      <c r="D26" s="420"/>
      <c r="E26" s="420"/>
      <c r="F26" s="788"/>
      <c r="G26" s="415"/>
      <c r="H26" s="423"/>
    </row>
    <row r="27" spans="1:10" x14ac:dyDescent="0.2">
      <c r="A27" s="55"/>
      <c r="B27" s="418"/>
      <c r="C27" s="419"/>
      <c r="D27" s="420"/>
      <c r="E27" s="420"/>
      <c r="F27" s="788"/>
      <c r="G27" s="415"/>
      <c r="H27" s="415"/>
    </row>
    <row r="28" spans="1:10" x14ac:dyDescent="0.2">
      <c r="A28" s="55"/>
      <c r="B28" s="418"/>
      <c r="C28" s="419"/>
      <c r="D28" s="420"/>
      <c r="E28" s="420"/>
      <c r="F28" s="788"/>
      <c r="G28" s="415"/>
      <c r="H28" s="415"/>
    </row>
    <row r="29" spans="1:10" x14ac:dyDescent="0.2">
      <c r="A29" s="147"/>
      <c r="B29" s="418"/>
      <c r="C29" s="419"/>
      <c r="D29" s="420"/>
      <c r="E29" s="420"/>
      <c r="F29" s="788"/>
      <c r="G29" s="415"/>
      <c r="H29" s="415"/>
    </row>
    <row r="30" spans="1:10" x14ac:dyDescent="0.2">
      <c r="A30" s="147"/>
      <c r="B30" s="418"/>
      <c r="C30" s="419"/>
      <c r="D30" s="420"/>
      <c r="E30" s="420"/>
      <c r="F30" s="788"/>
      <c r="G30" s="415"/>
      <c r="H30" s="415"/>
    </row>
    <row r="31" spans="1:10" x14ac:dyDescent="0.2">
      <c r="A31" s="147"/>
      <c r="B31" s="418"/>
      <c r="C31" s="419"/>
      <c r="D31" s="420"/>
      <c r="E31" s="420"/>
      <c r="F31" s="788"/>
      <c r="G31" s="415"/>
      <c r="H31" s="424"/>
    </row>
    <row r="32" spans="1:10" x14ac:dyDescent="0.2">
      <c r="A32" s="147"/>
      <c r="B32" s="418"/>
      <c r="C32" s="419"/>
      <c r="D32" s="420"/>
      <c r="E32" s="420"/>
      <c r="F32" s="788"/>
      <c r="G32" s="415"/>
      <c r="H32" s="422"/>
    </row>
    <row r="33" spans="1:8" x14ac:dyDescent="0.2">
      <c r="A33" s="147"/>
      <c r="B33" s="142"/>
      <c r="C33" s="143"/>
      <c r="D33" s="144"/>
      <c r="E33" s="144"/>
      <c r="F33" s="683"/>
      <c r="G33" s="66"/>
      <c r="H33" s="66"/>
    </row>
    <row r="34" spans="1:8" x14ac:dyDescent="0.2">
      <c r="F34" s="229" t="s">
        <v>123</v>
      </c>
      <c r="G34" s="77">
        <f>SUM(G7:G33)</f>
        <v>28</v>
      </c>
      <c r="H34" s="77">
        <f>SUM(H7:H33)</f>
        <v>32</v>
      </c>
    </row>
    <row r="35" spans="1:8" x14ac:dyDescent="0.2">
      <c r="F35" s="62"/>
      <c r="G35" s="63"/>
      <c r="H35" s="63"/>
    </row>
    <row r="36" spans="1:8" ht="14.25" x14ac:dyDescent="0.2">
      <c r="F36" s="1153" t="s">
        <v>8</v>
      </c>
      <c r="G36" s="1154"/>
      <c r="H36" s="84">
        <f>G34-H34</f>
        <v>-4</v>
      </c>
    </row>
  </sheetData>
  <mergeCells count="5">
    <mergeCell ref="F36:G36"/>
    <mergeCell ref="B9:C9"/>
    <mergeCell ref="C1:H5"/>
    <mergeCell ref="J1:J3"/>
    <mergeCell ref="B22:C22"/>
  </mergeCells>
  <hyperlinks>
    <hyperlink ref="J1:J3" location="'ANA SAYFA'!A1" display="ANA SAYFA"/>
  </hyperlinks>
  <pageMargins left="0.7" right="0.12" top="0.75" bottom="0.75" header="0.3" footer="0.3"/>
  <pageSetup paperSize="9" scale="72"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workbookViewId="0">
      <selection activeCell="J1" sqref="J1:J3"/>
    </sheetView>
  </sheetViews>
  <sheetFormatPr defaultColWidth="9.140625" defaultRowHeight="12.75" x14ac:dyDescent="0.2"/>
  <cols>
    <col min="1" max="1" width="18.140625" style="82" bestFit="1" customWidth="1"/>
    <col min="2" max="2" width="28.140625" style="82" bestFit="1" customWidth="1"/>
    <col min="3" max="3" width="24.7109375" style="82" bestFit="1" customWidth="1"/>
    <col min="4" max="5" width="9.42578125" style="82" customWidth="1"/>
    <col min="6" max="6" width="20.85546875" style="82" bestFit="1" customWidth="1"/>
    <col min="7" max="7" width="14.42578125" style="273" bestFit="1" customWidth="1"/>
    <col min="8" max="8" width="12.7109375" style="273" bestFit="1" customWidth="1"/>
    <col min="9" max="9" width="4" style="82" customWidth="1"/>
    <col min="10" max="10" width="12" style="82" customWidth="1"/>
    <col min="11" max="16384" width="9.140625" style="82"/>
  </cols>
  <sheetData>
    <row r="1" spans="1:11" ht="14.25" customHeight="1" x14ac:dyDescent="0.2">
      <c r="A1" s="29" t="s">
        <v>135</v>
      </c>
      <c r="B1" s="188" t="str">
        <f>'ANA SAYFA'!B42</f>
        <v xml:space="preserve">MUHAMMET GÜRBÜZ </v>
      </c>
      <c r="C1" s="1166" t="s">
        <v>136</v>
      </c>
      <c r="D1" s="1166"/>
      <c r="E1" s="1166"/>
      <c r="F1" s="1166"/>
      <c r="G1" s="1166"/>
      <c r="H1" s="1166"/>
      <c r="I1" s="28"/>
      <c r="J1" s="1183" t="s">
        <v>712</v>
      </c>
      <c r="K1" s="30"/>
    </row>
    <row r="2" spans="1:11" ht="14.25" customHeight="1" x14ac:dyDescent="0.2">
      <c r="A2" s="29" t="s">
        <v>137</v>
      </c>
      <c r="B2" s="154">
        <f>'ANA SAYFA'!D42</f>
        <v>35635379450</v>
      </c>
      <c r="C2" s="1166"/>
      <c r="D2" s="1166"/>
      <c r="E2" s="1166"/>
      <c r="F2" s="1166"/>
      <c r="G2" s="1166"/>
      <c r="H2" s="1166"/>
      <c r="I2" s="28"/>
      <c r="J2" s="1184"/>
      <c r="K2" s="30"/>
    </row>
    <row r="3" spans="1:11" ht="14.25" customHeight="1" thickBot="1" x14ac:dyDescent="0.25">
      <c r="A3" s="29" t="s">
        <v>131</v>
      </c>
      <c r="B3" s="153" t="str">
        <f>'ANA SAYFA'!C42</f>
        <v>EKSKAVATÖR OPERATÖRÜ</v>
      </c>
      <c r="C3" s="1166"/>
      <c r="D3" s="1166"/>
      <c r="E3" s="1166"/>
      <c r="F3" s="1166"/>
      <c r="G3" s="1166"/>
      <c r="H3" s="1166"/>
      <c r="I3" s="28"/>
      <c r="J3" s="1185"/>
      <c r="K3" s="30"/>
    </row>
    <row r="4" spans="1:11" ht="14.25" customHeight="1" x14ac:dyDescent="0.2">
      <c r="A4" s="29" t="s">
        <v>120</v>
      </c>
      <c r="B4" s="83">
        <f>'ANA SAYFA'!E42</f>
        <v>45555</v>
      </c>
      <c r="C4" s="1166"/>
      <c r="D4" s="1166"/>
      <c r="E4" s="1166"/>
      <c r="F4" s="1166"/>
      <c r="G4" s="1166"/>
      <c r="H4" s="1166"/>
      <c r="I4" s="28"/>
      <c r="J4" s="30"/>
      <c r="K4" s="30"/>
    </row>
    <row r="5" spans="1:11" ht="14.25" customHeight="1" x14ac:dyDescent="0.2">
      <c r="A5" s="29" t="s">
        <v>130</v>
      </c>
      <c r="B5" s="83">
        <f>'ANA SAYFA'!F42</f>
        <v>36893</v>
      </c>
      <c r="C5" s="1166"/>
      <c r="D5" s="1166"/>
      <c r="E5" s="1166"/>
      <c r="F5" s="1166"/>
      <c r="G5" s="1166"/>
      <c r="H5" s="1166"/>
      <c r="I5" s="28"/>
      <c r="J5" s="699"/>
      <c r="K5" s="699"/>
    </row>
    <row r="6" spans="1:11" ht="31.5" x14ac:dyDescent="0.2">
      <c r="A6" s="69" t="s">
        <v>0</v>
      </c>
      <c r="B6" s="70" t="s">
        <v>1</v>
      </c>
      <c r="C6" s="69" t="s">
        <v>2</v>
      </c>
      <c r="D6" s="71" t="s">
        <v>133</v>
      </c>
      <c r="E6" s="71" t="s">
        <v>4</v>
      </c>
      <c r="F6" s="71" t="s">
        <v>7</v>
      </c>
      <c r="G6" s="71" t="s">
        <v>6</v>
      </c>
      <c r="H6" s="71" t="s">
        <v>16</v>
      </c>
      <c r="I6" s="34"/>
      <c r="J6" s="699"/>
      <c r="K6" s="699"/>
    </row>
    <row r="7" spans="1:11" x14ac:dyDescent="0.2">
      <c r="A7" s="139"/>
      <c r="B7" s="155">
        <v>45629</v>
      </c>
      <c r="C7" s="155">
        <v>45632</v>
      </c>
      <c r="D7" s="168"/>
      <c r="E7" s="168"/>
      <c r="F7" s="83" t="s">
        <v>973</v>
      </c>
      <c r="G7" s="191">
        <v>14</v>
      </c>
      <c r="H7" s="239">
        <v>4</v>
      </c>
      <c r="I7" s="49"/>
      <c r="J7" s="30"/>
      <c r="K7" s="30"/>
    </row>
    <row r="8" spans="1:11" x14ac:dyDescent="0.2">
      <c r="A8" s="139"/>
      <c r="B8" s="1253" t="s">
        <v>670</v>
      </c>
      <c r="C8" s="1254"/>
      <c r="D8" s="168"/>
      <c r="E8" s="168"/>
      <c r="F8" s="83"/>
      <c r="G8" s="534">
        <v>2</v>
      </c>
      <c r="H8" s="239"/>
      <c r="I8" s="49"/>
      <c r="J8" s="30"/>
      <c r="K8" s="30"/>
    </row>
    <row r="9" spans="1:11" x14ac:dyDescent="0.2">
      <c r="A9" s="141"/>
      <c r="B9" s="1253" t="s">
        <v>678</v>
      </c>
      <c r="C9" s="1254"/>
      <c r="D9" s="168"/>
      <c r="E9" s="168"/>
      <c r="F9" s="83"/>
      <c r="G9" s="191">
        <v>2</v>
      </c>
      <c r="H9" s="191"/>
      <c r="I9" s="49"/>
      <c r="J9" s="30"/>
      <c r="K9" s="30"/>
    </row>
    <row r="10" spans="1:11" x14ac:dyDescent="0.2">
      <c r="A10" s="141"/>
      <c r="B10" s="155">
        <v>45964</v>
      </c>
      <c r="C10" s="156">
        <v>45965</v>
      </c>
      <c r="D10" s="168"/>
      <c r="E10" s="168"/>
      <c r="F10" s="83"/>
      <c r="G10" s="145"/>
      <c r="H10" s="191">
        <v>1</v>
      </c>
      <c r="I10" s="49"/>
      <c r="J10" s="30" t="s">
        <v>830</v>
      </c>
      <c r="K10" s="30"/>
    </row>
    <row r="11" spans="1:11" x14ac:dyDescent="0.2">
      <c r="A11" s="141"/>
      <c r="B11" s="245">
        <v>46020</v>
      </c>
      <c r="C11" s="246">
        <v>46021</v>
      </c>
      <c r="D11" s="168"/>
      <c r="E11" s="168"/>
      <c r="F11" s="145"/>
      <c r="G11" s="145"/>
      <c r="H11" s="239">
        <v>1</v>
      </c>
      <c r="I11" s="49"/>
      <c r="J11" s="407"/>
      <c r="K11" s="30"/>
    </row>
    <row r="12" spans="1:11" x14ac:dyDescent="0.2">
      <c r="A12" s="141"/>
      <c r="B12" s="142">
        <v>46099</v>
      </c>
      <c r="C12" s="143">
        <v>46100</v>
      </c>
      <c r="D12" s="168"/>
      <c r="E12" s="168"/>
      <c r="F12" s="145"/>
      <c r="G12" s="145"/>
      <c r="H12" s="145">
        <v>1</v>
      </c>
    </row>
    <row r="13" spans="1:11" x14ac:dyDescent="0.2">
      <c r="A13" s="141"/>
      <c r="B13" s="142">
        <v>46162</v>
      </c>
      <c r="C13" s="155">
        <v>46174</v>
      </c>
      <c r="D13" s="156"/>
      <c r="E13" s="168"/>
      <c r="F13" s="168"/>
      <c r="G13" s="145"/>
      <c r="H13" s="145">
        <v>5</v>
      </c>
    </row>
    <row r="14" spans="1:11" x14ac:dyDescent="0.2">
      <c r="A14" s="141"/>
      <c r="B14" s="142"/>
      <c r="C14" s="143"/>
      <c r="D14" s="144"/>
      <c r="E14" s="144"/>
      <c r="F14" s="145"/>
      <c r="G14" s="145"/>
      <c r="H14" s="145"/>
    </row>
    <row r="15" spans="1:11" x14ac:dyDescent="0.2">
      <c r="A15" s="141"/>
      <c r="B15" s="142"/>
      <c r="C15" s="143"/>
      <c r="D15" s="144"/>
      <c r="E15" s="144"/>
      <c r="F15" s="145"/>
      <c r="G15" s="145"/>
      <c r="H15" s="145"/>
    </row>
    <row r="16" spans="1:11" x14ac:dyDescent="0.2">
      <c r="A16" s="141"/>
      <c r="B16" s="142"/>
      <c r="C16" s="143"/>
      <c r="D16" s="144"/>
      <c r="E16" s="144"/>
      <c r="F16" s="145"/>
      <c r="G16" s="145"/>
      <c r="H16" s="145"/>
    </row>
    <row r="17" spans="1:8" x14ac:dyDescent="0.2">
      <c r="A17" s="141"/>
      <c r="B17" s="142"/>
      <c r="C17" s="143"/>
      <c r="D17" s="144"/>
      <c r="E17" s="144"/>
      <c r="F17" s="145"/>
      <c r="G17" s="145"/>
      <c r="H17" s="145"/>
    </row>
    <row r="18" spans="1:8" x14ac:dyDescent="0.2">
      <c r="A18" s="141"/>
      <c r="B18" s="142"/>
      <c r="C18" s="143"/>
      <c r="D18" s="144"/>
      <c r="E18" s="144"/>
      <c r="F18" s="145"/>
      <c r="G18" s="145"/>
      <c r="H18" s="145"/>
    </row>
    <row r="19" spans="1:8" x14ac:dyDescent="0.2">
      <c r="A19" s="141"/>
      <c r="B19" s="142"/>
      <c r="C19" s="143"/>
      <c r="D19" s="144"/>
      <c r="E19" s="144"/>
      <c r="F19" s="140"/>
      <c r="G19" s="145"/>
      <c r="H19" s="145"/>
    </row>
    <row r="20" spans="1:8" x14ac:dyDescent="0.2">
      <c r="A20" s="141"/>
      <c r="B20" s="142"/>
      <c r="C20" s="143"/>
      <c r="D20" s="144"/>
      <c r="E20" s="144"/>
      <c r="F20" s="140"/>
      <c r="G20" s="145"/>
      <c r="H20" s="242"/>
    </row>
    <row r="21" spans="1:8" x14ac:dyDescent="0.2">
      <c r="A21" s="146"/>
      <c r="B21" s="142"/>
      <c r="C21" s="143"/>
      <c r="D21" s="144"/>
      <c r="E21" s="144"/>
      <c r="F21" s="140"/>
      <c r="G21" s="145"/>
      <c r="H21" s="242"/>
    </row>
    <row r="22" spans="1:8" x14ac:dyDescent="0.2">
      <c r="A22" s="55"/>
      <c r="B22" s="142"/>
      <c r="C22" s="143"/>
      <c r="D22" s="144"/>
      <c r="E22" s="144"/>
      <c r="F22" s="140"/>
      <c r="G22" s="145"/>
      <c r="H22" s="145"/>
    </row>
    <row r="23" spans="1:8" x14ac:dyDescent="0.2">
      <c r="A23" s="55"/>
      <c r="B23" s="142"/>
      <c r="C23" s="143"/>
      <c r="D23" s="144"/>
      <c r="E23" s="144"/>
      <c r="F23" s="140"/>
      <c r="G23" s="145"/>
      <c r="H23" s="145"/>
    </row>
    <row r="24" spans="1:8" x14ac:dyDescent="0.2">
      <c r="A24" s="55"/>
      <c r="B24" s="142"/>
      <c r="C24" s="143"/>
      <c r="D24" s="144"/>
      <c r="E24" s="144"/>
      <c r="F24" s="140"/>
      <c r="G24" s="145"/>
      <c r="H24" s="145"/>
    </row>
    <row r="25" spans="1:8" x14ac:dyDescent="0.2">
      <c r="A25" s="55"/>
      <c r="B25" s="142"/>
      <c r="C25" s="143"/>
      <c r="D25" s="144"/>
      <c r="E25" s="144"/>
      <c r="F25" s="140"/>
      <c r="G25" s="145"/>
      <c r="H25" s="145"/>
    </row>
    <row r="26" spans="1:8" x14ac:dyDescent="0.2">
      <c r="A26" s="55"/>
      <c r="B26" s="142"/>
      <c r="C26" s="143"/>
      <c r="D26" s="144"/>
      <c r="E26" s="144"/>
      <c r="F26" s="140"/>
      <c r="G26" s="145"/>
      <c r="H26" s="145"/>
    </row>
    <row r="27" spans="1:8" x14ac:dyDescent="0.2">
      <c r="A27" s="55"/>
      <c r="B27" s="142"/>
      <c r="C27" s="143"/>
      <c r="D27" s="144"/>
      <c r="E27" s="144"/>
      <c r="F27" s="140"/>
      <c r="G27" s="145"/>
      <c r="H27" s="259"/>
    </row>
    <row r="28" spans="1:8" x14ac:dyDescent="0.2">
      <c r="A28" s="55"/>
      <c r="B28" s="142"/>
      <c r="C28" s="143"/>
      <c r="D28" s="144"/>
      <c r="E28" s="144"/>
      <c r="F28" s="140"/>
      <c r="G28" s="145"/>
      <c r="H28" s="145"/>
    </row>
    <row r="29" spans="1:8" x14ac:dyDescent="0.2">
      <c r="A29" s="55"/>
      <c r="B29" s="142"/>
      <c r="C29" s="143"/>
      <c r="D29" s="144"/>
      <c r="E29" s="144"/>
      <c r="F29" s="140"/>
      <c r="G29" s="145"/>
      <c r="H29" s="145"/>
    </row>
    <row r="30" spans="1:8" x14ac:dyDescent="0.2">
      <c r="A30" s="147"/>
      <c r="B30" s="142"/>
      <c r="C30" s="143"/>
      <c r="D30" s="144"/>
      <c r="E30" s="144"/>
      <c r="F30" s="48"/>
      <c r="G30" s="66"/>
      <c r="H30" s="145"/>
    </row>
    <row r="31" spans="1:8" x14ac:dyDescent="0.2">
      <c r="A31" s="147"/>
      <c r="B31" s="142"/>
      <c r="C31" s="143"/>
      <c r="D31" s="144"/>
      <c r="E31" s="144"/>
      <c r="F31" s="48"/>
      <c r="G31" s="66"/>
      <c r="H31" s="145"/>
    </row>
    <row r="32" spans="1:8" x14ac:dyDescent="0.2">
      <c r="A32" s="147"/>
      <c r="B32" s="142"/>
      <c r="C32" s="143"/>
      <c r="D32" s="144"/>
      <c r="E32" s="144"/>
      <c r="F32" s="48"/>
      <c r="G32" s="66"/>
      <c r="H32" s="68"/>
    </row>
    <row r="33" spans="1:8" x14ac:dyDescent="0.2">
      <c r="A33" s="147"/>
      <c r="B33" s="142"/>
      <c r="C33" s="143"/>
      <c r="D33" s="144"/>
      <c r="E33" s="144"/>
      <c r="F33" s="48"/>
      <c r="G33" s="66"/>
      <c r="H33" s="66"/>
    </row>
    <row r="34" spans="1:8" x14ac:dyDescent="0.2">
      <c r="F34" s="229" t="s">
        <v>123</v>
      </c>
      <c r="G34" s="77">
        <f>SUM(G5:G33)</f>
        <v>18</v>
      </c>
      <c r="H34" s="77">
        <f>SUM(H7:H33)</f>
        <v>12</v>
      </c>
    </row>
    <row r="35" spans="1:8" x14ac:dyDescent="0.2">
      <c r="F35" s="62"/>
      <c r="G35" s="234"/>
      <c r="H35" s="234"/>
    </row>
    <row r="36" spans="1:8" ht="14.25" x14ac:dyDescent="0.2">
      <c r="F36" s="1153" t="s">
        <v>8</v>
      </c>
      <c r="G36" s="1154"/>
      <c r="H36" s="84">
        <f>G34-H34</f>
        <v>6</v>
      </c>
    </row>
  </sheetData>
  <mergeCells count="5">
    <mergeCell ref="F36:G36"/>
    <mergeCell ref="J1:J3"/>
    <mergeCell ref="C1:H5"/>
    <mergeCell ref="B8:C8"/>
    <mergeCell ref="B9:C9"/>
  </mergeCells>
  <hyperlinks>
    <hyperlink ref="J1:J3" location="'ANA SAYFA'!A1" display="ANA SAYFA"/>
  </hyperlinks>
  <pageMargins left="0.7" right="0.7" top="0.75" bottom="0.75" header="0.3" footer="0.3"/>
  <pageSetup paperSize="9" scale="53"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zoomScaleNormal="100" workbookViewId="0">
      <selection activeCell="J1" sqref="J1:J3"/>
    </sheetView>
  </sheetViews>
  <sheetFormatPr defaultColWidth="9.140625" defaultRowHeight="12.75" x14ac:dyDescent="0.2"/>
  <cols>
    <col min="1" max="1" width="18.140625" style="82" bestFit="1" customWidth="1"/>
    <col min="2" max="2" width="26.85546875" style="82" bestFit="1" customWidth="1"/>
    <col min="3" max="3" width="27.28515625" style="82" bestFit="1" customWidth="1"/>
    <col min="4" max="5" width="9.42578125" style="82" customWidth="1"/>
    <col min="6" max="6" width="19.42578125" style="82" bestFit="1" customWidth="1"/>
    <col min="7" max="7" width="14.42578125" style="82" bestFit="1" customWidth="1"/>
    <col min="8" max="8" width="12.7109375" style="82" bestFit="1" customWidth="1"/>
    <col min="9" max="9" width="4.5703125" style="82" customWidth="1"/>
    <col min="10" max="10" width="12.140625" style="82" customWidth="1"/>
    <col min="11" max="16384" width="9.140625" style="82"/>
  </cols>
  <sheetData>
    <row r="1" spans="1:11" ht="15.75" customHeight="1" x14ac:dyDescent="0.2">
      <c r="A1" s="29" t="s">
        <v>135</v>
      </c>
      <c r="B1" s="188" t="str">
        <f>'ANA SAYFA'!B43</f>
        <v>ORHAN ÇETİN</v>
      </c>
      <c r="C1" s="1166" t="s">
        <v>136</v>
      </c>
      <c r="D1" s="1166"/>
      <c r="E1" s="1166"/>
      <c r="F1" s="1166"/>
      <c r="G1" s="1166"/>
      <c r="H1" s="1166"/>
      <c r="I1" s="668"/>
      <c r="J1" s="1183" t="s">
        <v>712</v>
      </c>
      <c r="K1" s="30"/>
    </row>
    <row r="2" spans="1:11" ht="15.75" customHeight="1" x14ac:dyDescent="0.2">
      <c r="A2" s="29" t="s">
        <v>137</v>
      </c>
      <c r="B2" s="154">
        <f>'ANA SAYFA'!D43</f>
        <v>26288388982</v>
      </c>
      <c r="C2" s="1166"/>
      <c r="D2" s="1166"/>
      <c r="E2" s="1166"/>
      <c r="F2" s="1166"/>
      <c r="G2" s="1166"/>
      <c r="H2" s="1166"/>
      <c r="I2" s="668"/>
      <c r="J2" s="1184"/>
      <c r="K2" s="30"/>
    </row>
    <row r="3" spans="1:11" ht="15.75" customHeight="1" thickBot="1" x14ac:dyDescent="0.25">
      <c r="A3" s="29" t="s">
        <v>131</v>
      </c>
      <c r="B3" s="83" t="str">
        <f>'ANA SAYFA'!C43</f>
        <v>ROK OPERATÖR</v>
      </c>
      <c r="C3" s="1166"/>
      <c r="D3" s="1166"/>
      <c r="E3" s="1166"/>
      <c r="F3" s="1166"/>
      <c r="G3" s="1166"/>
      <c r="H3" s="1166"/>
      <c r="I3" s="668"/>
      <c r="J3" s="1185"/>
      <c r="K3" s="30"/>
    </row>
    <row r="4" spans="1:11" ht="15.75" customHeight="1" x14ac:dyDescent="0.2">
      <c r="A4" s="29" t="s">
        <v>120</v>
      </c>
      <c r="B4" s="83">
        <f>'ANA SAYFA'!E43</f>
        <v>43516</v>
      </c>
      <c r="C4" s="1166"/>
      <c r="D4" s="1166"/>
      <c r="E4" s="1166"/>
      <c r="F4" s="1166"/>
      <c r="G4" s="1166"/>
      <c r="H4" s="1166"/>
      <c r="I4" s="668"/>
      <c r="J4" s="670"/>
      <c r="K4" s="30"/>
    </row>
    <row r="5" spans="1:11" ht="15.75" customHeight="1" x14ac:dyDescent="0.2">
      <c r="A5" s="29" t="s">
        <v>130</v>
      </c>
      <c r="B5" s="83">
        <f>'ANA SAYFA'!F43</f>
        <v>25821</v>
      </c>
      <c r="C5" s="1166"/>
      <c r="D5" s="1166"/>
      <c r="E5" s="1166"/>
      <c r="F5" s="1166"/>
      <c r="G5" s="1166"/>
      <c r="H5" s="1166"/>
      <c r="I5" s="668"/>
      <c r="J5" s="699"/>
      <c r="K5" s="699"/>
    </row>
    <row r="6" spans="1:11" ht="31.5" x14ac:dyDescent="0.2">
      <c r="A6" s="69" t="s">
        <v>0</v>
      </c>
      <c r="B6" s="70" t="s">
        <v>1</v>
      </c>
      <c r="C6" s="69" t="s">
        <v>2</v>
      </c>
      <c r="D6" s="71" t="s">
        <v>133</v>
      </c>
      <c r="E6" s="71" t="s">
        <v>4</v>
      </c>
      <c r="F6" s="71" t="s">
        <v>7</v>
      </c>
      <c r="G6" s="71" t="s">
        <v>6</v>
      </c>
      <c r="H6" s="71" t="s">
        <v>16</v>
      </c>
      <c r="I6" s="34"/>
      <c r="J6" s="699"/>
      <c r="K6" s="699"/>
    </row>
    <row r="7" spans="1:11" x14ac:dyDescent="0.2">
      <c r="A7" s="139"/>
      <c r="B7" s="155">
        <v>43918</v>
      </c>
      <c r="C7" s="158">
        <v>43959</v>
      </c>
      <c r="D7" s="168">
        <v>0.33333333333333331</v>
      </c>
      <c r="E7" s="168">
        <v>0.33333333333333331</v>
      </c>
      <c r="F7" s="261" t="s">
        <v>75</v>
      </c>
      <c r="G7" s="191">
        <v>14</v>
      </c>
      <c r="H7" s="264">
        <v>35</v>
      </c>
      <c r="I7" s="49"/>
      <c r="J7" s="30"/>
      <c r="K7" s="30"/>
    </row>
    <row r="8" spans="1:11" x14ac:dyDescent="0.2">
      <c r="A8" s="139"/>
      <c r="B8" s="155">
        <v>43964</v>
      </c>
      <c r="C8" s="156">
        <v>43981</v>
      </c>
      <c r="D8" s="168">
        <v>0.33333333333333331</v>
      </c>
      <c r="E8" s="168">
        <v>0.33333333333333331</v>
      </c>
      <c r="F8" s="262" t="s">
        <v>546</v>
      </c>
      <c r="G8" s="191">
        <v>20</v>
      </c>
      <c r="H8" s="252">
        <v>12.5</v>
      </c>
      <c r="I8" s="49"/>
      <c r="J8" s="30"/>
      <c r="K8" s="30"/>
    </row>
    <row r="9" spans="1:11" x14ac:dyDescent="0.2">
      <c r="A9" s="141"/>
      <c r="B9" s="155">
        <v>44039</v>
      </c>
      <c r="C9" s="156">
        <v>44048</v>
      </c>
      <c r="D9" s="168">
        <v>800</v>
      </c>
      <c r="E9" s="168">
        <v>0.33333333333333331</v>
      </c>
      <c r="F9" s="262" t="s">
        <v>547</v>
      </c>
      <c r="G9" s="191">
        <v>20</v>
      </c>
      <c r="H9" s="252">
        <v>1</v>
      </c>
      <c r="I9" s="49"/>
      <c r="J9" s="530">
        <v>45626</v>
      </c>
      <c r="K9" s="30" t="s">
        <v>659</v>
      </c>
    </row>
    <row r="10" spans="1:11" x14ac:dyDescent="0.2">
      <c r="A10" s="141"/>
      <c r="B10" s="155">
        <v>44270</v>
      </c>
      <c r="C10" s="158">
        <v>44293</v>
      </c>
      <c r="D10" s="144">
        <v>0.33333333333333331</v>
      </c>
      <c r="E10" s="144">
        <v>0.33333333333333331</v>
      </c>
      <c r="F10" s="144" t="s">
        <v>548</v>
      </c>
      <c r="G10" s="145">
        <v>20</v>
      </c>
      <c r="H10" s="264">
        <v>20</v>
      </c>
      <c r="I10" s="49"/>
      <c r="J10" s="30"/>
      <c r="K10" s="30"/>
    </row>
    <row r="11" spans="1:11" x14ac:dyDescent="0.2">
      <c r="A11" s="141"/>
      <c r="B11" s="245">
        <v>44390</v>
      </c>
      <c r="C11" s="246">
        <v>44404</v>
      </c>
      <c r="D11" s="144">
        <v>0.33333333333333331</v>
      </c>
      <c r="E11" s="144">
        <v>0.33333333333333331</v>
      </c>
      <c r="F11" s="144" t="s">
        <v>549</v>
      </c>
      <c r="G11" s="145">
        <v>20</v>
      </c>
      <c r="H11" s="252">
        <v>5</v>
      </c>
      <c r="I11" s="49"/>
      <c r="J11" s="30"/>
      <c r="K11" s="30"/>
    </row>
    <row r="12" spans="1:11" x14ac:dyDescent="0.2">
      <c r="A12" s="141"/>
      <c r="B12" s="142" t="s">
        <v>515</v>
      </c>
      <c r="C12" s="143" t="s">
        <v>502</v>
      </c>
      <c r="D12" s="144">
        <v>0.33333333333333331</v>
      </c>
      <c r="E12" s="144">
        <v>0.33333333333333331</v>
      </c>
      <c r="F12" s="144" t="s">
        <v>549</v>
      </c>
      <c r="G12" s="145">
        <v>20</v>
      </c>
      <c r="H12" s="242">
        <v>5</v>
      </c>
    </row>
    <row r="13" spans="1:11" x14ac:dyDescent="0.2">
      <c r="A13" s="141"/>
      <c r="B13" s="142"/>
      <c r="C13" s="143"/>
      <c r="D13" s="144"/>
      <c r="E13" s="144"/>
      <c r="F13" s="722" t="s">
        <v>764</v>
      </c>
      <c r="G13" s="145">
        <v>20</v>
      </c>
      <c r="H13" s="242"/>
    </row>
    <row r="14" spans="1:11" s="699" customFormat="1" x14ac:dyDescent="0.2">
      <c r="A14" s="719"/>
      <c r="B14" s="720"/>
      <c r="C14" s="721"/>
      <c r="D14" s="722"/>
      <c r="E14" s="722"/>
      <c r="F14" s="722"/>
      <c r="G14" s="723"/>
      <c r="H14" s="758"/>
    </row>
    <row r="15" spans="1:11" s="699" customFormat="1" x14ac:dyDescent="0.2">
      <c r="A15" s="719"/>
      <c r="B15" s="720"/>
      <c r="C15" s="721"/>
      <c r="D15" s="722"/>
      <c r="E15" s="722"/>
      <c r="F15" s="722"/>
      <c r="G15" s="723"/>
      <c r="H15" s="758"/>
    </row>
    <row r="16" spans="1:11" s="699" customFormat="1" x14ac:dyDescent="0.2">
      <c r="A16" s="719"/>
      <c r="B16" s="720"/>
      <c r="C16" s="721"/>
      <c r="D16" s="722"/>
      <c r="E16" s="722"/>
      <c r="F16" s="722"/>
      <c r="G16" s="723"/>
      <c r="H16" s="758"/>
    </row>
    <row r="17" spans="1:8" s="699" customFormat="1" x14ac:dyDescent="0.2">
      <c r="A17" s="719"/>
      <c r="B17" s="720"/>
      <c r="C17" s="721"/>
      <c r="D17" s="722"/>
      <c r="E17" s="722"/>
      <c r="F17" s="722"/>
      <c r="G17" s="723"/>
      <c r="H17" s="758"/>
    </row>
    <row r="18" spans="1:8" s="699" customFormat="1" x14ac:dyDescent="0.2">
      <c r="A18" s="719"/>
      <c r="B18" s="720"/>
      <c r="C18" s="721"/>
      <c r="D18" s="722"/>
      <c r="E18" s="722"/>
      <c r="F18" s="722"/>
      <c r="G18" s="723"/>
      <c r="H18" s="758"/>
    </row>
    <row r="19" spans="1:8" s="699" customFormat="1" x14ac:dyDescent="0.2">
      <c r="A19" s="719"/>
      <c r="B19" s="720"/>
      <c r="C19" s="721"/>
      <c r="D19" s="722"/>
      <c r="E19" s="722"/>
      <c r="F19" s="722"/>
      <c r="G19" s="723"/>
      <c r="H19" s="758"/>
    </row>
    <row r="20" spans="1:8" s="699" customFormat="1" x14ac:dyDescent="0.2">
      <c r="A20" s="719"/>
      <c r="B20" s="720"/>
      <c r="C20" s="721"/>
      <c r="D20" s="722"/>
      <c r="E20" s="722"/>
      <c r="F20" s="722"/>
      <c r="G20" s="723"/>
      <c r="H20" s="758"/>
    </row>
    <row r="21" spans="1:8" x14ac:dyDescent="0.2">
      <c r="A21" s="141"/>
      <c r="B21" s="142"/>
      <c r="C21" s="143"/>
      <c r="D21" s="144"/>
      <c r="E21" s="144"/>
      <c r="F21" s="144"/>
      <c r="G21" s="145"/>
      <c r="H21" s="242"/>
    </row>
    <row r="22" spans="1:8" x14ac:dyDescent="0.2">
      <c r="A22" s="141"/>
      <c r="B22" s="142"/>
      <c r="C22" s="143"/>
      <c r="D22" s="144"/>
      <c r="E22" s="144"/>
      <c r="F22" s="144"/>
      <c r="G22" s="145"/>
      <c r="H22" s="242"/>
    </row>
    <row r="23" spans="1:8" x14ac:dyDescent="0.2">
      <c r="A23" s="141"/>
      <c r="B23" s="142"/>
      <c r="C23" s="143"/>
      <c r="D23" s="144"/>
      <c r="E23" s="144"/>
      <c r="F23" s="144"/>
      <c r="G23" s="145"/>
      <c r="H23" s="242"/>
    </row>
    <row r="24" spans="1:8" x14ac:dyDescent="0.2">
      <c r="A24" s="141"/>
      <c r="B24" s="142"/>
      <c r="C24" s="143"/>
      <c r="D24" s="144"/>
      <c r="E24" s="144"/>
      <c r="F24" s="253"/>
      <c r="G24" s="145"/>
      <c r="H24" s="145"/>
    </row>
    <row r="25" spans="1:8" x14ac:dyDescent="0.2">
      <c r="A25" s="141"/>
      <c r="B25" s="142"/>
      <c r="C25" s="143"/>
      <c r="D25" s="144"/>
      <c r="E25" s="144"/>
      <c r="F25" s="253"/>
      <c r="G25" s="145"/>
      <c r="H25" s="145"/>
    </row>
    <row r="26" spans="1:8" x14ac:dyDescent="0.2">
      <c r="A26" s="141"/>
      <c r="B26" s="142"/>
      <c r="C26" s="143"/>
      <c r="D26" s="144"/>
      <c r="E26" s="144"/>
      <c r="F26" s="263"/>
      <c r="G26" s="145"/>
      <c r="H26" s="145"/>
    </row>
    <row r="27" spans="1:8" x14ac:dyDescent="0.2">
      <c r="A27" s="141"/>
      <c r="B27" s="142"/>
      <c r="C27" s="143"/>
      <c r="D27" s="144"/>
      <c r="E27" s="144"/>
      <c r="F27" s="263"/>
      <c r="G27" s="145"/>
      <c r="H27" s="242"/>
    </row>
    <row r="28" spans="1:8" x14ac:dyDescent="0.2">
      <c r="A28" s="146"/>
      <c r="B28" s="142"/>
      <c r="C28" s="143"/>
      <c r="D28" s="144"/>
      <c r="E28" s="144"/>
      <c r="F28" s="263"/>
      <c r="G28" s="145"/>
      <c r="H28" s="242"/>
    </row>
    <row r="29" spans="1:8" x14ac:dyDescent="0.2">
      <c r="A29" s="55"/>
      <c r="B29" s="142"/>
      <c r="C29" s="143"/>
      <c r="D29" s="144"/>
      <c r="E29" s="144"/>
      <c r="F29" s="263"/>
      <c r="G29" s="145"/>
      <c r="H29" s="145"/>
    </row>
    <row r="30" spans="1:8" x14ac:dyDescent="0.2">
      <c r="A30" s="55"/>
      <c r="B30" s="142"/>
      <c r="C30" s="143"/>
      <c r="D30" s="144"/>
      <c r="E30" s="144"/>
      <c r="F30" s="263"/>
      <c r="G30" s="145"/>
      <c r="H30" s="145"/>
    </row>
    <row r="31" spans="1:8" x14ac:dyDescent="0.2">
      <c r="A31" s="55"/>
      <c r="B31" s="142"/>
      <c r="C31" s="143"/>
      <c r="D31" s="144"/>
      <c r="E31" s="144"/>
      <c r="F31" s="263"/>
      <c r="G31" s="145"/>
      <c r="H31" s="145"/>
    </row>
    <row r="32" spans="1:8" x14ac:dyDescent="0.2">
      <c r="A32" s="55"/>
      <c r="B32" s="142"/>
      <c r="C32" s="143"/>
      <c r="D32" s="144"/>
      <c r="E32" s="144"/>
      <c r="F32" s="140"/>
      <c r="G32" s="145"/>
      <c r="H32" s="145"/>
    </row>
    <row r="33" spans="1:8" x14ac:dyDescent="0.2">
      <c r="A33" s="55"/>
      <c r="B33" s="142"/>
      <c r="C33" s="143"/>
      <c r="D33" s="144"/>
      <c r="E33" s="144"/>
      <c r="F33" s="140"/>
      <c r="G33" s="145"/>
      <c r="H33" s="145"/>
    </row>
    <row r="34" spans="1:8" x14ac:dyDescent="0.2">
      <c r="A34" s="55"/>
      <c r="B34" s="142"/>
      <c r="C34" s="143"/>
      <c r="D34" s="144"/>
      <c r="E34" s="144"/>
      <c r="F34" s="140"/>
      <c r="G34" s="145"/>
      <c r="H34" s="259"/>
    </row>
    <row r="35" spans="1:8" x14ac:dyDescent="0.2">
      <c r="A35" s="55"/>
      <c r="B35" s="142"/>
      <c r="C35" s="143"/>
      <c r="D35" s="144"/>
      <c r="E35" s="144"/>
      <c r="F35" s="140"/>
      <c r="G35" s="145"/>
      <c r="H35" s="145"/>
    </row>
    <row r="36" spans="1:8" x14ac:dyDescent="0.2">
      <c r="A36" s="55"/>
      <c r="B36" s="142"/>
      <c r="C36" s="143"/>
      <c r="D36" s="144"/>
      <c r="E36" s="144"/>
      <c r="F36" s="140"/>
      <c r="G36" s="145"/>
      <c r="H36" s="145"/>
    </row>
    <row r="37" spans="1:8" x14ac:dyDescent="0.2">
      <c r="A37" s="147"/>
      <c r="B37" s="142"/>
      <c r="C37" s="143"/>
      <c r="D37" s="144"/>
      <c r="E37" s="144"/>
      <c r="F37" s="48"/>
      <c r="G37" s="66"/>
      <c r="H37" s="145"/>
    </row>
    <row r="38" spans="1:8" x14ac:dyDescent="0.2">
      <c r="A38" s="147"/>
      <c r="B38" s="142"/>
      <c r="C38" s="143"/>
      <c r="D38" s="144"/>
      <c r="E38" s="144"/>
      <c r="F38" s="48"/>
      <c r="G38" s="66"/>
      <c r="H38" s="145"/>
    </row>
    <row r="39" spans="1:8" x14ac:dyDescent="0.2">
      <c r="A39" s="147"/>
      <c r="B39" s="142"/>
      <c r="C39" s="143"/>
      <c r="D39" s="144"/>
      <c r="E39" s="144"/>
      <c r="F39" s="48"/>
      <c r="G39" s="66"/>
      <c r="H39" s="68"/>
    </row>
    <row r="40" spans="1:8" x14ac:dyDescent="0.2">
      <c r="A40" s="147"/>
      <c r="B40" s="142"/>
      <c r="C40" s="143"/>
      <c r="D40" s="144"/>
      <c r="E40" s="144"/>
      <c r="F40" s="48"/>
      <c r="G40" s="66"/>
      <c r="H40" s="66"/>
    </row>
    <row r="41" spans="1:8" x14ac:dyDescent="0.2">
      <c r="F41" s="229" t="s">
        <v>123</v>
      </c>
      <c r="G41" s="77">
        <f>SUM(G7:G40)</f>
        <v>134</v>
      </c>
      <c r="H41" s="77">
        <f>SUM(H7:H40)</f>
        <v>78.5</v>
      </c>
    </row>
    <row r="42" spans="1:8" x14ac:dyDescent="0.2">
      <c r="F42" s="62"/>
      <c r="G42" s="63"/>
      <c r="H42" s="63"/>
    </row>
    <row r="43" spans="1:8" ht="14.25" x14ac:dyDescent="0.2">
      <c r="F43" s="1153" t="s">
        <v>8</v>
      </c>
      <c r="G43" s="1154"/>
      <c r="H43" s="84">
        <f>G41-H41</f>
        <v>55.5</v>
      </c>
    </row>
  </sheetData>
  <mergeCells count="3">
    <mergeCell ref="F43:G43"/>
    <mergeCell ref="C1:H5"/>
    <mergeCell ref="J1:J3"/>
  </mergeCells>
  <hyperlinks>
    <hyperlink ref="J1:J3" location="'ANA SAYFA'!A1" display="ANA SAYFA"/>
  </hyperlinks>
  <pageMargins left="0.7" right="0.12" top="0.13" bottom="0.75" header="0.12" footer="0.3"/>
  <pageSetup paperSize="9" scale="69" orientation="portrait" r:id="rId1"/>
  <colBreaks count="1" manualBreakCount="1">
    <brk id="8" max="1048575"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2"/>
  <sheetViews>
    <sheetView zoomScaleNormal="100" workbookViewId="0">
      <selection activeCell="J1" sqref="J1:J3"/>
    </sheetView>
  </sheetViews>
  <sheetFormatPr defaultColWidth="9.140625" defaultRowHeight="12.75" x14ac:dyDescent="0.2"/>
  <cols>
    <col min="1" max="1" width="18.140625" style="82" bestFit="1" customWidth="1"/>
    <col min="2" max="2" width="27.28515625" style="82" bestFit="1" customWidth="1"/>
    <col min="3" max="3" width="27.140625" style="82" bestFit="1" customWidth="1"/>
    <col min="4" max="5" width="9.5703125" style="82" customWidth="1"/>
    <col min="6" max="6" width="20.140625" style="82" bestFit="1" customWidth="1"/>
    <col min="7" max="8" width="13" style="82" customWidth="1"/>
    <col min="9" max="9" width="3.5703125" style="82" customWidth="1"/>
    <col min="10" max="10" width="11" style="82" customWidth="1"/>
    <col min="11" max="16384" width="9.140625" style="82"/>
  </cols>
  <sheetData>
    <row r="1" spans="1:12" ht="15.75" customHeight="1" x14ac:dyDescent="0.2">
      <c r="A1" s="29" t="s">
        <v>135</v>
      </c>
      <c r="B1" s="188" t="str">
        <f>'ANA SAYFA'!B44</f>
        <v>ORHAN TUĞLU</v>
      </c>
      <c r="C1" s="1166" t="s">
        <v>136</v>
      </c>
      <c r="D1" s="1166"/>
      <c r="E1" s="1166"/>
      <c r="F1" s="1166"/>
      <c r="G1" s="1166"/>
      <c r="H1" s="1166"/>
      <c r="I1" s="28"/>
      <c r="J1" s="1183" t="s">
        <v>712</v>
      </c>
      <c r="K1" s="30"/>
    </row>
    <row r="2" spans="1:12" ht="15.75" customHeight="1" x14ac:dyDescent="0.2">
      <c r="A2" s="29" t="s">
        <v>137</v>
      </c>
      <c r="B2" s="154">
        <f>'ANA SAYFA'!D44</f>
        <v>32540233440</v>
      </c>
      <c r="C2" s="1166"/>
      <c r="D2" s="1166"/>
      <c r="E2" s="1166"/>
      <c r="F2" s="1166"/>
      <c r="G2" s="1166"/>
      <c r="H2" s="1166"/>
      <c r="I2" s="28"/>
      <c r="J2" s="1184"/>
      <c r="K2" s="30"/>
    </row>
    <row r="3" spans="1:12" ht="15.75" customHeight="1" thickBot="1" x14ac:dyDescent="0.25">
      <c r="A3" s="29" t="s">
        <v>131</v>
      </c>
      <c r="B3" s="153" t="str">
        <f>'ANA SAYFA'!C44</f>
        <v>FORMEN</v>
      </c>
      <c r="C3" s="1166"/>
      <c r="D3" s="1166"/>
      <c r="E3" s="1166"/>
      <c r="F3" s="1166"/>
      <c r="G3" s="1166"/>
      <c r="H3" s="1166"/>
      <c r="I3" s="28"/>
      <c r="J3" s="1185"/>
      <c r="K3" s="30"/>
    </row>
    <row r="4" spans="1:12" ht="15.75" customHeight="1" x14ac:dyDescent="0.2">
      <c r="A4" s="29" t="s">
        <v>120</v>
      </c>
      <c r="B4" s="83">
        <f>'ANA SAYFA'!E44</f>
        <v>44793</v>
      </c>
      <c r="C4" s="1166"/>
      <c r="D4" s="1166"/>
      <c r="E4" s="1166"/>
      <c r="F4" s="1166"/>
      <c r="G4" s="1166"/>
      <c r="H4" s="1166"/>
      <c r="I4" s="28"/>
      <c r="J4" s="30"/>
      <c r="K4" s="30"/>
    </row>
    <row r="5" spans="1:12" ht="15.75" customHeight="1" x14ac:dyDescent="0.2">
      <c r="A5" s="29" t="s">
        <v>130</v>
      </c>
      <c r="B5" s="83">
        <f>'ANA SAYFA'!F44</f>
        <v>30082</v>
      </c>
      <c r="C5" s="1166"/>
      <c r="D5" s="1166"/>
      <c r="E5" s="1166"/>
      <c r="F5" s="1166"/>
      <c r="G5" s="1166"/>
      <c r="H5" s="1166"/>
      <c r="I5" s="28"/>
      <c r="J5" s="699"/>
      <c r="K5" s="699"/>
    </row>
    <row r="6" spans="1:12" ht="31.5" x14ac:dyDescent="0.2">
      <c r="A6" s="69" t="s">
        <v>0</v>
      </c>
      <c r="B6" s="70" t="s">
        <v>1</v>
      </c>
      <c r="C6" s="69" t="s">
        <v>2</v>
      </c>
      <c r="D6" s="71" t="s">
        <v>133</v>
      </c>
      <c r="E6" s="71" t="s">
        <v>4</v>
      </c>
      <c r="F6" s="71" t="s">
        <v>7</v>
      </c>
      <c r="G6" s="71" t="s">
        <v>6</v>
      </c>
      <c r="H6" s="71" t="s">
        <v>16</v>
      </c>
      <c r="I6" s="34"/>
      <c r="J6" s="699"/>
      <c r="K6" s="699"/>
    </row>
    <row r="7" spans="1:12" x14ac:dyDescent="0.2">
      <c r="A7" s="139"/>
      <c r="B7" s="142">
        <v>44821</v>
      </c>
      <c r="C7" s="143">
        <v>44824</v>
      </c>
      <c r="D7" s="144">
        <v>0.33333333333333331</v>
      </c>
      <c r="E7" s="144" t="s">
        <v>311</v>
      </c>
      <c r="F7" s="683" t="s">
        <v>462</v>
      </c>
      <c r="G7" s="145">
        <v>14</v>
      </c>
      <c r="H7" s="237">
        <v>2</v>
      </c>
      <c r="I7" s="49"/>
      <c r="J7" s="30"/>
      <c r="K7" s="933">
        <v>45790</v>
      </c>
      <c r="L7" s="82" t="s">
        <v>813</v>
      </c>
    </row>
    <row r="8" spans="1:12" x14ac:dyDescent="0.2">
      <c r="A8" s="139"/>
      <c r="B8" s="155">
        <v>45073</v>
      </c>
      <c r="C8" s="156">
        <v>45075</v>
      </c>
      <c r="D8" s="144">
        <v>0.33333333333333331</v>
      </c>
      <c r="E8" s="144">
        <v>0.33333333333333331</v>
      </c>
      <c r="F8" s="683" t="s">
        <v>619</v>
      </c>
      <c r="G8" s="191">
        <v>14</v>
      </c>
      <c r="H8" s="755">
        <v>1</v>
      </c>
      <c r="I8" s="49"/>
      <c r="J8" s="30"/>
      <c r="K8" s="933">
        <v>45791</v>
      </c>
      <c r="L8" s="82" t="s">
        <v>815</v>
      </c>
    </row>
    <row r="9" spans="1:12" x14ac:dyDescent="0.2">
      <c r="A9" s="55"/>
      <c r="B9" s="142">
        <v>45145</v>
      </c>
      <c r="C9" s="142">
        <v>45146</v>
      </c>
      <c r="D9" s="144">
        <v>0.33333333333333331</v>
      </c>
      <c r="E9" s="144">
        <v>0.33333333333333331</v>
      </c>
      <c r="F9" s="683" t="s">
        <v>814</v>
      </c>
      <c r="G9" s="191">
        <v>14</v>
      </c>
      <c r="H9" s="755">
        <v>1</v>
      </c>
    </row>
    <row r="10" spans="1:12" x14ac:dyDescent="0.2">
      <c r="A10" s="55"/>
      <c r="B10" s="142">
        <v>45147</v>
      </c>
      <c r="C10" s="142">
        <v>45148</v>
      </c>
      <c r="D10" s="144">
        <v>0.33333333333333331</v>
      </c>
      <c r="E10" s="144">
        <v>0.33333333333333331</v>
      </c>
      <c r="F10" s="677"/>
      <c r="G10" s="191"/>
      <c r="H10" s="755">
        <v>1</v>
      </c>
    </row>
    <row r="11" spans="1:12" x14ac:dyDescent="0.2">
      <c r="A11" s="55"/>
      <c r="B11" s="142">
        <v>45271</v>
      </c>
      <c r="C11" s="143">
        <v>45272</v>
      </c>
      <c r="D11" s="144">
        <v>0.33333333333333331</v>
      </c>
      <c r="E11" s="144">
        <v>0.33333333333333331</v>
      </c>
      <c r="F11" s="687"/>
      <c r="G11" s="145"/>
      <c r="H11" s="858">
        <v>1</v>
      </c>
    </row>
    <row r="12" spans="1:12" x14ac:dyDescent="0.2">
      <c r="A12" s="55"/>
      <c r="B12" s="142">
        <v>45463</v>
      </c>
      <c r="C12" s="143">
        <v>45465</v>
      </c>
      <c r="D12" s="144"/>
      <c r="E12" s="144"/>
      <c r="F12" s="687"/>
      <c r="G12" s="145"/>
      <c r="H12" s="755">
        <v>3</v>
      </c>
    </row>
    <row r="13" spans="1:12" x14ac:dyDescent="0.2">
      <c r="A13" s="55"/>
      <c r="B13" s="142">
        <v>45556</v>
      </c>
      <c r="C13" s="143">
        <v>45556</v>
      </c>
      <c r="D13" s="144"/>
      <c r="E13" s="144"/>
      <c r="F13" s="687"/>
      <c r="G13" s="145"/>
      <c r="H13" s="237">
        <v>1</v>
      </c>
    </row>
    <row r="14" spans="1:12" s="699" customFormat="1" x14ac:dyDescent="0.2">
      <c r="A14" s="685"/>
      <c r="B14" s="720">
        <v>45927</v>
      </c>
      <c r="C14" s="721">
        <v>45927</v>
      </c>
      <c r="D14" s="722"/>
      <c r="E14" s="722"/>
      <c r="F14" s="687"/>
      <c r="G14" s="723"/>
      <c r="H14" s="237">
        <v>1</v>
      </c>
    </row>
    <row r="15" spans="1:12" s="699" customFormat="1" x14ac:dyDescent="0.2">
      <c r="A15" s="685"/>
      <c r="B15" s="720">
        <v>45934</v>
      </c>
      <c r="C15" s="721">
        <v>45935</v>
      </c>
      <c r="D15" s="722"/>
      <c r="E15" s="722"/>
      <c r="F15" s="687"/>
      <c r="G15" s="723"/>
      <c r="H15" s="237">
        <v>1</v>
      </c>
    </row>
    <row r="16" spans="1:12" s="699" customFormat="1" x14ac:dyDescent="0.2">
      <c r="A16" s="685"/>
      <c r="B16" s="720">
        <v>46099</v>
      </c>
      <c r="C16" s="721">
        <v>46105</v>
      </c>
      <c r="D16" s="722"/>
      <c r="E16" s="722"/>
      <c r="F16" s="687"/>
      <c r="G16" s="723"/>
      <c r="H16" s="237">
        <v>2</v>
      </c>
    </row>
    <row r="17" spans="1:8" s="699" customFormat="1" x14ac:dyDescent="0.2">
      <c r="A17" s="685"/>
      <c r="B17" s="720">
        <v>46116</v>
      </c>
      <c r="C17" s="721">
        <v>46118</v>
      </c>
      <c r="D17" s="722"/>
      <c r="E17" s="722"/>
      <c r="F17" s="687"/>
      <c r="G17" s="723"/>
      <c r="H17" s="237">
        <v>1</v>
      </c>
    </row>
    <row r="18" spans="1:8" s="699" customFormat="1" x14ac:dyDescent="0.2">
      <c r="A18" s="685"/>
      <c r="B18" s="720">
        <v>46175</v>
      </c>
      <c r="C18" s="721">
        <v>46176</v>
      </c>
      <c r="D18" s="722"/>
      <c r="E18" s="722"/>
      <c r="F18" s="687"/>
      <c r="G18" s="723"/>
      <c r="H18" s="237">
        <v>1</v>
      </c>
    </row>
    <row r="19" spans="1:8" s="699" customFormat="1" x14ac:dyDescent="0.2">
      <c r="A19" s="685"/>
      <c r="B19" s="720"/>
      <c r="C19" s="721"/>
      <c r="D19" s="722"/>
      <c r="E19" s="722"/>
      <c r="F19" s="687"/>
      <c r="G19" s="723"/>
      <c r="H19" s="237"/>
    </row>
    <row r="20" spans="1:8" s="699" customFormat="1" x14ac:dyDescent="0.2">
      <c r="A20" s="685"/>
      <c r="B20" s="720"/>
      <c r="C20" s="721"/>
      <c r="D20" s="722"/>
      <c r="E20" s="722"/>
      <c r="F20" s="687"/>
      <c r="G20" s="723"/>
      <c r="H20" s="237"/>
    </row>
    <row r="21" spans="1:8" s="699" customFormat="1" x14ac:dyDescent="0.2">
      <c r="A21" s="685"/>
      <c r="B21" s="720"/>
      <c r="C21" s="721"/>
      <c r="D21" s="722"/>
      <c r="E21" s="722"/>
      <c r="F21" s="687"/>
      <c r="G21" s="723"/>
      <c r="H21" s="237"/>
    </row>
    <row r="22" spans="1:8" x14ac:dyDescent="0.2">
      <c r="A22" s="55"/>
      <c r="B22" s="142"/>
      <c r="C22" s="143"/>
      <c r="D22" s="144"/>
      <c r="E22" s="144"/>
      <c r="F22" s="687"/>
      <c r="G22" s="145"/>
      <c r="H22" s="237"/>
    </row>
    <row r="23" spans="1:8" x14ac:dyDescent="0.2">
      <c r="A23" s="55"/>
      <c r="B23" s="142"/>
      <c r="C23" s="143"/>
      <c r="D23" s="144"/>
      <c r="E23" s="144"/>
      <c r="F23" s="687"/>
      <c r="G23" s="145"/>
      <c r="H23" s="237"/>
    </row>
    <row r="24" spans="1:8" x14ac:dyDescent="0.2">
      <c r="A24" s="147"/>
      <c r="B24" s="142"/>
      <c r="C24" s="143"/>
      <c r="D24" s="144"/>
      <c r="E24" s="144"/>
      <c r="F24" s="687"/>
      <c r="G24" s="145"/>
      <c r="H24" s="237"/>
    </row>
    <row r="25" spans="1:8" x14ac:dyDescent="0.2">
      <c r="A25" s="147"/>
      <c r="B25" s="142"/>
      <c r="C25" s="143"/>
      <c r="D25" s="144"/>
      <c r="E25" s="144"/>
      <c r="F25" s="687"/>
      <c r="G25" s="145"/>
      <c r="H25" s="755"/>
    </row>
    <row r="26" spans="1:8" x14ac:dyDescent="0.2">
      <c r="A26" s="147"/>
      <c r="B26" s="142"/>
      <c r="C26" s="143"/>
      <c r="D26" s="144"/>
      <c r="E26" s="144"/>
      <c r="F26" s="691"/>
      <c r="G26" s="145"/>
      <c r="H26" s="237"/>
    </row>
    <row r="27" spans="1:8" x14ac:dyDescent="0.2">
      <c r="A27" s="147"/>
      <c r="B27" s="142"/>
      <c r="C27" s="143"/>
      <c r="D27" s="144"/>
      <c r="E27" s="144"/>
      <c r="F27" s="691"/>
      <c r="G27" s="145"/>
      <c r="H27" s="755"/>
    </row>
    <row r="28" spans="1:8" x14ac:dyDescent="0.2">
      <c r="A28" s="147"/>
      <c r="B28" s="142"/>
      <c r="C28" s="143"/>
      <c r="D28" s="144"/>
      <c r="E28" s="144"/>
      <c r="F28" s="683"/>
      <c r="G28" s="145"/>
      <c r="H28" s="237"/>
    </row>
    <row r="29" spans="1:8" x14ac:dyDescent="0.2">
      <c r="A29" s="147"/>
      <c r="B29" s="142"/>
      <c r="C29" s="143"/>
      <c r="D29" s="144"/>
      <c r="E29" s="144"/>
      <c r="F29" s="683"/>
      <c r="G29" s="145"/>
      <c r="H29" s="237"/>
    </row>
    <row r="30" spans="1:8" x14ac:dyDescent="0.2">
      <c r="A30" s="147"/>
      <c r="B30" s="265"/>
      <c r="C30" s="266"/>
      <c r="D30" s="267"/>
      <c r="E30" s="267"/>
      <c r="F30" s="350"/>
      <c r="G30" s="145"/>
      <c r="H30" s="859"/>
    </row>
    <row r="31" spans="1:8" x14ac:dyDescent="0.2">
      <c r="A31" s="147"/>
      <c r="B31" s="142"/>
      <c r="C31" s="143"/>
      <c r="D31" s="144"/>
      <c r="E31" s="144"/>
      <c r="F31" s="860"/>
      <c r="G31" s="145"/>
      <c r="H31" s="237"/>
    </row>
    <row r="32" spans="1:8" x14ac:dyDescent="0.2">
      <c r="A32" s="147"/>
      <c r="B32" s="142"/>
      <c r="C32" s="143"/>
      <c r="D32" s="144"/>
      <c r="E32" s="144"/>
      <c r="F32" s="683"/>
      <c r="G32" s="145"/>
      <c r="H32" s="237"/>
    </row>
    <row r="33" spans="1:8" x14ac:dyDescent="0.2">
      <c r="A33" s="147"/>
      <c r="B33" s="142"/>
      <c r="C33" s="143"/>
      <c r="D33" s="144"/>
      <c r="E33" s="144"/>
      <c r="F33" s="860"/>
      <c r="G33" s="145"/>
      <c r="H33" s="237"/>
    </row>
    <row r="34" spans="1:8" x14ac:dyDescent="0.2">
      <c r="A34" s="147"/>
      <c r="B34" s="142"/>
      <c r="C34" s="143"/>
      <c r="D34" s="144"/>
      <c r="E34" s="144"/>
      <c r="F34" s="860"/>
      <c r="G34" s="145"/>
      <c r="H34" s="237"/>
    </row>
    <row r="35" spans="1:8" x14ac:dyDescent="0.2">
      <c r="A35" s="147"/>
      <c r="B35" s="142"/>
      <c r="C35" s="143"/>
      <c r="D35" s="144"/>
      <c r="E35" s="144"/>
      <c r="F35" s="860"/>
      <c r="G35" s="145"/>
      <c r="H35" s="237"/>
    </row>
    <row r="36" spans="1:8" x14ac:dyDescent="0.2">
      <c r="A36" s="147"/>
      <c r="B36" s="142"/>
      <c r="C36" s="143"/>
      <c r="D36" s="144"/>
      <c r="E36" s="144"/>
      <c r="F36" s="860"/>
      <c r="G36" s="145"/>
      <c r="H36" s="237"/>
    </row>
    <row r="37" spans="1:8" x14ac:dyDescent="0.2">
      <c r="A37" s="147"/>
      <c r="B37" s="142"/>
      <c r="C37" s="143"/>
      <c r="D37" s="144"/>
      <c r="E37" s="144"/>
      <c r="F37" s="683"/>
      <c r="G37" s="145"/>
      <c r="H37" s="237"/>
    </row>
    <row r="38" spans="1:8" x14ac:dyDescent="0.2">
      <c r="A38" s="147"/>
      <c r="B38" s="142"/>
      <c r="C38" s="143"/>
      <c r="D38" s="144"/>
      <c r="E38" s="144"/>
      <c r="F38" s="683"/>
      <c r="G38" s="66"/>
      <c r="H38" s="80"/>
    </row>
    <row r="39" spans="1:8" x14ac:dyDescent="0.2">
      <c r="A39" s="147"/>
      <c r="B39" s="142"/>
      <c r="C39" s="143"/>
      <c r="D39" s="144"/>
      <c r="E39" s="144"/>
      <c r="F39" s="102"/>
      <c r="G39" s="77"/>
      <c r="H39" s="697"/>
    </row>
    <row r="40" spans="1:8" x14ac:dyDescent="0.2">
      <c r="A40" s="269"/>
      <c r="B40" s="270"/>
      <c r="C40" s="271"/>
      <c r="D40" s="272"/>
      <c r="E40" s="272"/>
      <c r="F40" s="229" t="s">
        <v>123</v>
      </c>
      <c r="G40" s="77">
        <f>SUM(G7:G39)</f>
        <v>42</v>
      </c>
      <c r="H40" s="697">
        <f>SUM(H7:H39)</f>
        <v>16</v>
      </c>
    </row>
    <row r="41" spans="1:8" x14ac:dyDescent="0.2">
      <c r="F41" s="62"/>
      <c r="G41" s="63"/>
      <c r="H41" s="63"/>
    </row>
    <row r="42" spans="1:8" ht="14.25" x14ac:dyDescent="0.2">
      <c r="F42" s="1153" t="s">
        <v>8</v>
      </c>
      <c r="G42" s="1154"/>
      <c r="H42" s="84">
        <f>G40-H40</f>
        <v>26</v>
      </c>
    </row>
  </sheetData>
  <mergeCells count="3">
    <mergeCell ref="F42:G42"/>
    <mergeCell ref="J1:J3"/>
    <mergeCell ref="C1:H5"/>
  </mergeCells>
  <hyperlinks>
    <hyperlink ref="J1:J3" location="'ANA SAYFA'!A1" display="ANA SAYFA"/>
  </hyperlinks>
  <pageMargins left="0.7" right="0.12" top="0.28000000000000003" bottom="0.75" header="0.3" footer="0.3"/>
  <pageSetup paperSize="9" scale="6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zoomScale="85" zoomScaleNormal="85" workbookViewId="0">
      <pane ySplit="6" topLeftCell="A7" activePane="bottomLeft" state="frozen"/>
      <selection pane="bottomLeft" activeCell="J1" sqref="J1:J3"/>
    </sheetView>
  </sheetViews>
  <sheetFormatPr defaultColWidth="9.140625" defaultRowHeight="12.75" x14ac:dyDescent="0.2"/>
  <cols>
    <col min="1" max="1" width="18.140625" style="82" bestFit="1" customWidth="1"/>
    <col min="2" max="2" width="29.85546875" style="82" bestFit="1" customWidth="1"/>
    <col min="3" max="3" width="27.140625" style="82" bestFit="1" customWidth="1"/>
    <col min="4" max="5" width="9.28515625" style="82" bestFit="1" customWidth="1"/>
    <col min="6" max="6" width="18.85546875" style="82" bestFit="1" customWidth="1"/>
    <col min="7" max="7" width="15" style="82" bestFit="1" customWidth="1"/>
    <col min="8" max="8" width="14" style="82" customWidth="1"/>
    <col min="9" max="9" width="3.5703125" style="82" customWidth="1"/>
    <col min="10" max="10" width="11" style="82" customWidth="1"/>
    <col min="11" max="11" width="11.85546875" style="82" bestFit="1" customWidth="1"/>
    <col min="12" max="16384" width="9.140625" style="82"/>
  </cols>
  <sheetData>
    <row r="1" spans="1:12" ht="15.75" customHeight="1" x14ac:dyDescent="0.2">
      <c r="A1" s="29" t="s">
        <v>135</v>
      </c>
      <c r="B1" s="188" t="str">
        <f>'ANA SAYFA'!B45</f>
        <v xml:space="preserve">RAMAZAN YAPANOĞLU </v>
      </c>
      <c r="C1" s="1166" t="s">
        <v>136</v>
      </c>
      <c r="D1" s="1166"/>
      <c r="E1" s="1166"/>
      <c r="F1" s="1166"/>
      <c r="G1" s="1166"/>
      <c r="H1" s="1166"/>
      <c r="I1" s="28"/>
      <c r="J1" s="1183" t="s">
        <v>712</v>
      </c>
      <c r="K1" s="30"/>
    </row>
    <row r="2" spans="1:12" ht="15.75" customHeight="1" x14ac:dyDescent="0.2">
      <c r="A2" s="29" t="s">
        <v>137</v>
      </c>
      <c r="B2" s="154">
        <f>'ANA SAYFA'!D45</f>
        <v>30865945482</v>
      </c>
      <c r="C2" s="1166"/>
      <c r="D2" s="1166"/>
      <c r="E2" s="1166"/>
      <c r="F2" s="1166"/>
      <c r="G2" s="1166"/>
      <c r="H2" s="1166"/>
      <c r="I2" s="28"/>
      <c r="J2" s="1184"/>
      <c r="K2" s="30"/>
    </row>
    <row r="3" spans="1:12" ht="15.75" customHeight="1" thickBot="1" x14ac:dyDescent="0.25">
      <c r="A3" s="29" t="s">
        <v>131</v>
      </c>
      <c r="B3" s="153" t="str">
        <f>'ANA SAYFA'!C45</f>
        <v>KAMYON ŞOFÖRÜ</v>
      </c>
      <c r="C3" s="1166"/>
      <c r="D3" s="1166"/>
      <c r="E3" s="1166"/>
      <c r="F3" s="1166"/>
      <c r="G3" s="1166"/>
      <c r="H3" s="1166"/>
      <c r="I3" s="28"/>
      <c r="J3" s="1185"/>
      <c r="K3" s="30"/>
    </row>
    <row r="4" spans="1:12" ht="15.75" customHeight="1" x14ac:dyDescent="0.2">
      <c r="A4" s="29" t="s">
        <v>120</v>
      </c>
      <c r="B4" s="83">
        <f>'ANA SAYFA'!E45</f>
        <v>42118</v>
      </c>
      <c r="C4" s="1166"/>
      <c r="D4" s="1166"/>
      <c r="E4" s="1166"/>
      <c r="F4" s="1166"/>
      <c r="G4" s="1166"/>
      <c r="H4" s="1166"/>
      <c r="I4" s="28"/>
      <c r="J4" s="30"/>
      <c r="K4" s="30"/>
    </row>
    <row r="5" spans="1:12" ht="15.75" customHeight="1" x14ac:dyDescent="0.2">
      <c r="A5" s="29" t="s">
        <v>130</v>
      </c>
      <c r="B5" s="83">
        <f>'ANA SAYFA'!F45</f>
        <v>27488</v>
      </c>
      <c r="C5" s="1166"/>
      <c r="D5" s="1166"/>
      <c r="E5" s="1166"/>
      <c r="F5" s="1166"/>
      <c r="G5" s="1166"/>
      <c r="H5" s="1166"/>
      <c r="I5" s="28"/>
      <c r="J5" s="699"/>
      <c r="K5" s="699"/>
    </row>
    <row r="6" spans="1:12" ht="31.5" x14ac:dyDescent="0.2">
      <c r="A6" s="69" t="s">
        <v>0</v>
      </c>
      <c r="B6" s="70" t="s">
        <v>1</v>
      </c>
      <c r="C6" s="69" t="s">
        <v>2</v>
      </c>
      <c r="D6" s="71" t="s">
        <v>133</v>
      </c>
      <c r="E6" s="71" t="s">
        <v>4</v>
      </c>
      <c r="F6" s="71" t="s">
        <v>7</v>
      </c>
      <c r="G6" s="71" t="s">
        <v>6</v>
      </c>
      <c r="H6" s="71" t="s">
        <v>16</v>
      </c>
      <c r="I6" s="34"/>
      <c r="J6" s="699"/>
      <c r="K6" s="699"/>
    </row>
    <row r="7" spans="1:12" s="243" customFormat="1" ht="27" customHeight="1" x14ac:dyDescent="0.2">
      <c r="A7" s="1255" t="s">
        <v>550</v>
      </c>
      <c r="B7" s="1256"/>
      <c r="C7" s="1256"/>
      <c r="D7" s="1256"/>
      <c r="E7" s="1257"/>
      <c r="F7" s="262"/>
      <c r="G7" s="191">
        <v>20.5</v>
      </c>
      <c r="H7" s="192"/>
      <c r="I7" s="49"/>
      <c r="J7" s="30"/>
      <c r="K7" s="30"/>
    </row>
    <row r="8" spans="1:12" s="243" customFormat="1" ht="15" customHeight="1" x14ac:dyDescent="0.2">
      <c r="A8" s="139"/>
      <c r="B8" s="155">
        <v>45455</v>
      </c>
      <c r="C8" s="156">
        <v>45457</v>
      </c>
      <c r="D8" s="144">
        <v>0.33333333333333331</v>
      </c>
      <c r="E8" s="144">
        <v>0.33333333333333331</v>
      </c>
      <c r="F8" s="683" t="s">
        <v>903</v>
      </c>
      <c r="G8" s="191">
        <v>20</v>
      </c>
      <c r="H8" s="192">
        <v>3</v>
      </c>
      <c r="I8" s="49"/>
      <c r="J8" s="30"/>
      <c r="K8" s="503">
        <v>45443</v>
      </c>
      <c r="L8" s="243" t="s">
        <v>901</v>
      </c>
    </row>
    <row r="9" spans="1:12" s="243" customFormat="1" ht="15" customHeight="1" x14ac:dyDescent="0.2">
      <c r="A9" s="141"/>
      <c r="B9" s="155">
        <v>45675</v>
      </c>
      <c r="C9" s="158">
        <v>45682</v>
      </c>
      <c r="D9" s="722">
        <v>0.33333333333333331</v>
      </c>
      <c r="E9" s="722">
        <v>0.33333333333333331</v>
      </c>
      <c r="F9" s="262" t="s">
        <v>1023</v>
      </c>
      <c r="G9" s="191">
        <v>20</v>
      </c>
      <c r="H9" s="157">
        <v>7</v>
      </c>
      <c r="I9" s="49"/>
      <c r="J9" s="30"/>
      <c r="K9" s="530">
        <v>45809</v>
      </c>
      <c r="L9" s="243" t="s">
        <v>902</v>
      </c>
    </row>
    <row r="10" spans="1:12" s="243" customFormat="1" ht="15" customHeight="1" x14ac:dyDescent="0.2">
      <c r="A10" s="141"/>
      <c r="B10" s="142">
        <v>45684</v>
      </c>
      <c r="C10" s="143">
        <v>45684</v>
      </c>
      <c r="D10" s="722">
        <v>0.33333333333333331</v>
      </c>
      <c r="E10" s="722">
        <v>0.33333333333333331</v>
      </c>
      <c r="F10" s="253"/>
      <c r="G10" s="191"/>
      <c r="H10" s="145">
        <v>1</v>
      </c>
      <c r="I10" s="49"/>
      <c r="J10" s="30"/>
      <c r="K10" s="30"/>
    </row>
    <row r="11" spans="1:12" s="243" customFormat="1" ht="15" customHeight="1" x14ac:dyDescent="0.2">
      <c r="A11" s="146"/>
      <c r="B11" s="142">
        <v>45797</v>
      </c>
      <c r="C11" s="143">
        <v>45797</v>
      </c>
      <c r="D11" s="144">
        <v>0.33333333333333331</v>
      </c>
      <c r="E11" s="144">
        <v>0.33333333333333331</v>
      </c>
      <c r="F11" s="253"/>
      <c r="G11" s="145"/>
      <c r="H11" s="145">
        <v>1</v>
      </c>
      <c r="I11" s="49"/>
      <c r="J11" s="30"/>
      <c r="K11" s="30"/>
    </row>
    <row r="12" spans="1:12" s="243" customFormat="1" ht="15" customHeight="1" x14ac:dyDescent="0.2">
      <c r="A12" s="146"/>
      <c r="B12" s="142">
        <v>45884</v>
      </c>
      <c r="C12" s="143">
        <v>45895</v>
      </c>
      <c r="D12" s="144">
        <v>0.33333333333333331</v>
      </c>
      <c r="E12" s="144">
        <v>0.33333333333333331</v>
      </c>
      <c r="F12" s="253"/>
      <c r="G12" s="145"/>
      <c r="H12" s="145">
        <v>9</v>
      </c>
      <c r="I12" s="49"/>
      <c r="J12" s="30"/>
      <c r="K12" s="30"/>
    </row>
    <row r="13" spans="1:12" s="243" customFormat="1" ht="15" customHeight="1" x14ac:dyDescent="0.2">
      <c r="A13" s="236"/>
      <c r="B13" s="142">
        <v>45955</v>
      </c>
      <c r="C13" s="143">
        <v>45957</v>
      </c>
      <c r="D13" s="144"/>
      <c r="E13" s="144"/>
      <c r="F13" s="253"/>
      <c r="G13" s="145"/>
      <c r="H13" s="145">
        <v>1</v>
      </c>
      <c r="I13" s="49"/>
      <c r="J13" s="30"/>
      <c r="K13" s="30"/>
    </row>
    <row r="14" spans="1:12" s="243" customFormat="1" ht="15" customHeight="1" x14ac:dyDescent="0.2">
      <c r="A14" s="236"/>
      <c r="B14" s="142">
        <v>46042</v>
      </c>
      <c r="C14" s="143">
        <v>46055</v>
      </c>
      <c r="D14" s="144"/>
      <c r="E14" s="144"/>
      <c r="F14" s="253"/>
      <c r="G14" s="145"/>
      <c r="H14" s="145">
        <v>11</v>
      </c>
      <c r="I14" s="49"/>
      <c r="J14" s="30"/>
      <c r="K14" s="30"/>
    </row>
    <row r="15" spans="1:12" s="243" customFormat="1" ht="15" customHeight="1" x14ac:dyDescent="0.2">
      <c r="A15" s="147"/>
      <c r="B15" s="142">
        <v>46130</v>
      </c>
      <c r="C15" s="143">
        <v>46132</v>
      </c>
      <c r="D15" s="144"/>
      <c r="E15" s="144"/>
      <c r="F15" s="455"/>
      <c r="G15" s="145"/>
      <c r="H15" s="145">
        <v>1</v>
      </c>
      <c r="I15" s="49"/>
      <c r="J15" s="30"/>
      <c r="K15" s="30"/>
    </row>
    <row r="16" spans="1:12" s="243" customFormat="1" ht="15" customHeight="1" x14ac:dyDescent="0.2">
      <c r="A16" s="147"/>
      <c r="B16" s="142">
        <v>46165</v>
      </c>
      <c r="C16" s="143">
        <v>46174</v>
      </c>
      <c r="D16" s="144"/>
      <c r="E16" s="144"/>
      <c r="F16" s="253"/>
      <c r="G16" s="145"/>
      <c r="H16" s="145">
        <v>2</v>
      </c>
      <c r="I16" s="49"/>
      <c r="J16" s="30"/>
      <c r="K16" s="30"/>
    </row>
    <row r="17" spans="1:11" s="243" customFormat="1" ht="15" customHeight="1" x14ac:dyDescent="0.2">
      <c r="A17" s="147"/>
      <c r="B17" s="142"/>
      <c r="C17" s="143"/>
      <c r="D17" s="144"/>
      <c r="E17" s="144"/>
      <c r="F17" s="253"/>
      <c r="G17" s="145"/>
      <c r="H17" s="145"/>
      <c r="I17" s="49"/>
      <c r="J17" s="30"/>
      <c r="K17" s="30"/>
    </row>
    <row r="18" spans="1:11" s="243" customFormat="1" ht="15" customHeight="1" x14ac:dyDescent="0.2">
      <c r="A18" s="147"/>
      <c r="B18" s="142"/>
      <c r="C18" s="143"/>
      <c r="D18" s="144"/>
      <c r="E18" s="144"/>
      <c r="F18" s="253"/>
      <c r="G18" s="228"/>
      <c r="H18" s="145"/>
      <c r="I18" s="46"/>
      <c r="J18" s="30"/>
      <c r="K18" s="30"/>
    </row>
    <row r="19" spans="1:11" s="243" customFormat="1" ht="15" customHeight="1" x14ac:dyDescent="0.2">
      <c r="A19" s="147"/>
      <c r="B19" s="142"/>
      <c r="C19" s="143"/>
      <c r="D19" s="144"/>
      <c r="E19" s="144"/>
      <c r="F19" s="253"/>
      <c r="G19" s="228"/>
      <c r="H19" s="145"/>
      <c r="I19" s="46"/>
      <c r="J19" s="30"/>
      <c r="K19" s="30"/>
    </row>
    <row r="20" spans="1:11" s="243" customFormat="1" ht="15" customHeight="1" x14ac:dyDescent="0.2">
      <c r="A20" s="147"/>
      <c r="B20" s="142"/>
      <c r="C20" s="143"/>
      <c r="D20" s="144"/>
      <c r="E20" s="144"/>
      <c r="F20" s="253"/>
      <c r="G20" s="145"/>
      <c r="H20" s="145"/>
      <c r="I20" s="49"/>
      <c r="J20" s="30"/>
      <c r="K20" s="30"/>
    </row>
    <row r="21" spans="1:11" s="243" customFormat="1" ht="15" customHeight="1" x14ac:dyDescent="0.2">
      <c r="A21" s="147"/>
      <c r="B21" s="142"/>
      <c r="C21" s="143"/>
      <c r="D21" s="144"/>
      <c r="E21" s="144"/>
      <c r="F21" s="260"/>
      <c r="G21" s="228"/>
      <c r="H21" s="145"/>
      <c r="I21" s="40"/>
      <c r="J21" s="30"/>
      <c r="K21" s="30"/>
    </row>
    <row r="22" spans="1:11" s="243" customFormat="1" ht="15" customHeight="1" x14ac:dyDescent="0.2">
      <c r="A22" s="147"/>
      <c r="B22" s="142"/>
      <c r="C22" s="143"/>
      <c r="D22" s="144"/>
      <c r="E22" s="144"/>
      <c r="F22" s="260"/>
      <c r="G22" s="228"/>
      <c r="H22" s="145"/>
      <c r="I22" s="40"/>
      <c r="J22" s="30"/>
      <c r="K22" s="30"/>
    </row>
    <row r="23" spans="1:11" s="243" customFormat="1" ht="15" customHeight="1" x14ac:dyDescent="0.2">
      <c r="A23" s="51"/>
      <c r="B23" s="142"/>
      <c r="C23" s="143"/>
      <c r="D23" s="144"/>
      <c r="E23" s="144"/>
      <c r="F23" s="253"/>
      <c r="G23" s="228"/>
      <c r="H23" s="145"/>
      <c r="I23" s="49"/>
      <c r="J23" s="30"/>
      <c r="K23" s="30"/>
    </row>
    <row r="24" spans="1:11" s="243" customFormat="1" ht="15" customHeight="1" x14ac:dyDescent="0.2">
      <c r="A24" s="51"/>
      <c r="B24" s="142"/>
      <c r="C24" s="143"/>
      <c r="D24" s="144"/>
      <c r="E24" s="144"/>
      <c r="F24" s="253"/>
      <c r="G24" s="228"/>
      <c r="H24" s="145"/>
      <c r="I24" s="49"/>
      <c r="J24" s="30"/>
      <c r="K24" s="30"/>
    </row>
    <row r="25" spans="1:11" s="243" customFormat="1" ht="15" customHeight="1" x14ac:dyDescent="0.2">
      <c r="A25" s="55"/>
      <c r="B25" s="142"/>
      <c r="C25" s="143"/>
      <c r="D25" s="144"/>
      <c r="E25" s="144"/>
      <c r="F25" s="253"/>
      <c r="G25" s="66"/>
      <c r="H25" s="145"/>
      <c r="I25" s="49"/>
      <c r="J25" s="30"/>
      <c r="K25" s="30"/>
    </row>
    <row r="26" spans="1:11" s="243" customFormat="1" ht="15" customHeight="1" x14ac:dyDescent="0.2">
      <c r="A26" s="55"/>
      <c r="B26" s="142"/>
      <c r="C26" s="143"/>
      <c r="D26" s="144"/>
      <c r="E26" s="144"/>
      <c r="F26" s="145"/>
      <c r="G26" s="66"/>
      <c r="H26" s="145"/>
      <c r="I26" s="49"/>
      <c r="J26" s="30"/>
      <c r="K26" s="30"/>
    </row>
    <row r="27" spans="1:11" s="243" customFormat="1" ht="15" customHeight="1" x14ac:dyDescent="0.2">
      <c r="A27" s="55"/>
      <c r="B27" s="142"/>
      <c r="C27" s="143"/>
      <c r="D27" s="144"/>
      <c r="E27" s="144"/>
      <c r="F27" s="145"/>
      <c r="G27" s="66"/>
      <c r="H27" s="274"/>
      <c r="I27" s="49"/>
      <c r="J27" s="30"/>
      <c r="K27" s="30"/>
    </row>
    <row r="28" spans="1:11" s="243" customFormat="1" ht="15" customHeight="1" x14ac:dyDescent="0.2">
      <c r="A28" s="55"/>
      <c r="B28" s="142"/>
      <c r="C28" s="143"/>
      <c r="D28" s="144"/>
      <c r="E28" s="144"/>
      <c r="F28" s="145"/>
      <c r="G28" s="66"/>
      <c r="H28" s="242"/>
      <c r="I28" s="49"/>
      <c r="J28" s="30"/>
      <c r="K28" s="30"/>
    </row>
    <row r="29" spans="1:11" s="243" customFormat="1" ht="15" customHeight="1" x14ac:dyDescent="0.2">
      <c r="A29" s="55"/>
      <c r="B29" s="142"/>
      <c r="C29" s="143"/>
      <c r="D29" s="144"/>
      <c r="E29" s="144"/>
      <c r="F29" s="66"/>
      <c r="G29" s="66"/>
      <c r="H29" s="145"/>
      <c r="I29" s="49"/>
      <c r="J29" s="30"/>
      <c r="K29" s="30"/>
    </row>
    <row r="30" spans="1:11" s="243" customFormat="1" ht="15" customHeight="1" x14ac:dyDescent="0.2">
      <c r="A30" s="55"/>
      <c r="B30" s="142"/>
      <c r="C30" s="143"/>
      <c r="D30" s="144"/>
      <c r="E30" s="144"/>
      <c r="F30" s="66"/>
      <c r="G30" s="66"/>
      <c r="H30" s="68"/>
      <c r="I30" s="49"/>
      <c r="J30" s="30"/>
      <c r="K30" s="30"/>
    </row>
    <row r="31" spans="1:11" s="243" customFormat="1" ht="15" customHeight="1" x14ac:dyDescent="0.2">
      <c r="A31" s="55"/>
      <c r="B31" s="142"/>
      <c r="C31" s="143"/>
      <c r="D31" s="144"/>
      <c r="E31" s="144"/>
      <c r="F31" s="66"/>
      <c r="G31" s="66"/>
      <c r="H31" s="68"/>
      <c r="I31" s="49"/>
      <c r="J31" s="30"/>
      <c r="K31" s="30"/>
    </row>
    <row r="32" spans="1:11" s="243" customFormat="1" ht="15" customHeight="1" x14ac:dyDescent="0.2">
      <c r="A32" s="55"/>
      <c r="B32" s="142"/>
      <c r="C32" s="143"/>
      <c r="D32" s="144"/>
      <c r="E32" s="144"/>
      <c r="F32" s="66"/>
      <c r="G32" s="66"/>
      <c r="H32" s="68"/>
      <c r="I32" s="49"/>
      <c r="J32" s="30"/>
      <c r="K32" s="30"/>
    </row>
    <row r="33" spans="1:11" s="243" customFormat="1" ht="15" customHeight="1" x14ac:dyDescent="0.2">
      <c r="A33" s="55"/>
      <c r="B33" s="142"/>
      <c r="C33" s="143"/>
      <c r="D33" s="144"/>
      <c r="E33" s="144"/>
      <c r="F33" s="66"/>
      <c r="G33" s="66"/>
      <c r="H33" s="68"/>
      <c r="I33" s="49"/>
      <c r="J33" s="30"/>
      <c r="K33" s="30"/>
    </row>
    <row r="34" spans="1:11" s="243" customFormat="1" ht="15" customHeight="1" x14ac:dyDescent="0.2">
      <c r="A34" s="55"/>
      <c r="B34" s="142"/>
      <c r="C34" s="143"/>
      <c r="D34" s="144"/>
      <c r="E34" s="144"/>
      <c r="F34" s="48"/>
      <c r="G34" s="66"/>
      <c r="H34" s="68"/>
      <c r="I34" s="61"/>
      <c r="J34" s="30"/>
      <c r="K34" s="30"/>
    </row>
    <row r="35" spans="1:11" s="243" customFormat="1" ht="15" customHeight="1" x14ac:dyDescent="0.2">
      <c r="A35" s="55"/>
      <c r="B35" s="142"/>
      <c r="C35" s="143"/>
      <c r="D35" s="144"/>
      <c r="E35" s="144"/>
      <c r="F35" s="48"/>
      <c r="G35" s="66"/>
      <c r="H35" s="68"/>
      <c r="I35" s="61"/>
      <c r="J35" s="30"/>
      <c r="K35" s="30"/>
    </row>
    <row r="36" spans="1:11" s="243" customFormat="1" ht="15" customHeight="1" x14ac:dyDescent="0.2">
      <c r="A36" s="55"/>
      <c r="B36" s="142"/>
      <c r="C36" s="143"/>
      <c r="D36" s="144"/>
      <c r="E36" s="144"/>
      <c r="F36" s="48"/>
      <c r="G36" s="66"/>
      <c r="H36" s="68"/>
      <c r="I36" s="61"/>
      <c r="J36" s="30"/>
      <c r="K36" s="30"/>
    </row>
    <row r="37" spans="1:11" s="243" customFormat="1" ht="15" customHeight="1" x14ac:dyDescent="0.2">
      <c r="A37" s="55"/>
      <c r="B37" s="142"/>
      <c r="C37" s="142"/>
      <c r="D37" s="144"/>
      <c r="E37" s="144"/>
      <c r="F37" s="48"/>
      <c r="G37" s="66"/>
      <c r="H37" s="68"/>
      <c r="I37" s="61"/>
      <c r="J37" s="30"/>
      <c r="K37" s="30"/>
    </row>
    <row r="38" spans="1:11" s="243" customFormat="1" ht="15" customHeight="1" x14ac:dyDescent="0.2">
      <c r="A38" s="55"/>
      <c r="B38" s="142"/>
      <c r="C38" s="143"/>
      <c r="D38" s="144"/>
      <c r="E38" s="144"/>
      <c r="F38" s="48"/>
      <c r="G38" s="66"/>
      <c r="H38" s="68"/>
      <c r="I38" s="61"/>
      <c r="J38" s="30"/>
      <c r="K38" s="30"/>
    </row>
    <row r="39" spans="1:11" ht="15.75" customHeight="1" x14ac:dyDescent="0.2">
      <c r="A39" s="72"/>
      <c r="B39" s="73"/>
      <c r="C39" s="74"/>
      <c r="D39" s="75"/>
      <c r="E39" s="75"/>
      <c r="F39" s="229" t="s">
        <v>123</v>
      </c>
      <c r="G39" s="108">
        <f>SUM(G7:G38)</f>
        <v>60.5</v>
      </c>
      <c r="H39" s="77">
        <f>SUM(H7:H38)</f>
        <v>36</v>
      </c>
    </row>
    <row r="40" spans="1:11" x14ac:dyDescent="0.2">
      <c r="A40" s="30"/>
      <c r="B40" s="30"/>
      <c r="C40" s="30"/>
      <c r="D40" s="62"/>
      <c r="E40" s="62"/>
      <c r="F40" s="62"/>
      <c r="G40" s="63"/>
      <c r="H40" s="63"/>
    </row>
    <row r="41" spans="1:11" ht="14.25" x14ac:dyDescent="0.2">
      <c r="A41" s="30"/>
      <c r="B41" s="30"/>
      <c r="C41" s="30"/>
      <c r="D41" s="62"/>
      <c r="E41" s="62"/>
      <c r="F41" s="1153" t="s">
        <v>8</v>
      </c>
      <c r="G41" s="1154"/>
      <c r="H41" s="84">
        <f>G39-H39</f>
        <v>24.5</v>
      </c>
    </row>
  </sheetData>
  <sortState ref="B8:K36">
    <sortCondition ref="B8"/>
  </sortState>
  <mergeCells count="4">
    <mergeCell ref="J1:J3"/>
    <mergeCell ref="C1:H5"/>
    <mergeCell ref="F41:G41"/>
    <mergeCell ref="A7:E7"/>
  </mergeCells>
  <hyperlinks>
    <hyperlink ref="J1:J3" location="'ANA SAYFA'!A1" display="ANA SAYFA"/>
  </hyperlinks>
  <pageMargins left="0.37" right="0.12" top="0.12" bottom="0.12" header="0.12" footer="0.12"/>
  <pageSetup paperSize="9" scale="70" orientation="portrait" r:id="rId1"/>
  <colBreaks count="1" manualBreakCount="1">
    <brk id="8" max="1048575"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4"/>
  <sheetViews>
    <sheetView zoomScaleNormal="100" workbookViewId="0">
      <selection activeCell="J1" sqref="J1:J3"/>
    </sheetView>
  </sheetViews>
  <sheetFormatPr defaultColWidth="9.140625" defaultRowHeight="12.75" x14ac:dyDescent="0.2"/>
  <cols>
    <col min="1" max="1" width="18.140625" style="82" bestFit="1" customWidth="1"/>
    <col min="2" max="2" width="28.140625" style="82" bestFit="1" customWidth="1"/>
    <col min="3" max="3" width="28.5703125" style="82" bestFit="1" customWidth="1"/>
    <col min="4" max="4" width="6.7109375" style="82" bestFit="1" customWidth="1"/>
    <col min="5" max="5" width="8.85546875" style="82" bestFit="1" customWidth="1"/>
    <col min="6" max="6" width="18.85546875" style="82" bestFit="1" customWidth="1"/>
    <col min="7" max="7" width="14.28515625" style="82" bestFit="1" customWidth="1"/>
    <col min="8" max="8" width="12.5703125" style="82" bestFit="1" customWidth="1"/>
    <col min="9" max="9" width="4.140625" style="82" customWidth="1"/>
    <col min="10" max="10" width="10.7109375" style="82" customWidth="1"/>
    <col min="11" max="16384" width="9.140625" style="82"/>
  </cols>
  <sheetData>
    <row r="1" spans="1:11" ht="15.75" customHeight="1" x14ac:dyDescent="0.2">
      <c r="A1" s="29" t="s">
        <v>135</v>
      </c>
      <c r="B1" s="188" t="str">
        <f>'ANA SAYFA'!B46</f>
        <v>RECEP ALEMDAR</v>
      </c>
      <c r="C1" s="1166" t="s">
        <v>136</v>
      </c>
      <c r="D1" s="1166"/>
      <c r="E1" s="1166"/>
      <c r="F1" s="1166"/>
      <c r="G1" s="1166"/>
      <c r="H1" s="1166"/>
      <c r="I1" s="28"/>
      <c r="J1" s="1183" t="s">
        <v>712</v>
      </c>
      <c r="K1" s="30"/>
    </row>
    <row r="2" spans="1:11" ht="15.75" customHeight="1" x14ac:dyDescent="0.2">
      <c r="A2" s="29" t="s">
        <v>137</v>
      </c>
      <c r="B2" s="154">
        <f>'ANA SAYFA'!D46</f>
        <v>61294341224</v>
      </c>
      <c r="C2" s="1166"/>
      <c r="D2" s="1166"/>
      <c r="E2" s="1166"/>
      <c r="F2" s="1166"/>
      <c r="G2" s="1166"/>
      <c r="H2" s="1166"/>
      <c r="I2" s="28"/>
      <c r="J2" s="1184"/>
      <c r="K2" s="30"/>
    </row>
    <row r="3" spans="1:11" ht="15.75" customHeight="1" thickBot="1" x14ac:dyDescent="0.25">
      <c r="A3" s="29" t="s">
        <v>131</v>
      </c>
      <c r="B3" s="153" t="str">
        <f>'ANA SAYFA'!C46</f>
        <v>EKSKAVATÖR OPERATÖRÜ</v>
      </c>
      <c r="C3" s="1166"/>
      <c r="D3" s="1166"/>
      <c r="E3" s="1166"/>
      <c r="F3" s="1166"/>
      <c r="G3" s="1166"/>
      <c r="H3" s="1166"/>
      <c r="I3" s="28"/>
      <c r="J3" s="1185"/>
      <c r="K3" s="30"/>
    </row>
    <row r="4" spans="1:11" ht="15.75" customHeight="1" x14ac:dyDescent="0.2">
      <c r="A4" s="29" t="s">
        <v>120</v>
      </c>
      <c r="B4" s="83">
        <f>'ANA SAYFA'!E46</f>
        <v>44643</v>
      </c>
      <c r="C4" s="1166"/>
      <c r="D4" s="1166"/>
      <c r="E4" s="1166"/>
      <c r="F4" s="1166"/>
      <c r="G4" s="1166"/>
      <c r="H4" s="1166"/>
      <c r="I4" s="28"/>
      <c r="J4" s="30"/>
      <c r="K4" s="30"/>
    </row>
    <row r="5" spans="1:11" ht="15.75" customHeight="1" x14ac:dyDescent="0.2">
      <c r="A5" s="29" t="s">
        <v>130</v>
      </c>
      <c r="B5" s="83">
        <f>'ANA SAYFA'!F46</f>
        <v>26552</v>
      </c>
      <c r="C5" s="1166"/>
      <c r="D5" s="1166"/>
      <c r="E5" s="1166"/>
      <c r="F5" s="1166"/>
      <c r="G5" s="1166"/>
      <c r="H5" s="1166"/>
      <c r="I5" s="28"/>
      <c r="J5" s="699"/>
      <c r="K5" s="699"/>
    </row>
    <row r="6" spans="1:11" ht="31.5" x14ac:dyDescent="0.2">
      <c r="A6" s="808" t="s">
        <v>0</v>
      </c>
      <c r="B6" s="824" t="s">
        <v>1</v>
      </c>
      <c r="C6" s="808" t="s">
        <v>2</v>
      </c>
      <c r="D6" s="825" t="s">
        <v>133</v>
      </c>
      <c r="E6" s="825" t="s">
        <v>4</v>
      </c>
      <c r="F6" s="825" t="s">
        <v>7</v>
      </c>
      <c r="G6" s="825" t="s">
        <v>6</v>
      </c>
      <c r="H6" s="825" t="s">
        <v>16</v>
      </c>
      <c r="I6" s="34"/>
      <c r="J6" s="699"/>
      <c r="K6" s="699"/>
    </row>
    <row r="7" spans="1:11" x14ac:dyDescent="0.2">
      <c r="A7" s="717"/>
      <c r="B7" s="760">
        <v>44681</v>
      </c>
      <c r="C7" s="761">
        <v>44681</v>
      </c>
      <c r="D7" s="762">
        <v>0.33333333333333331</v>
      </c>
      <c r="E7" s="762">
        <v>0.33333333333333331</v>
      </c>
      <c r="F7" s="244" t="s">
        <v>397</v>
      </c>
      <c r="G7" s="723">
        <v>20</v>
      </c>
      <c r="H7" s="748">
        <v>1</v>
      </c>
      <c r="I7" s="49"/>
      <c r="J7" s="30"/>
      <c r="K7" s="30"/>
    </row>
    <row r="8" spans="1:11" x14ac:dyDescent="0.2">
      <c r="A8" s="717"/>
      <c r="B8" s="760">
        <v>44739</v>
      </c>
      <c r="C8" s="761">
        <v>44755</v>
      </c>
      <c r="D8" s="762">
        <v>0.33333333333333331</v>
      </c>
      <c r="E8" s="762">
        <v>0.33333333333333331</v>
      </c>
      <c r="F8" s="244" t="s">
        <v>620</v>
      </c>
      <c r="G8" s="723">
        <v>20</v>
      </c>
      <c r="H8" s="748">
        <v>15</v>
      </c>
      <c r="I8" s="49"/>
      <c r="J8" s="30"/>
      <c r="K8" s="30"/>
    </row>
    <row r="9" spans="1:11" x14ac:dyDescent="0.2">
      <c r="A9" s="719"/>
      <c r="B9" s="720">
        <v>45607</v>
      </c>
      <c r="C9" s="721">
        <v>45608</v>
      </c>
      <c r="D9" s="722"/>
      <c r="E9" s="722"/>
      <c r="F9" s="764" t="s">
        <v>755</v>
      </c>
      <c r="G9" s="723">
        <v>20</v>
      </c>
      <c r="H9" s="723">
        <v>2</v>
      </c>
      <c r="I9" s="49"/>
      <c r="J9" s="30"/>
      <c r="K9" s="30"/>
    </row>
    <row r="10" spans="1:11" x14ac:dyDescent="0.2">
      <c r="A10" s="719"/>
      <c r="B10" s="720">
        <v>45621</v>
      </c>
      <c r="C10" s="721">
        <v>45628</v>
      </c>
      <c r="D10" s="722"/>
      <c r="E10" s="722"/>
      <c r="F10" s="722"/>
      <c r="G10" s="723"/>
      <c r="H10" s="258">
        <v>6</v>
      </c>
    </row>
    <row r="11" spans="1:11" x14ac:dyDescent="0.2">
      <c r="A11" s="719"/>
      <c r="B11" s="720">
        <v>45818</v>
      </c>
      <c r="C11" s="721">
        <v>45824</v>
      </c>
      <c r="D11" s="722">
        <v>0.33333333333333331</v>
      </c>
      <c r="E11" s="722">
        <v>0.75</v>
      </c>
      <c r="F11" s="722"/>
      <c r="G11" s="723"/>
      <c r="H11" s="258">
        <v>5</v>
      </c>
    </row>
    <row r="12" spans="1:11" x14ac:dyDescent="0.2">
      <c r="A12" s="719"/>
      <c r="B12" s="720">
        <v>45994</v>
      </c>
      <c r="C12" s="721">
        <v>46006</v>
      </c>
      <c r="D12" s="722"/>
      <c r="E12" s="722"/>
      <c r="F12" s="722"/>
      <c r="G12" s="723"/>
      <c r="H12" s="723">
        <v>10</v>
      </c>
      <c r="J12" s="82" t="s">
        <v>830</v>
      </c>
    </row>
    <row r="13" spans="1:11" x14ac:dyDescent="0.2">
      <c r="A13" s="719"/>
      <c r="B13" s="720"/>
      <c r="C13" s="721"/>
      <c r="D13" s="722"/>
      <c r="E13" s="722"/>
      <c r="F13" s="722"/>
      <c r="G13" s="723"/>
      <c r="H13" s="758"/>
    </row>
    <row r="14" spans="1:11" x14ac:dyDescent="0.2">
      <c r="A14" s="719"/>
      <c r="B14" s="720"/>
      <c r="C14" s="721"/>
      <c r="D14" s="722"/>
      <c r="E14" s="722"/>
      <c r="F14" s="722"/>
      <c r="G14" s="723"/>
      <c r="H14" s="723"/>
    </row>
    <row r="15" spans="1:11" x14ac:dyDescent="0.2">
      <c r="A15" s="719"/>
      <c r="B15" s="720"/>
      <c r="C15" s="721"/>
      <c r="D15" s="722"/>
      <c r="E15" s="722"/>
      <c r="F15" s="253"/>
      <c r="G15" s="723"/>
      <c r="H15" s="723"/>
    </row>
    <row r="16" spans="1:11" x14ac:dyDescent="0.2">
      <c r="A16" s="719"/>
      <c r="B16" s="720"/>
      <c r="C16" s="721"/>
      <c r="D16" s="722"/>
      <c r="E16" s="722"/>
      <c r="F16" s="253"/>
      <c r="G16" s="723"/>
      <c r="H16" s="723"/>
    </row>
    <row r="17" spans="1:8" x14ac:dyDescent="0.2">
      <c r="A17" s="719"/>
      <c r="B17" s="720"/>
      <c r="C17" s="721"/>
      <c r="D17" s="722"/>
      <c r="E17" s="722"/>
      <c r="F17" s="253"/>
      <c r="G17" s="723"/>
      <c r="H17" s="723"/>
    </row>
    <row r="18" spans="1:8" x14ac:dyDescent="0.2">
      <c r="A18" s="719"/>
      <c r="B18" s="720"/>
      <c r="C18" s="721"/>
      <c r="D18" s="722"/>
      <c r="E18" s="722"/>
      <c r="F18" s="253"/>
      <c r="G18" s="723"/>
      <c r="H18" s="237"/>
    </row>
    <row r="19" spans="1:8" x14ac:dyDescent="0.2">
      <c r="A19" s="724"/>
      <c r="B19" s="720"/>
      <c r="C19" s="721"/>
      <c r="D19" s="722"/>
      <c r="E19" s="722"/>
      <c r="F19" s="253"/>
      <c r="G19" s="723"/>
      <c r="H19" s="723"/>
    </row>
    <row r="20" spans="1:8" x14ac:dyDescent="0.2">
      <c r="A20" s="685"/>
      <c r="B20" s="720"/>
      <c r="C20" s="721"/>
      <c r="D20" s="722"/>
      <c r="E20" s="722"/>
      <c r="F20" s="253"/>
      <c r="G20" s="723"/>
      <c r="H20" s="723"/>
    </row>
    <row r="21" spans="1:8" x14ac:dyDescent="0.2">
      <c r="A21" s="685"/>
      <c r="B21" s="720"/>
      <c r="C21" s="721"/>
      <c r="D21" s="722"/>
      <c r="E21" s="722"/>
      <c r="F21" s="253"/>
      <c r="G21" s="723"/>
      <c r="H21" s="723"/>
    </row>
    <row r="22" spans="1:8" x14ac:dyDescent="0.2">
      <c r="A22" s="685"/>
      <c r="B22" s="720"/>
      <c r="C22" s="721"/>
      <c r="D22" s="722"/>
      <c r="E22" s="722"/>
      <c r="F22" s="253"/>
      <c r="G22" s="723"/>
      <c r="H22" s="723"/>
    </row>
    <row r="23" spans="1:8" x14ac:dyDescent="0.2">
      <c r="A23" s="685"/>
      <c r="B23" s="720"/>
      <c r="C23" s="721"/>
      <c r="D23" s="722"/>
      <c r="E23" s="722"/>
      <c r="F23" s="253"/>
      <c r="G23" s="723"/>
      <c r="H23" s="723"/>
    </row>
    <row r="24" spans="1:8" x14ac:dyDescent="0.2">
      <c r="A24" s="685"/>
      <c r="B24" s="720"/>
      <c r="C24" s="721"/>
      <c r="D24" s="722"/>
      <c r="E24" s="722"/>
      <c r="F24" s="253"/>
      <c r="G24" s="723"/>
      <c r="H24" s="259"/>
    </row>
    <row r="25" spans="1:8" x14ac:dyDescent="0.2">
      <c r="A25" s="685"/>
      <c r="B25" s="720"/>
      <c r="C25" s="721"/>
      <c r="D25" s="722"/>
      <c r="E25" s="722"/>
      <c r="F25" s="253"/>
      <c r="G25" s="723"/>
      <c r="H25" s="259"/>
    </row>
    <row r="26" spans="1:8" x14ac:dyDescent="0.2">
      <c r="A26" s="685"/>
      <c r="B26" s="720"/>
      <c r="C26" s="721"/>
      <c r="D26" s="722"/>
      <c r="E26" s="722"/>
      <c r="F26" s="253"/>
      <c r="G26" s="723"/>
      <c r="H26" s="723"/>
    </row>
    <row r="27" spans="1:8" x14ac:dyDescent="0.2">
      <c r="A27" s="685"/>
      <c r="B27" s="720"/>
      <c r="C27" s="721"/>
      <c r="D27" s="722"/>
      <c r="E27" s="722"/>
      <c r="F27" s="253"/>
      <c r="G27" s="723"/>
      <c r="H27" s="723"/>
    </row>
    <row r="28" spans="1:8" x14ac:dyDescent="0.2">
      <c r="A28" s="725"/>
      <c r="B28" s="720"/>
      <c r="C28" s="721"/>
      <c r="D28" s="722"/>
      <c r="E28" s="722"/>
      <c r="F28" s="698"/>
      <c r="G28" s="691"/>
      <c r="H28" s="723"/>
    </row>
    <row r="29" spans="1:8" x14ac:dyDescent="0.2">
      <c r="A29" s="725"/>
      <c r="B29" s="720"/>
      <c r="C29" s="721"/>
      <c r="D29" s="722"/>
      <c r="E29" s="722"/>
      <c r="F29" s="698"/>
      <c r="G29" s="691"/>
      <c r="H29" s="723"/>
    </row>
    <row r="30" spans="1:8" x14ac:dyDescent="0.2">
      <c r="A30" s="725"/>
      <c r="B30" s="720"/>
      <c r="C30" s="721"/>
      <c r="D30" s="722"/>
      <c r="E30" s="722"/>
      <c r="F30" s="698"/>
      <c r="G30" s="691"/>
      <c r="H30" s="692"/>
    </row>
    <row r="31" spans="1:8" x14ac:dyDescent="0.2">
      <c r="A31" s="725"/>
      <c r="B31" s="720"/>
      <c r="C31" s="721"/>
      <c r="D31" s="722"/>
      <c r="E31" s="722"/>
      <c r="F31" s="698"/>
      <c r="G31" s="691"/>
      <c r="H31" s="691"/>
    </row>
    <row r="32" spans="1:8" x14ac:dyDescent="0.2">
      <c r="F32" s="275" t="s">
        <v>123</v>
      </c>
      <c r="G32" s="77">
        <f>SUM(G7:G31)</f>
        <v>60</v>
      </c>
      <c r="H32" s="77">
        <f>SUM(H7:H31)</f>
        <v>39</v>
      </c>
    </row>
    <row r="33" spans="6:8" x14ac:dyDescent="0.2">
      <c r="F33" s="62"/>
      <c r="G33" s="63"/>
      <c r="H33" s="63"/>
    </row>
    <row r="34" spans="6:8" ht="14.25" x14ac:dyDescent="0.2">
      <c r="F34" s="1153" t="s">
        <v>8</v>
      </c>
      <c r="G34" s="1154"/>
      <c r="H34" s="84">
        <f>G32-H32</f>
        <v>21</v>
      </c>
    </row>
  </sheetData>
  <mergeCells count="3">
    <mergeCell ref="F34:G34"/>
    <mergeCell ref="J1:J3"/>
    <mergeCell ref="C1:H5"/>
  </mergeCells>
  <hyperlinks>
    <hyperlink ref="J1:J3" location="'ANA SAYFA'!A1" display="ANA SAYFA"/>
  </hyperlinks>
  <pageMargins left="0.7" right="0.12" top="0.28999999999999998" bottom="0.75" header="0.3" footer="0.3"/>
  <pageSetup paperSize="9" scale="70"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9"/>
  <sheetViews>
    <sheetView zoomScale="85" zoomScaleNormal="85" workbookViewId="0">
      <pane ySplit="6" topLeftCell="A19" activePane="bottomLeft" state="frozen"/>
      <selection pane="bottomLeft" activeCell="J1" sqref="J1:J3"/>
    </sheetView>
  </sheetViews>
  <sheetFormatPr defaultRowHeight="12.75" x14ac:dyDescent="0.2"/>
  <cols>
    <col min="1" max="1" width="18.5703125" bestFit="1" customWidth="1"/>
    <col min="2" max="3" width="29" bestFit="1" customWidth="1"/>
    <col min="4" max="4" width="6.7109375" bestFit="1" customWidth="1"/>
    <col min="5" max="5" width="8.85546875" bestFit="1" customWidth="1"/>
    <col min="6" max="6" width="18.85546875" bestFit="1" customWidth="1"/>
    <col min="7" max="7" width="14.28515625" bestFit="1" customWidth="1"/>
    <col min="8" max="8" width="12.5703125" bestFit="1" customWidth="1"/>
    <col min="9" max="9" width="3.5703125" customWidth="1"/>
    <col min="10" max="10" width="10.140625" bestFit="1" customWidth="1"/>
  </cols>
  <sheetData>
    <row r="1" spans="1:11" ht="15" customHeight="1" x14ac:dyDescent="0.2">
      <c r="A1" s="29" t="s">
        <v>135</v>
      </c>
      <c r="B1" s="188" t="str">
        <f>'ANA SAYFA'!B47</f>
        <v>RESUL MURATHAN</v>
      </c>
      <c r="C1" s="1166" t="s">
        <v>136</v>
      </c>
      <c r="D1" s="1166"/>
      <c r="E1" s="1166"/>
      <c r="F1" s="1166"/>
      <c r="G1" s="1166"/>
      <c r="H1" s="1166"/>
      <c r="I1" s="28"/>
      <c r="J1" s="1183" t="s">
        <v>712</v>
      </c>
      <c r="K1" s="30"/>
    </row>
    <row r="2" spans="1:11" ht="15" customHeight="1" x14ac:dyDescent="0.2">
      <c r="A2" s="29" t="s">
        <v>137</v>
      </c>
      <c r="B2" s="154">
        <f>'ANA SAYFA'!D47</f>
        <v>35662493402</v>
      </c>
      <c r="C2" s="1166"/>
      <c r="D2" s="1166"/>
      <c r="E2" s="1166"/>
      <c r="F2" s="1166"/>
      <c r="G2" s="1166"/>
      <c r="H2" s="1166"/>
      <c r="I2" s="28"/>
      <c r="J2" s="1184"/>
      <c r="K2" s="30"/>
    </row>
    <row r="3" spans="1:11" ht="15" customHeight="1" thickBot="1" x14ac:dyDescent="0.25">
      <c r="A3" s="29" t="s">
        <v>131</v>
      </c>
      <c r="B3" s="153" t="str">
        <f>'ANA SAYFA'!C47</f>
        <v>DOZER OPERATÖR</v>
      </c>
      <c r="C3" s="1166"/>
      <c r="D3" s="1166"/>
      <c r="E3" s="1166"/>
      <c r="F3" s="1166"/>
      <c r="G3" s="1166"/>
      <c r="H3" s="1166"/>
      <c r="I3" s="28"/>
      <c r="J3" s="1185"/>
      <c r="K3" s="30"/>
    </row>
    <row r="4" spans="1:11" ht="15" customHeight="1" x14ac:dyDescent="0.2">
      <c r="A4" s="29" t="s">
        <v>120</v>
      </c>
      <c r="B4" s="83">
        <f>'ANA SAYFA'!E47</f>
        <v>42392</v>
      </c>
      <c r="C4" s="1166"/>
      <c r="D4" s="1166"/>
      <c r="E4" s="1166"/>
      <c r="F4" s="1166"/>
      <c r="G4" s="1166"/>
      <c r="H4" s="1166"/>
      <c r="I4" s="28"/>
      <c r="J4" s="30"/>
      <c r="K4" s="30"/>
    </row>
    <row r="5" spans="1:11" ht="15" customHeight="1" x14ac:dyDescent="0.2">
      <c r="A5" s="29" t="s">
        <v>130</v>
      </c>
      <c r="B5" s="83">
        <f>'ANA SAYFA'!F47</f>
        <v>31310</v>
      </c>
      <c r="C5" s="1166"/>
      <c r="D5" s="1166"/>
      <c r="E5" s="1166"/>
      <c r="F5" s="1166"/>
      <c r="G5" s="1166"/>
      <c r="H5" s="1166"/>
      <c r="I5" s="28"/>
      <c r="J5" s="653"/>
      <c r="K5" s="653"/>
    </row>
    <row r="6" spans="1:11" ht="31.5" x14ac:dyDescent="0.2">
      <c r="A6" s="69" t="s">
        <v>0</v>
      </c>
      <c r="B6" s="70" t="s">
        <v>1</v>
      </c>
      <c r="C6" s="69" t="s">
        <v>2</v>
      </c>
      <c r="D6" s="71" t="s">
        <v>133</v>
      </c>
      <c r="E6" s="71" t="s">
        <v>4</v>
      </c>
      <c r="F6" s="71" t="s">
        <v>7</v>
      </c>
      <c r="G6" s="71" t="s">
        <v>6</v>
      </c>
      <c r="H6" s="71" t="s">
        <v>16</v>
      </c>
      <c r="I6" s="34"/>
      <c r="J6" s="653"/>
      <c r="K6" s="653"/>
    </row>
    <row r="7" spans="1:11" x14ac:dyDescent="0.2">
      <c r="A7" s="139"/>
      <c r="B7" s="155">
        <v>42629</v>
      </c>
      <c r="C7" s="156">
        <v>42632</v>
      </c>
      <c r="D7" s="168">
        <v>0.33333333333333331</v>
      </c>
      <c r="E7" s="168">
        <v>0.33333333333333331</v>
      </c>
      <c r="F7" s="262" t="s">
        <v>28</v>
      </c>
      <c r="G7" s="191">
        <v>14</v>
      </c>
      <c r="H7" s="192">
        <v>3</v>
      </c>
      <c r="I7" s="49"/>
      <c r="J7" s="30"/>
      <c r="K7" s="30"/>
    </row>
    <row r="8" spans="1:11" x14ac:dyDescent="0.2">
      <c r="A8" s="139"/>
      <c r="B8" s="142">
        <v>42755</v>
      </c>
      <c r="C8" s="143">
        <v>42759</v>
      </c>
      <c r="D8" s="168">
        <v>0.33333333333333331</v>
      </c>
      <c r="E8" s="168">
        <v>0.33333333333333331</v>
      </c>
      <c r="F8" s="262" t="s">
        <v>42</v>
      </c>
      <c r="G8" s="191">
        <v>14</v>
      </c>
      <c r="H8" s="145">
        <v>2</v>
      </c>
      <c r="I8" s="49"/>
      <c r="J8" s="30"/>
      <c r="K8" s="30"/>
    </row>
    <row r="9" spans="1:11" x14ac:dyDescent="0.2">
      <c r="A9" s="141"/>
      <c r="B9" s="142">
        <v>42868</v>
      </c>
      <c r="C9" s="143">
        <v>42873</v>
      </c>
      <c r="D9" s="168">
        <v>0.33333333333333331</v>
      </c>
      <c r="E9" s="168">
        <v>0.33333333333333331</v>
      </c>
      <c r="F9" s="262" t="s">
        <v>49</v>
      </c>
      <c r="G9" s="145">
        <v>14</v>
      </c>
      <c r="H9" s="145">
        <v>4</v>
      </c>
      <c r="I9" s="49"/>
      <c r="J9" s="30"/>
      <c r="K9" s="30"/>
    </row>
    <row r="10" spans="1:11" x14ac:dyDescent="0.2">
      <c r="A10" s="141"/>
      <c r="B10" s="142">
        <v>42970</v>
      </c>
      <c r="C10" s="143">
        <v>42991</v>
      </c>
      <c r="D10" s="168">
        <v>0.33333333333333331</v>
      </c>
      <c r="E10" s="168">
        <v>0.33333333333333331</v>
      </c>
      <c r="F10" s="253" t="s">
        <v>62</v>
      </c>
      <c r="G10" s="145">
        <v>14</v>
      </c>
      <c r="H10" s="145">
        <v>10</v>
      </c>
      <c r="I10" s="49"/>
      <c r="J10" s="30"/>
      <c r="K10" s="30"/>
    </row>
    <row r="11" spans="1:11" x14ac:dyDescent="0.2">
      <c r="A11" s="141"/>
      <c r="B11" s="155">
        <v>43025</v>
      </c>
      <c r="C11" s="156">
        <v>43031</v>
      </c>
      <c r="D11" s="168">
        <v>0.33333333333333331</v>
      </c>
      <c r="E11" s="168">
        <v>0.33333333333333331</v>
      </c>
      <c r="F11" s="253" t="s">
        <v>79</v>
      </c>
      <c r="G11" s="145">
        <v>14</v>
      </c>
      <c r="H11" s="192">
        <v>6</v>
      </c>
      <c r="I11" s="49"/>
      <c r="J11" s="30"/>
      <c r="K11" s="30"/>
    </row>
    <row r="12" spans="1:11" x14ac:dyDescent="0.2">
      <c r="A12" s="141"/>
      <c r="B12" s="142">
        <v>43181</v>
      </c>
      <c r="C12" s="143">
        <v>43186</v>
      </c>
      <c r="D12" s="168">
        <v>0.33333333333333331</v>
      </c>
      <c r="E12" s="168">
        <v>0.33333333333333331</v>
      </c>
      <c r="F12" s="253" t="s">
        <v>121</v>
      </c>
      <c r="G12" s="145">
        <v>20</v>
      </c>
      <c r="H12" s="145">
        <v>4</v>
      </c>
      <c r="I12" s="49"/>
      <c r="J12" s="30"/>
    </row>
    <row r="13" spans="1:11" x14ac:dyDescent="0.2">
      <c r="A13" s="141"/>
      <c r="B13" s="142">
        <v>43300</v>
      </c>
      <c r="C13" s="143">
        <v>43301</v>
      </c>
      <c r="D13" s="168">
        <v>0.33333333333333331</v>
      </c>
      <c r="E13" s="168">
        <v>0.33333333333333331</v>
      </c>
      <c r="F13" s="253" t="s">
        <v>396</v>
      </c>
      <c r="G13" s="145">
        <v>20</v>
      </c>
      <c r="H13" s="145">
        <v>1</v>
      </c>
      <c r="I13" s="49"/>
      <c r="J13" s="30"/>
    </row>
    <row r="14" spans="1:11" x14ac:dyDescent="0.2">
      <c r="A14" s="141"/>
      <c r="B14" s="142">
        <v>43421</v>
      </c>
      <c r="C14" s="143">
        <v>43423</v>
      </c>
      <c r="D14" s="168">
        <v>0.33333333333333331</v>
      </c>
      <c r="E14" s="168">
        <v>0.33333333333333331</v>
      </c>
      <c r="F14" s="253" t="s">
        <v>480</v>
      </c>
      <c r="G14" s="145">
        <v>20</v>
      </c>
      <c r="H14" s="237">
        <v>2.5</v>
      </c>
      <c r="I14" s="49"/>
      <c r="J14" s="30"/>
    </row>
    <row r="15" spans="1:11" x14ac:dyDescent="0.2">
      <c r="A15" s="141"/>
      <c r="B15" s="142">
        <v>43575</v>
      </c>
      <c r="C15" s="143">
        <v>43577</v>
      </c>
      <c r="D15" s="144">
        <v>0.54166666666666663</v>
      </c>
      <c r="E15" s="168">
        <v>0.33333333333333331</v>
      </c>
      <c r="F15" s="253" t="s">
        <v>680</v>
      </c>
      <c r="G15" s="145">
        <v>20</v>
      </c>
      <c r="H15" s="237">
        <v>0.5</v>
      </c>
      <c r="I15" s="49"/>
      <c r="J15" s="30"/>
    </row>
    <row r="16" spans="1:11" x14ac:dyDescent="0.2">
      <c r="A16" s="141"/>
      <c r="B16" s="142">
        <v>43636</v>
      </c>
      <c r="C16" s="143">
        <v>43637</v>
      </c>
      <c r="D16" s="144">
        <v>0.54166666666666663</v>
      </c>
      <c r="E16" s="168">
        <v>0.33333333333333331</v>
      </c>
      <c r="F16" s="253" t="s">
        <v>985</v>
      </c>
      <c r="G16" s="145">
        <v>20</v>
      </c>
      <c r="H16" s="237">
        <v>0.5</v>
      </c>
    </row>
    <row r="17" spans="1:8" x14ac:dyDescent="0.2">
      <c r="A17" s="141"/>
      <c r="B17" s="142">
        <v>43692</v>
      </c>
      <c r="C17" s="143">
        <v>43698</v>
      </c>
      <c r="D17" s="168">
        <v>0.33333333333333331</v>
      </c>
      <c r="E17" s="168">
        <v>0.33333333333333331</v>
      </c>
      <c r="F17" s="263"/>
      <c r="G17" s="145"/>
      <c r="H17" s="145">
        <v>5</v>
      </c>
    </row>
    <row r="18" spans="1:8" x14ac:dyDescent="0.2">
      <c r="A18" s="141"/>
      <c r="B18" s="142">
        <v>43764</v>
      </c>
      <c r="C18" s="143">
        <v>43766</v>
      </c>
      <c r="D18" s="168">
        <v>0.33333333333333331</v>
      </c>
      <c r="E18" s="168">
        <v>0.33333333333333331</v>
      </c>
      <c r="F18" s="263"/>
      <c r="G18" s="145"/>
      <c r="H18" s="145">
        <v>1</v>
      </c>
    </row>
    <row r="19" spans="1:8" x14ac:dyDescent="0.2">
      <c r="A19" s="141"/>
      <c r="B19" s="142">
        <v>43830</v>
      </c>
      <c r="C19" s="143">
        <v>43832</v>
      </c>
      <c r="D19" s="168">
        <v>0.33333333333333331</v>
      </c>
      <c r="E19" s="168">
        <v>0.33333333333333331</v>
      </c>
      <c r="F19" s="263"/>
      <c r="G19" s="145"/>
      <c r="H19" s="145">
        <v>2</v>
      </c>
    </row>
    <row r="20" spans="1:8" x14ac:dyDescent="0.2">
      <c r="A20" s="141"/>
      <c r="B20" s="142">
        <v>43845</v>
      </c>
      <c r="C20" s="143">
        <v>43846</v>
      </c>
      <c r="D20" s="144">
        <v>0.54166666666666663</v>
      </c>
      <c r="E20" s="168">
        <v>0.33333333333333331</v>
      </c>
      <c r="F20" s="263"/>
      <c r="G20" s="145"/>
      <c r="H20" s="237">
        <v>0.5</v>
      </c>
    </row>
    <row r="21" spans="1:8" x14ac:dyDescent="0.2">
      <c r="A21" s="146"/>
      <c r="B21" s="142">
        <v>43859</v>
      </c>
      <c r="C21" s="143">
        <v>43860</v>
      </c>
      <c r="D21" s="168">
        <v>0.33333333333333331</v>
      </c>
      <c r="E21" s="168">
        <v>0.33333333333333331</v>
      </c>
      <c r="F21" s="263"/>
      <c r="G21" s="145"/>
      <c r="H21" s="145">
        <v>1</v>
      </c>
    </row>
    <row r="22" spans="1:8" x14ac:dyDescent="0.2">
      <c r="A22" s="55"/>
      <c r="B22" s="142">
        <v>43896</v>
      </c>
      <c r="C22" s="143">
        <v>43897</v>
      </c>
      <c r="D22" s="168">
        <v>0.33333333333333331</v>
      </c>
      <c r="E22" s="168">
        <v>0.33333333333333331</v>
      </c>
      <c r="F22" s="263"/>
      <c r="G22" s="145"/>
      <c r="H22" s="145">
        <v>1</v>
      </c>
    </row>
    <row r="23" spans="1:8" x14ac:dyDescent="0.2">
      <c r="A23" s="55"/>
      <c r="B23" s="142">
        <v>43911</v>
      </c>
      <c r="C23" s="143">
        <v>43913</v>
      </c>
      <c r="D23" s="168">
        <v>0.33333333333333331</v>
      </c>
      <c r="E23" s="144">
        <v>0.54166666666666663</v>
      </c>
      <c r="F23" s="263"/>
      <c r="G23" s="145"/>
      <c r="H23" s="237">
        <v>0.5</v>
      </c>
    </row>
    <row r="24" spans="1:8" x14ac:dyDescent="0.2">
      <c r="A24" s="55"/>
      <c r="B24" s="142">
        <v>44103</v>
      </c>
      <c r="C24" s="143">
        <v>44103</v>
      </c>
      <c r="D24" s="144">
        <v>0.33333333333333331</v>
      </c>
      <c r="E24" s="144">
        <v>0.5</v>
      </c>
      <c r="F24" s="263"/>
      <c r="G24" s="145"/>
      <c r="H24" s="145" t="s">
        <v>51</v>
      </c>
    </row>
    <row r="25" spans="1:8" x14ac:dyDescent="0.2">
      <c r="A25" s="55"/>
      <c r="B25" s="142">
        <v>44123</v>
      </c>
      <c r="C25" s="143">
        <v>44124</v>
      </c>
      <c r="D25" s="144">
        <v>0.5</v>
      </c>
      <c r="E25" s="144">
        <v>0.33333333333333331</v>
      </c>
      <c r="F25" s="263"/>
      <c r="G25" s="145"/>
      <c r="H25" s="145" t="s">
        <v>51</v>
      </c>
    </row>
    <row r="26" spans="1:8" x14ac:dyDescent="0.2">
      <c r="A26" s="55"/>
      <c r="B26" s="142">
        <v>44187</v>
      </c>
      <c r="C26" s="143">
        <v>44196</v>
      </c>
      <c r="D26" s="144">
        <v>0.33333333333333331</v>
      </c>
      <c r="E26" s="144">
        <v>0.33333333333333331</v>
      </c>
      <c r="F26" s="263"/>
      <c r="G26" s="145"/>
      <c r="H26" s="145">
        <v>8</v>
      </c>
    </row>
    <row r="27" spans="1:8" x14ac:dyDescent="0.2">
      <c r="A27" s="55"/>
      <c r="B27" s="142">
        <v>44224</v>
      </c>
      <c r="C27" s="143">
        <v>44226</v>
      </c>
      <c r="D27" s="144">
        <v>0.33333333333333331</v>
      </c>
      <c r="E27" s="144">
        <v>0.33333333333333331</v>
      </c>
      <c r="F27" s="263"/>
      <c r="G27" s="145"/>
      <c r="H27" s="145">
        <v>2</v>
      </c>
    </row>
    <row r="28" spans="1:8" x14ac:dyDescent="0.2">
      <c r="A28" s="55"/>
      <c r="B28" s="142">
        <v>44386</v>
      </c>
      <c r="C28" s="143">
        <v>44387</v>
      </c>
      <c r="D28" s="144">
        <v>0.33333333333333331</v>
      </c>
      <c r="E28" s="144">
        <v>0.33333333333333331</v>
      </c>
      <c r="F28" s="263"/>
      <c r="G28" s="145"/>
      <c r="H28" s="145">
        <v>1</v>
      </c>
    </row>
    <row r="29" spans="1:8" x14ac:dyDescent="0.2">
      <c r="A29" s="55"/>
      <c r="B29" s="142">
        <v>44391</v>
      </c>
      <c r="C29" s="143">
        <v>44412</v>
      </c>
      <c r="D29" s="144">
        <v>0.33333333333333331</v>
      </c>
      <c r="E29" s="144">
        <v>0.33333333333333331</v>
      </c>
      <c r="F29" s="263"/>
      <c r="G29" s="145"/>
      <c r="H29" s="145">
        <v>13</v>
      </c>
    </row>
    <row r="30" spans="1:8" x14ac:dyDescent="0.2">
      <c r="A30" s="147"/>
      <c r="B30" s="142">
        <v>44426</v>
      </c>
      <c r="C30" s="143">
        <v>44427</v>
      </c>
      <c r="D30" s="144">
        <v>0.33333333333333331</v>
      </c>
      <c r="E30" s="144">
        <v>0.33333333333333331</v>
      </c>
      <c r="F30" s="263"/>
      <c r="G30" s="145"/>
      <c r="H30" s="145">
        <v>1</v>
      </c>
    </row>
    <row r="31" spans="1:8" x14ac:dyDescent="0.2">
      <c r="A31" s="147"/>
      <c r="B31" s="142">
        <v>44546</v>
      </c>
      <c r="C31" s="143">
        <v>44548</v>
      </c>
      <c r="D31" s="144">
        <v>0.33333333333333331</v>
      </c>
      <c r="E31" s="144">
        <v>0.33333333333333331</v>
      </c>
      <c r="F31" s="263"/>
      <c r="G31" s="145"/>
      <c r="H31" s="145">
        <v>2</v>
      </c>
    </row>
    <row r="32" spans="1:8" x14ac:dyDescent="0.2">
      <c r="A32" s="147"/>
      <c r="B32" s="142">
        <v>44686</v>
      </c>
      <c r="C32" s="143">
        <v>44687</v>
      </c>
      <c r="D32" s="144">
        <v>0.33333333333333331</v>
      </c>
      <c r="E32" s="144">
        <v>0.33333333333333331</v>
      </c>
      <c r="F32" s="263"/>
      <c r="G32" s="145"/>
      <c r="H32" s="145">
        <v>1</v>
      </c>
    </row>
    <row r="33" spans="1:8" x14ac:dyDescent="0.2">
      <c r="A33" s="147"/>
      <c r="B33" s="142">
        <v>44844</v>
      </c>
      <c r="C33" s="143">
        <v>44845</v>
      </c>
      <c r="D33" s="144">
        <v>0.33333333333333331</v>
      </c>
      <c r="E33" s="144">
        <v>0.33333333333333331</v>
      </c>
      <c r="F33" s="263"/>
      <c r="G33" s="145"/>
      <c r="H33" s="145">
        <v>1</v>
      </c>
    </row>
    <row r="34" spans="1:8" x14ac:dyDescent="0.2">
      <c r="A34" s="147"/>
      <c r="B34" s="142">
        <v>44890</v>
      </c>
      <c r="C34" s="143">
        <v>44891</v>
      </c>
      <c r="D34" s="144">
        <v>0.33333333333333331</v>
      </c>
      <c r="E34" s="144">
        <v>0.33333333333333331</v>
      </c>
      <c r="F34" s="263"/>
      <c r="G34" s="145"/>
      <c r="H34" s="145">
        <v>1</v>
      </c>
    </row>
    <row r="35" spans="1:8" x14ac:dyDescent="0.2">
      <c r="A35" s="147"/>
      <c r="B35" s="142">
        <v>44908</v>
      </c>
      <c r="C35" s="143">
        <v>44913</v>
      </c>
      <c r="D35" s="144">
        <v>0.33333333333333331</v>
      </c>
      <c r="E35" s="144">
        <v>0.33333333333333331</v>
      </c>
      <c r="F35" s="263"/>
      <c r="G35" s="145"/>
      <c r="H35" s="145">
        <v>4</v>
      </c>
    </row>
    <row r="36" spans="1:8" x14ac:dyDescent="0.2">
      <c r="A36" s="280"/>
      <c r="B36" s="142">
        <v>44993</v>
      </c>
      <c r="C36" s="143">
        <v>44994</v>
      </c>
      <c r="D36" s="144">
        <v>0.33333333333333331</v>
      </c>
      <c r="E36" s="144">
        <v>0.33333333333333331</v>
      </c>
      <c r="F36" s="263"/>
      <c r="G36" s="145"/>
      <c r="H36" s="145">
        <v>1</v>
      </c>
    </row>
    <row r="37" spans="1:8" x14ac:dyDescent="0.2">
      <c r="A37" s="280"/>
      <c r="B37" s="142">
        <v>45012</v>
      </c>
      <c r="C37" s="143">
        <v>45013</v>
      </c>
      <c r="D37" s="144">
        <v>0.33333333333333331</v>
      </c>
      <c r="E37" s="144">
        <v>0.33333333333333331</v>
      </c>
      <c r="F37" s="263"/>
      <c r="G37" s="145"/>
      <c r="H37" s="145">
        <v>1</v>
      </c>
    </row>
    <row r="38" spans="1:8" x14ac:dyDescent="0.2">
      <c r="A38" s="281"/>
      <c r="B38" s="15">
        <v>45119</v>
      </c>
      <c r="C38" s="16">
        <v>45120</v>
      </c>
      <c r="D38" s="144">
        <v>0.33333333333333331</v>
      </c>
      <c r="E38" s="144">
        <v>0.33333333333333331</v>
      </c>
      <c r="F38" s="222"/>
      <c r="G38" s="25"/>
      <c r="H38" s="25">
        <v>1</v>
      </c>
    </row>
    <row r="39" spans="1:8" x14ac:dyDescent="0.2">
      <c r="A39" s="281"/>
      <c r="B39" s="15">
        <v>45160</v>
      </c>
      <c r="C39" s="16">
        <v>45161</v>
      </c>
      <c r="D39" s="8">
        <v>0.5</v>
      </c>
      <c r="E39" s="8">
        <v>0.33333333333333331</v>
      </c>
      <c r="F39" s="282"/>
      <c r="G39" s="66"/>
      <c r="H39" s="297">
        <v>0.5</v>
      </c>
    </row>
    <row r="40" spans="1:8" x14ac:dyDescent="0.2">
      <c r="A40" s="281"/>
      <c r="B40" s="15">
        <v>45173</v>
      </c>
      <c r="C40" s="16">
        <v>45174</v>
      </c>
      <c r="D40" s="8">
        <v>0.33333333333333331</v>
      </c>
      <c r="E40" s="8">
        <v>0.33333333333333331</v>
      </c>
      <c r="F40" s="282"/>
      <c r="G40" s="66"/>
      <c r="H40" s="25">
        <v>1</v>
      </c>
    </row>
    <row r="41" spans="1:8" x14ac:dyDescent="0.2">
      <c r="A41" s="281"/>
      <c r="B41" s="15">
        <v>45202</v>
      </c>
      <c r="C41" s="16">
        <v>45203</v>
      </c>
      <c r="D41" s="8">
        <v>0.33333333333333331</v>
      </c>
      <c r="E41" s="8">
        <v>0.33333333333333331</v>
      </c>
      <c r="F41" s="282"/>
      <c r="G41" s="66"/>
      <c r="H41" s="25">
        <v>1</v>
      </c>
    </row>
    <row r="42" spans="1:8" x14ac:dyDescent="0.2">
      <c r="A42" s="281"/>
      <c r="B42" s="15">
        <v>45218</v>
      </c>
      <c r="C42" s="16">
        <v>45219</v>
      </c>
      <c r="D42" s="8">
        <v>0.33333333333333331</v>
      </c>
      <c r="E42" s="8">
        <v>0.33333333333333331</v>
      </c>
      <c r="F42" s="282"/>
      <c r="G42" s="66"/>
      <c r="H42" s="25">
        <v>1</v>
      </c>
    </row>
    <row r="43" spans="1:8" x14ac:dyDescent="0.2">
      <c r="A43" s="281"/>
      <c r="B43" s="15">
        <v>45226</v>
      </c>
      <c r="C43" s="16">
        <v>45229</v>
      </c>
      <c r="D43" s="8">
        <v>0.33333333333333331</v>
      </c>
      <c r="E43" s="8">
        <v>0.33333333333333331</v>
      </c>
      <c r="F43" s="282"/>
      <c r="G43" s="66"/>
      <c r="H43" s="25">
        <v>2</v>
      </c>
    </row>
    <row r="44" spans="1:8" x14ac:dyDescent="0.2">
      <c r="A44" s="281"/>
      <c r="B44" s="15">
        <v>45226</v>
      </c>
      <c r="C44" s="16">
        <v>45229</v>
      </c>
      <c r="D44" s="8">
        <v>0.33333333333333331</v>
      </c>
      <c r="E44" s="8">
        <v>0.33333333333333331</v>
      </c>
      <c r="F44" s="282"/>
      <c r="G44" s="66"/>
      <c r="H44" s="25">
        <v>2</v>
      </c>
    </row>
    <row r="45" spans="1:8" x14ac:dyDescent="0.2">
      <c r="A45" s="281"/>
      <c r="B45" s="15">
        <v>45264</v>
      </c>
      <c r="C45" s="16">
        <v>45265</v>
      </c>
      <c r="D45" s="8">
        <v>0.33333333333333331</v>
      </c>
      <c r="E45" s="8">
        <v>0.33333333333333331</v>
      </c>
      <c r="F45" s="282"/>
      <c r="G45" s="66"/>
      <c r="H45" s="25">
        <v>1</v>
      </c>
    </row>
    <row r="46" spans="1:8" x14ac:dyDescent="0.2">
      <c r="A46" s="281"/>
      <c r="B46" s="15">
        <v>45491</v>
      </c>
      <c r="C46" s="16">
        <v>45491</v>
      </c>
      <c r="D46" s="659">
        <v>0.33333333333333331</v>
      </c>
      <c r="E46" s="659">
        <v>0.33333333333333331</v>
      </c>
      <c r="F46" s="282"/>
      <c r="G46" s="66"/>
      <c r="H46" s="25">
        <v>1</v>
      </c>
    </row>
    <row r="47" spans="1:8" x14ac:dyDescent="0.2">
      <c r="A47" s="281"/>
      <c r="B47" s="15">
        <v>45520</v>
      </c>
      <c r="C47" s="16">
        <v>45521</v>
      </c>
      <c r="D47" s="659">
        <v>0.33333333333333331</v>
      </c>
      <c r="E47" s="659">
        <v>0.33333333333333331</v>
      </c>
      <c r="F47" s="282"/>
      <c r="G47" s="66"/>
      <c r="H47" s="25">
        <v>2</v>
      </c>
    </row>
    <row r="48" spans="1:8" x14ac:dyDescent="0.2">
      <c r="A48" s="281"/>
      <c r="B48" s="15">
        <v>45527</v>
      </c>
      <c r="C48" s="16">
        <v>45527</v>
      </c>
      <c r="D48" s="659">
        <v>0.33333333333333331</v>
      </c>
      <c r="E48" s="659">
        <v>0.33333333333333331</v>
      </c>
      <c r="F48" s="282"/>
      <c r="G48" s="66"/>
      <c r="H48" s="25">
        <v>1</v>
      </c>
    </row>
    <row r="49" spans="1:8" x14ac:dyDescent="0.2">
      <c r="A49" s="281"/>
      <c r="B49" s="15">
        <v>45637</v>
      </c>
      <c r="C49" s="16">
        <v>45639</v>
      </c>
      <c r="D49" s="659">
        <v>0.33333333333333331</v>
      </c>
      <c r="E49" s="659">
        <v>0.33333333333333331</v>
      </c>
      <c r="F49" s="282"/>
      <c r="G49" s="66"/>
      <c r="H49" s="25">
        <v>3</v>
      </c>
    </row>
    <row r="50" spans="1:8" x14ac:dyDescent="0.2">
      <c r="A50" s="281"/>
      <c r="B50" s="15" t="s">
        <v>685</v>
      </c>
      <c r="C50" s="16" t="s">
        <v>685</v>
      </c>
      <c r="D50" s="659">
        <v>0.33333333333333331</v>
      </c>
      <c r="E50" s="659">
        <v>0.33333333333333331</v>
      </c>
      <c r="F50" s="282"/>
      <c r="G50" s="66"/>
      <c r="H50" s="25">
        <v>1</v>
      </c>
    </row>
    <row r="51" spans="1:8" s="653" customFormat="1" x14ac:dyDescent="0.2">
      <c r="A51" s="281"/>
      <c r="B51" s="662" t="s">
        <v>770</v>
      </c>
      <c r="C51" s="662" t="s">
        <v>770</v>
      </c>
      <c r="D51" s="659">
        <v>0.33333333333333331</v>
      </c>
      <c r="E51" s="659">
        <v>0.33333333333333331</v>
      </c>
      <c r="F51" s="282"/>
      <c r="G51" s="691"/>
      <c r="H51" s="666">
        <v>1</v>
      </c>
    </row>
    <row r="52" spans="1:8" s="653" customFormat="1" hidden="1" x14ac:dyDescent="0.2">
      <c r="A52" s="281"/>
      <c r="B52" s="662"/>
      <c r="C52" s="663"/>
      <c r="D52" s="659"/>
      <c r="E52" s="659"/>
      <c r="F52" s="282"/>
      <c r="G52" s="691"/>
      <c r="H52" s="666"/>
    </row>
    <row r="53" spans="1:8" s="653" customFormat="1" hidden="1" x14ac:dyDescent="0.2">
      <c r="A53" s="281"/>
      <c r="B53" s="662"/>
      <c r="C53" s="663"/>
      <c r="D53" s="659"/>
      <c r="E53" s="659"/>
      <c r="F53" s="282"/>
      <c r="G53" s="691"/>
      <c r="H53" s="666"/>
    </row>
    <row r="54" spans="1:8" s="653" customFormat="1" hidden="1" x14ac:dyDescent="0.2">
      <c r="A54" s="281"/>
      <c r="B54" s="662"/>
      <c r="C54" s="663"/>
      <c r="D54" s="659"/>
      <c r="E54" s="659"/>
      <c r="F54" s="282"/>
      <c r="G54" s="691"/>
      <c r="H54" s="666"/>
    </row>
    <row r="55" spans="1:8" s="653" customFormat="1" x14ac:dyDescent="0.2">
      <c r="A55" s="281"/>
      <c r="B55" s="662">
        <v>45852</v>
      </c>
      <c r="C55" s="663">
        <v>45875</v>
      </c>
      <c r="D55" s="659">
        <v>0.33333333333333331</v>
      </c>
      <c r="E55" s="659">
        <v>0.77083333333333337</v>
      </c>
      <c r="F55" s="282"/>
      <c r="G55" s="691"/>
      <c r="H55" s="666">
        <v>20</v>
      </c>
    </row>
    <row r="56" spans="1:8" s="653" customFormat="1" x14ac:dyDescent="0.2">
      <c r="A56" s="281"/>
      <c r="B56" s="662">
        <v>45876</v>
      </c>
      <c r="C56" s="663">
        <v>45880</v>
      </c>
      <c r="D56" s="659"/>
      <c r="E56" s="659"/>
      <c r="F56" s="282"/>
      <c r="G56" s="691"/>
      <c r="H56" s="666">
        <v>4</v>
      </c>
    </row>
    <row r="57" spans="1:8" s="653" customFormat="1" x14ac:dyDescent="0.2">
      <c r="A57" s="281"/>
      <c r="B57" s="662">
        <v>45885</v>
      </c>
      <c r="C57" s="663">
        <v>45887</v>
      </c>
      <c r="D57" s="659">
        <v>0.33333333333333331</v>
      </c>
      <c r="E57" s="659">
        <v>0.33333333333333331</v>
      </c>
      <c r="F57" s="282"/>
      <c r="G57" s="691"/>
      <c r="H57" s="666">
        <v>1</v>
      </c>
    </row>
    <row r="58" spans="1:8" s="653" customFormat="1" x14ac:dyDescent="0.2">
      <c r="A58" s="281"/>
      <c r="B58" s="662">
        <v>45979</v>
      </c>
      <c r="C58" s="663">
        <v>45982</v>
      </c>
      <c r="D58" s="659"/>
      <c r="E58" s="659"/>
      <c r="F58" s="282"/>
      <c r="G58" s="691"/>
      <c r="H58" s="666">
        <v>3</v>
      </c>
    </row>
    <row r="59" spans="1:8" s="653" customFormat="1" x14ac:dyDescent="0.2">
      <c r="A59" s="281"/>
      <c r="B59" s="662"/>
      <c r="C59" s="663"/>
      <c r="D59" s="659"/>
      <c r="E59" s="659"/>
      <c r="F59" s="282"/>
      <c r="G59" s="691"/>
      <c r="H59" s="666"/>
    </row>
    <row r="60" spans="1:8" s="653" customFormat="1" x14ac:dyDescent="0.2">
      <c r="A60" s="281"/>
      <c r="B60" s="662"/>
      <c r="C60" s="663"/>
      <c r="D60" s="659"/>
      <c r="E60" s="659"/>
      <c r="F60" s="282"/>
      <c r="G60" s="691"/>
      <c r="H60" s="666"/>
    </row>
    <row r="61" spans="1:8" s="653" customFormat="1" x14ac:dyDescent="0.2">
      <c r="A61" s="281"/>
      <c r="B61" s="662"/>
      <c r="C61" s="663"/>
      <c r="D61" s="659"/>
      <c r="E61" s="659"/>
      <c r="F61" s="282"/>
      <c r="G61" s="691"/>
      <c r="H61" s="666"/>
    </row>
    <row r="62" spans="1:8" x14ac:dyDescent="0.2">
      <c r="A62" s="281"/>
      <c r="B62" s="15"/>
      <c r="C62" s="16"/>
      <c r="D62" s="8"/>
      <c r="E62" s="8"/>
      <c r="F62" s="282"/>
      <c r="G62" s="66"/>
      <c r="H62" s="25"/>
    </row>
    <row r="63" spans="1:8" x14ac:dyDescent="0.2">
      <c r="A63" s="281"/>
      <c r="B63" s="15"/>
      <c r="C63" s="16"/>
      <c r="D63" s="8"/>
      <c r="E63" s="8"/>
      <c r="F63" s="282"/>
      <c r="G63" s="66"/>
      <c r="H63" s="25"/>
    </row>
    <row r="64" spans="1:8" x14ac:dyDescent="0.2">
      <c r="A64" s="281"/>
      <c r="B64" s="15"/>
      <c r="C64" s="16"/>
      <c r="D64" s="8"/>
      <c r="E64" s="8"/>
      <c r="F64" s="282"/>
      <c r="G64" s="66"/>
      <c r="H64" s="25"/>
    </row>
    <row r="65" spans="1:8" x14ac:dyDescent="0.2">
      <c r="A65" s="281"/>
      <c r="B65" s="15"/>
      <c r="C65" s="16"/>
      <c r="D65" s="8"/>
      <c r="E65" s="8"/>
      <c r="F65" s="282"/>
      <c r="G65" s="66"/>
      <c r="H65" s="68"/>
    </row>
    <row r="66" spans="1:8" x14ac:dyDescent="0.2">
      <c r="A66" s="281"/>
      <c r="B66" s="15"/>
      <c r="C66" s="16"/>
      <c r="D66" s="8"/>
      <c r="E66" s="8"/>
      <c r="F66" s="282"/>
      <c r="G66" s="66"/>
      <c r="H66" s="66"/>
    </row>
    <row r="67" spans="1:8" x14ac:dyDescent="0.2">
      <c r="F67" s="278" t="s">
        <v>123</v>
      </c>
      <c r="G67" s="279">
        <f>SUM(G5:G66)</f>
        <v>170</v>
      </c>
      <c r="H67" s="279">
        <f>SUM(H7:H66)</f>
        <v>127</v>
      </c>
    </row>
    <row r="68" spans="1:8" x14ac:dyDescent="0.2">
      <c r="F68" s="62"/>
      <c r="G68" s="63"/>
      <c r="H68" s="63"/>
    </row>
    <row r="69" spans="1:8" ht="14.25" x14ac:dyDescent="0.2">
      <c r="F69" s="1153" t="s">
        <v>8</v>
      </c>
      <c r="G69" s="1154"/>
      <c r="H69" s="84">
        <f>G67-H67</f>
        <v>43</v>
      </c>
    </row>
  </sheetData>
  <sortState ref="B8:K36">
    <sortCondition ref="B8"/>
  </sortState>
  <mergeCells count="3">
    <mergeCell ref="F69:G69"/>
    <mergeCell ref="J1:J3"/>
    <mergeCell ref="C1:H5"/>
  </mergeCells>
  <hyperlinks>
    <hyperlink ref="J1:J3" location="'ANA SAYFA'!A1" display="ANA SAYFA"/>
  </hyperlinks>
  <pageMargins left="0.7" right="0.12" top="0.12" bottom="0.75" header="0.12" footer="0.3"/>
  <pageSetup paperSize="9" scale="6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zoomScaleNormal="100" workbookViewId="0">
      <pane ySplit="6" topLeftCell="A19" activePane="bottomLeft" state="frozen"/>
      <selection pane="bottomLeft" activeCell="J1" sqref="J1:J3"/>
    </sheetView>
  </sheetViews>
  <sheetFormatPr defaultColWidth="9.140625" defaultRowHeight="12.75" x14ac:dyDescent="0.2"/>
  <cols>
    <col min="1" max="1" width="18.5703125" style="82" bestFit="1" customWidth="1"/>
    <col min="2" max="2" width="27.28515625" style="82" bestFit="1" customWidth="1"/>
    <col min="3" max="3" width="26.85546875" style="82" bestFit="1" customWidth="1"/>
    <col min="4" max="4" width="6.7109375" style="82" bestFit="1" customWidth="1"/>
    <col min="5" max="5" width="8.85546875" style="82" bestFit="1" customWidth="1"/>
    <col min="6" max="6" width="20.140625" style="82" bestFit="1" customWidth="1"/>
    <col min="7" max="8" width="14" style="82" customWidth="1"/>
    <col min="9" max="9" width="3.7109375" style="82" customWidth="1"/>
    <col min="10" max="10" width="10.42578125" style="82" customWidth="1"/>
    <col min="11" max="16384" width="9.140625" style="82"/>
  </cols>
  <sheetData>
    <row r="1" spans="1:11" ht="15" customHeight="1" x14ac:dyDescent="0.2">
      <c r="A1" s="29" t="s">
        <v>135</v>
      </c>
      <c r="B1" s="188" t="str">
        <f>'ANA SAYFA'!B48</f>
        <v>SADIK GÜRBÜZ</v>
      </c>
      <c r="C1" s="1166" t="s">
        <v>136</v>
      </c>
      <c r="D1" s="1166"/>
      <c r="E1" s="1166"/>
      <c r="F1" s="1166"/>
      <c r="G1" s="1166"/>
      <c r="H1" s="1166"/>
      <c r="I1" s="28"/>
      <c r="J1" s="1183" t="s">
        <v>712</v>
      </c>
      <c r="K1" s="30"/>
    </row>
    <row r="2" spans="1:11" ht="15" customHeight="1" x14ac:dyDescent="0.2">
      <c r="A2" s="29" t="s">
        <v>137</v>
      </c>
      <c r="B2" s="154">
        <f>'ANA SAYFA'!D48</f>
        <v>11155990832</v>
      </c>
      <c r="C2" s="1166"/>
      <c r="D2" s="1166"/>
      <c r="E2" s="1166"/>
      <c r="F2" s="1166"/>
      <c r="G2" s="1166"/>
      <c r="H2" s="1166"/>
      <c r="I2" s="28"/>
      <c r="J2" s="1184"/>
      <c r="K2" s="30"/>
    </row>
    <row r="3" spans="1:11" ht="15" customHeight="1" thickBot="1" x14ac:dyDescent="0.25">
      <c r="A3" s="29" t="s">
        <v>131</v>
      </c>
      <c r="B3" s="153" t="str">
        <f>'ANA SAYFA'!C48</f>
        <v>MUHASEBE MESLEK EL.</v>
      </c>
      <c r="C3" s="1166"/>
      <c r="D3" s="1166"/>
      <c r="E3" s="1166"/>
      <c r="F3" s="1166"/>
      <c r="G3" s="1166"/>
      <c r="H3" s="1166"/>
      <c r="I3" s="28"/>
      <c r="J3" s="1185"/>
      <c r="K3" s="30"/>
    </row>
    <row r="4" spans="1:11" ht="15" customHeight="1" x14ac:dyDescent="0.2">
      <c r="A4" s="29" t="s">
        <v>120</v>
      </c>
      <c r="B4" s="83">
        <f>'ANA SAYFA'!E48</f>
        <v>43617</v>
      </c>
      <c r="C4" s="1166"/>
      <c r="D4" s="1166"/>
      <c r="E4" s="1166"/>
      <c r="F4" s="1166"/>
      <c r="G4" s="1166"/>
      <c r="H4" s="1166"/>
      <c r="I4" s="28"/>
      <c r="J4" s="30"/>
      <c r="K4" s="30"/>
    </row>
    <row r="5" spans="1:11" ht="15" customHeight="1" x14ac:dyDescent="0.2">
      <c r="A5" s="29" t="s">
        <v>130</v>
      </c>
      <c r="B5" s="83">
        <f>'ANA SAYFA'!F48</f>
        <v>33248</v>
      </c>
      <c r="C5" s="1166"/>
      <c r="D5" s="1166"/>
      <c r="E5" s="1166"/>
      <c r="F5" s="1166"/>
      <c r="G5" s="1166"/>
      <c r="H5" s="1166"/>
      <c r="I5" s="28"/>
      <c r="J5" s="699"/>
      <c r="K5" s="699"/>
    </row>
    <row r="6" spans="1:11" ht="31.5" x14ac:dyDescent="0.2">
      <c r="A6" s="69" t="s">
        <v>0</v>
      </c>
      <c r="B6" s="70" t="s">
        <v>1</v>
      </c>
      <c r="C6" s="69" t="s">
        <v>2</v>
      </c>
      <c r="D6" s="71" t="s">
        <v>133</v>
      </c>
      <c r="E6" s="71" t="s">
        <v>4</v>
      </c>
      <c r="F6" s="71" t="s">
        <v>7</v>
      </c>
      <c r="G6" s="71" t="s">
        <v>6</v>
      </c>
      <c r="H6" s="71" t="s">
        <v>16</v>
      </c>
      <c r="I6" s="34"/>
      <c r="J6" s="699"/>
      <c r="K6" s="699"/>
    </row>
    <row r="7" spans="1:11" s="243" customFormat="1" x14ac:dyDescent="0.2">
      <c r="A7" s="139"/>
      <c r="B7" s="245">
        <v>43785</v>
      </c>
      <c r="C7" s="246">
        <v>43790</v>
      </c>
      <c r="D7" s="247">
        <v>0.33333333333333331</v>
      </c>
      <c r="E7" s="247">
        <v>0.33333333333333331</v>
      </c>
      <c r="F7" s="691" t="s">
        <v>398</v>
      </c>
      <c r="G7" s="145">
        <v>14</v>
      </c>
      <c r="H7" s="145">
        <v>4</v>
      </c>
      <c r="I7" s="49"/>
      <c r="J7" s="30"/>
      <c r="K7" s="30"/>
    </row>
    <row r="8" spans="1:11" s="243" customFormat="1" x14ac:dyDescent="0.2">
      <c r="A8" s="139"/>
      <c r="B8" s="245">
        <v>43916</v>
      </c>
      <c r="C8" s="246">
        <v>43920</v>
      </c>
      <c r="D8" s="247">
        <v>0.33333333333333331</v>
      </c>
      <c r="E8" s="247">
        <v>0.33333333333333331</v>
      </c>
      <c r="F8" s="691" t="s">
        <v>399</v>
      </c>
      <c r="G8" s="145">
        <v>14</v>
      </c>
      <c r="H8" s="145">
        <v>3</v>
      </c>
      <c r="I8" s="49"/>
      <c r="J8" s="30"/>
      <c r="K8" s="30"/>
    </row>
    <row r="9" spans="1:11" s="243" customFormat="1" x14ac:dyDescent="0.2">
      <c r="A9" s="141"/>
      <c r="B9" s="245">
        <v>43925</v>
      </c>
      <c r="C9" s="246">
        <v>43929</v>
      </c>
      <c r="D9" s="247">
        <v>0.33333333333333331</v>
      </c>
      <c r="E9" s="247">
        <v>0.33333333333333331</v>
      </c>
      <c r="F9" s="691" t="s">
        <v>400</v>
      </c>
      <c r="G9" s="145">
        <v>14</v>
      </c>
      <c r="H9" s="145">
        <v>3</v>
      </c>
      <c r="I9" s="49"/>
      <c r="J9" s="30"/>
      <c r="K9" s="30"/>
    </row>
    <row r="10" spans="1:11" s="243" customFormat="1" x14ac:dyDescent="0.2">
      <c r="A10" s="141"/>
      <c r="B10" s="245">
        <v>44000</v>
      </c>
      <c r="C10" s="246">
        <v>45100</v>
      </c>
      <c r="D10" s="247">
        <v>0.33333333333333331</v>
      </c>
      <c r="E10" s="247">
        <v>0.33333333333333331</v>
      </c>
      <c r="F10" s="691" t="s">
        <v>402</v>
      </c>
      <c r="G10" s="145">
        <v>14</v>
      </c>
      <c r="H10" s="145">
        <v>4</v>
      </c>
      <c r="I10" s="49"/>
      <c r="J10" s="30"/>
      <c r="K10" s="30"/>
    </row>
    <row r="11" spans="1:11" s="243" customFormat="1" x14ac:dyDescent="0.2">
      <c r="A11" s="141"/>
      <c r="B11" s="245">
        <v>44135</v>
      </c>
      <c r="C11" s="246">
        <v>44139</v>
      </c>
      <c r="D11" s="247">
        <v>0.33333333333333331</v>
      </c>
      <c r="E11" s="247">
        <v>0.33333333333333331</v>
      </c>
      <c r="F11" s="691" t="s">
        <v>478</v>
      </c>
      <c r="G11" s="145">
        <v>14</v>
      </c>
      <c r="H11" s="157">
        <v>3</v>
      </c>
      <c r="I11" s="49"/>
      <c r="J11" s="30"/>
      <c r="K11" s="30"/>
    </row>
    <row r="12" spans="1:11" s="243" customFormat="1" x14ac:dyDescent="0.2">
      <c r="A12" s="141"/>
      <c r="B12" s="245">
        <v>44221</v>
      </c>
      <c r="C12" s="246">
        <v>44223</v>
      </c>
      <c r="D12" s="247">
        <v>0.33333333333333331</v>
      </c>
      <c r="E12" s="247">
        <v>0.33333333333333331</v>
      </c>
      <c r="F12" s="691" t="s">
        <v>675</v>
      </c>
      <c r="G12" s="145">
        <v>20</v>
      </c>
      <c r="H12" s="157">
        <v>2</v>
      </c>
      <c r="I12" s="49"/>
      <c r="J12" s="30"/>
    </row>
    <row r="13" spans="1:11" s="243" customFormat="1" x14ac:dyDescent="0.2">
      <c r="A13" s="141"/>
      <c r="B13" s="245">
        <v>44263</v>
      </c>
      <c r="C13" s="246">
        <v>44264</v>
      </c>
      <c r="D13" s="247">
        <v>0.33333333333333331</v>
      </c>
      <c r="E13" s="247">
        <v>0.33333333333333331</v>
      </c>
      <c r="F13" s="691"/>
      <c r="G13" s="145"/>
      <c r="H13" s="145">
        <v>1</v>
      </c>
    </row>
    <row r="14" spans="1:11" s="243" customFormat="1" x14ac:dyDescent="0.2">
      <c r="A14" s="141"/>
      <c r="B14" s="142">
        <v>44434</v>
      </c>
      <c r="C14" s="143">
        <v>44445</v>
      </c>
      <c r="D14" s="247">
        <v>0.33333333333333331</v>
      </c>
      <c r="E14" s="247">
        <v>0.33333333333333331</v>
      </c>
      <c r="F14" s="691"/>
      <c r="G14" s="145"/>
      <c r="H14" s="145">
        <v>8</v>
      </c>
    </row>
    <row r="15" spans="1:11" s="243" customFormat="1" x14ac:dyDescent="0.2">
      <c r="A15" s="141"/>
      <c r="B15" s="142">
        <v>44480</v>
      </c>
      <c r="C15" s="143">
        <v>44481</v>
      </c>
      <c r="D15" s="247">
        <v>0.33333333333333331</v>
      </c>
      <c r="E15" s="247">
        <v>0.33333333333333331</v>
      </c>
      <c r="F15" s="691"/>
      <c r="G15" s="145"/>
      <c r="H15" s="145">
        <v>1</v>
      </c>
    </row>
    <row r="16" spans="1:11" s="243" customFormat="1" x14ac:dyDescent="0.2">
      <c r="A16" s="141"/>
      <c r="B16" s="142">
        <v>44482</v>
      </c>
      <c r="C16" s="143">
        <v>44483</v>
      </c>
      <c r="D16" s="247">
        <v>0.33333333333333331</v>
      </c>
      <c r="E16" s="247">
        <v>0.33333333333333331</v>
      </c>
      <c r="F16" s="348"/>
      <c r="G16" s="145"/>
      <c r="H16" s="145">
        <v>1</v>
      </c>
    </row>
    <row r="17" spans="1:8" s="243" customFormat="1" x14ac:dyDescent="0.2">
      <c r="A17" s="141"/>
      <c r="B17" s="142">
        <v>44487</v>
      </c>
      <c r="C17" s="143">
        <v>44490</v>
      </c>
      <c r="D17" s="247">
        <v>0.33333333333333331</v>
      </c>
      <c r="E17" s="247">
        <v>0.33333333333333331</v>
      </c>
      <c r="F17" s="691"/>
      <c r="G17" s="145"/>
      <c r="H17" s="157">
        <v>3</v>
      </c>
    </row>
    <row r="18" spans="1:8" s="243" customFormat="1" ht="12" customHeight="1" x14ac:dyDescent="0.2">
      <c r="A18" s="141"/>
      <c r="B18" s="142">
        <v>44520</v>
      </c>
      <c r="C18" s="143">
        <v>44522</v>
      </c>
      <c r="D18" s="247">
        <v>0.33333333333333331</v>
      </c>
      <c r="E18" s="247">
        <v>0.33333333333333331</v>
      </c>
      <c r="F18" s="691"/>
      <c r="G18" s="145"/>
      <c r="H18" s="145">
        <v>1</v>
      </c>
    </row>
    <row r="19" spans="1:8" s="243" customFormat="1" x14ac:dyDescent="0.2">
      <c r="B19" s="142">
        <v>44529</v>
      </c>
      <c r="C19" s="143">
        <v>44531</v>
      </c>
      <c r="D19" s="144">
        <v>0.5</v>
      </c>
      <c r="E19" s="144">
        <v>0.33333333333333331</v>
      </c>
      <c r="F19" s="691"/>
      <c r="G19" s="145"/>
      <c r="H19" s="145">
        <v>1</v>
      </c>
    </row>
    <row r="20" spans="1:8" s="243" customFormat="1" x14ac:dyDescent="0.2">
      <c r="A20" s="55"/>
      <c r="B20" s="142">
        <v>44541</v>
      </c>
      <c r="C20" s="143">
        <v>44543</v>
      </c>
      <c r="D20" s="247">
        <v>0.33333333333333331</v>
      </c>
      <c r="E20" s="247">
        <v>0.33333333333333331</v>
      </c>
      <c r="F20" s="691"/>
      <c r="G20" s="145"/>
      <c r="H20" s="145">
        <v>1</v>
      </c>
    </row>
    <row r="21" spans="1:8" s="243" customFormat="1" x14ac:dyDescent="0.2">
      <c r="A21" s="55"/>
      <c r="B21" s="142">
        <v>44644</v>
      </c>
      <c r="C21" s="143">
        <v>44650</v>
      </c>
      <c r="D21" s="144">
        <v>0.33333333333333331</v>
      </c>
      <c r="E21" s="144">
        <v>0.33333333333333331</v>
      </c>
      <c r="F21" s="691"/>
      <c r="G21" s="145"/>
      <c r="H21" s="145">
        <v>5</v>
      </c>
    </row>
    <row r="22" spans="1:8" s="243" customFormat="1" x14ac:dyDescent="0.2">
      <c r="A22" s="55"/>
      <c r="B22" s="142">
        <v>44678</v>
      </c>
      <c r="C22" s="143">
        <v>44680</v>
      </c>
      <c r="D22" s="144">
        <v>0.33333333333333331</v>
      </c>
      <c r="E22" s="144">
        <v>0.33333333333333331</v>
      </c>
      <c r="F22" s="691"/>
      <c r="G22" s="145"/>
      <c r="H22" s="145">
        <v>2</v>
      </c>
    </row>
    <row r="23" spans="1:8" s="243" customFormat="1" x14ac:dyDescent="0.2">
      <c r="A23" s="55"/>
      <c r="B23" s="142">
        <v>44977</v>
      </c>
      <c r="C23" s="143">
        <v>44978</v>
      </c>
      <c r="D23" s="144">
        <v>0.33333333333333331</v>
      </c>
      <c r="E23" s="144">
        <v>0.33333333333333331</v>
      </c>
      <c r="F23" s="691"/>
      <c r="G23" s="145"/>
      <c r="H23" s="145">
        <v>1</v>
      </c>
    </row>
    <row r="24" spans="1:8" s="243" customFormat="1" x14ac:dyDescent="0.2">
      <c r="A24" s="55"/>
      <c r="B24" s="142">
        <v>45134</v>
      </c>
      <c r="C24" s="143">
        <v>45138</v>
      </c>
      <c r="D24" s="144">
        <v>0.33333333333333331</v>
      </c>
      <c r="E24" s="144">
        <v>0.33333333333333331</v>
      </c>
      <c r="F24" s="691"/>
      <c r="G24" s="145"/>
      <c r="H24" s="145" t="s">
        <v>149</v>
      </c>
    </row>
    <row r="25" spans="1:8" s="243" customFormat="1" x14ac:dyDescent="0.2">
      <c r="A25" s="55"/>
      <c r="B25" s="142">
        <v>45349</v>
      </c>
      <c r="C25" s="143">
        <v>45350</v>
      </c>
      <c r="D25" s="144">
        <v>0.33333333333333331</v>
      </c>
      <c r="E25" s="144">
        <v>0.33333333333333331</v>
      </c>
      <c r="F25" s="691"/>
      <c r="G25" s="145"/>
      <c r="H25" s="145" t="s">
        <v>450</v>
      </c>
    </row>
    <row r="26" spans="1:8" s="243" customFormat="1" x14ac:dyDescent="0.2">
      <c r="A26" s="55"/>
      <c r="B26" s="142">
        <v>45593</v>
      </c>
      <c r="C26" s="143">
        <v>45594</v>
      </c>
      <c r="D26" s="144">
        <v>0.33333333333333331</v>
      </c>
      <c r="E26" s="144">
        <v>0.33333333333333331</v>
      </c>
      <c r="F26" s="691"/>
      <c r="G26" s="145"/>
      <c r="H26" s="145">
        <v>1</v>
      </c>
    </row>
    <row r="27" spans="1:8" s="243" customFormat="1" x14ac:dyDescent="0.2">
      <c r="A27" s="55"/>
      <c r="B27" s="142">
        <v>45736</v>
      </c>
      <c r="C27" s="143">
        <v>45736</v>
      </c>
      <c r="D27" s="722">
        <v>0.33333333333333331</v>
      </c>
      <c r="E27" s="722">
        <v>0.33333333333333331</v>
      </c>
      <c r="F27" s="691"/>
      <c r="G27" s="145"/>
      <c r="H27" s="145">
        <v>1</v>
      </c>
    </row>
    <row r="28" spans="1:8" s="759" customFormat="1" x14ac:dyDescent="0.2">
      <c r="A28" s="685"/>
      <c r="B28" s="720">
        <v>46024</v>
      </c>
      <c r="C28" s="721">
        <v>46027</v>
      </c>
      <c r="D28" s="722"/>
      <c r="E28" s="722"/>
      <c r="F28" s="691"/>
      <c r="G28" s="723"/>
      <c r="H28" s="723">
        <v>1</v>
      </c>
    </row>
    <row r="29" spans="1:8" s="759" customFormat="1" x14ac:dyDescent="0.2">
      <c r="A29" s="685"/>
      <c r="B29" s="720">
        <v>46051</v>
      </c>
      <c r="C29" s="721">
        <v>46053</v>
      </c>
      <c r="D29" s="722"/>
      <c r="E29" s="722"/>
      <c r="F29" s="691"/>
      <c r="G29" s="723"/>
      <c r="H29" s="723">
        <v>2</v>
      </c>
    </row>
    <row r="30" spans="1:8" s="759" customFormat="1" x14ac:dyDescent="0.2">
      <c r="A30" s="685"/>
      <c r="B30" s="720">
        <v>46064</v>
      </c>
      <c r="C30" s="721">
        <v>46065</v>
      </c>
      <c r="D30" s="722"/>
      <c r="E30" s="722"/>
      <c r="F30" s="691"/>
      <c r="G30" s="723"/>
      <c r="H30" s="723">
        <v>1</v>
      </c>
    </row>
    <row r="31" spans="1:8" s="759" customFormat="1" x14ac:dyDescent="0.2">
      <c r="A31" s="685"/>
      <c r="B31" s="720">
        <v>46091</v>
      </c>
      <c r="C31" s="721">
        <v>46092</v>
      </c>
      <c r="D31" s="722">
        <v>0.54166666666666663</v>
      </c>
      <c r="E31" s="722">
        <v>0.72916666666666663</v>
      </c>
      <c r="F31" s="691"/>
      <c r="G31" s="723"/>
      <c r="H31" s="723">
        <v>0.5</v>
      </c>
    </row>
    <row r="32" spans="1:8" s="759" customFormat="1" x14ac:dyDescent="0.2">
      <c r="A32" s="685"/>
      <c r="B32" s="720">
        <v>46134</v>
      </c>
      <c r="C32" s="721">
        <v>46137</v>
      </c>
      <c r="D32" s="722"/>
      <c r="E32" s="722"/>
      <c r="F32" s="691"/>
      <c r="G32" s="723"/>
      <c r="H32" s="723">
        <v>3</v>
      </c>
    </row>
    <row r="33" spans="1:8" s="759" customFormat="1" x14ac:dyDescent="0.2">
      <c r="A33" s="685"/>
      <c r="B33" s="720">
        <v>46185</v>
      </c>
      <c r="C33" s="721">
        <v>46186</v>
      </c>
      <c r="D33" s="722"/>
      <c r="E33" s="722"/>
      <c r="F33" s="691"/>
      <c r="G33" s="723"/>
      <c r="H33" s="723">
        <v>1</v>
      </c>
    </row>
    <row r="34" spans="1:8" s="759" customFormat="1" x14ac:dyDescent="0.2">
      <c r="A34" s="685"/>
      <c r="B34" s="720"/>
      <c r="C34" s="721"/>
      <c r="D34" s="722"/>
      <c r="E34" s="722"/>
      <c r="F34" s="691"/>
      <c r="G34" s="723"/>
      <c r="H34" s="723"/>
    </row>
    <row r="35" spans="1:8" s="243" customFormat="1" x14ac:dyDescent="0.2">
      <c r="A35" s="55"/>
      <c r="B35" s="142"/>
      <c r="C35" s="143"/>
      <c r="D35" s="144"/>
      <c r="E35" s="144"/>
      <c r="F35" s="691"/>
      <c r="G35" s="145"/>
      <c r="H35" s="145"/>
    </row>
    <row r="36" spans="1:8" s="243" customFormat="1" x14ac:dyDescent="0.2">
      <c r="A36" s="55"/>
      <c r="B36" s="142"/>
      <c r="C36" s="143"/>
      <c r="D36" s="144"/>
      <c r="E36" s="144"/>
      <c r="F36" s="691"/>
      <c r="G36" s="145"/>
      <c r="H36" s="145"/>
    </row>
    <row r="37" spans="1:8" s="243" customFormat="1" x14ac:dyDescent="0.2">
      <c r="A37" s="55"/>
      <c r="B37" s="142"/>
      <c r="C37" s="143"/>
      <c r="D37" s="144"/>
      <c r="E37" s="144"/>
      <c r="F37" s="691"/>
      <c r="G37" s="145"/>
      <c r="H37" s="145"/>
    </row>
    <row r="38" spans="1:8" s="243" customFormat="1" x14ac:dyDescent="0.2">
      <c r="A38" s="55"/>
      <c r="B38" s="142"/>
      <c r="C38" s="143"/>
      <c r="D38" s="144"/>
      <c r="E38" s="144"/>
      <c r="F38" s="691"/>
      <c r="G38" s="145"/>
      <c r="H38" s="145"/>
    </row>
    <row r="39" spans="1:8" x14ac:dyDescent="0.2">
      <c r="A39" s="55"/>
      <c r="B39" s="142"/>
      <c r="C39" s="143"/>
      <c r="D39" s="144"/>
      <c r="E39" s="144"/>
      <c r="F39" s="691"/>
      <c r="G39" s="145"/>
      <c r="H39" s="145"/>
    </row>
    <row r="40" spans="1:8" x14ac:dyDescent="0.2">
      <c r="A40" s="147"/>
      <c r="B40" s="142"/>
      <c r="C40" s="143"/>
      <c r="D40" s="144"/>
      <c r="E40" s="144"/>
      <c r="F40" s="691"/>
      <c r="G40" s="66"/>
      <c r="H40" s="145"/>
    </row>
    <row r="41" spans="1:8" x14ac:dyDescent="0.2">
      <c r="A41" s="147"/>
      <c r="B41" s="142"/>
      <c r="C41" s="143"/>
      <c r="D41" s="144"/>
      <c r="E41" s="144"/>
      <c r="F41" s="691"/>
      <c r="G41" s="66"/>
      <c r="H41" s="145"/>
    </row>
    <row r="42" spans="1:8" x14ac:dyDescent="0.2">
      <c r="A42" s="147"/>
      <c r="B42" s="142"/>
      <c r="C42" s="143"/>
      <c r="D42" s="144"/>
      <c r="E42" s="144"/>
      <c r="F42" s="691"/>
      <c r="G42" s="66"/>
      <c r="H42" s="68"/>
    </row>
    <row r="43" spans="1:8" x14ac:dyDescent="0.2">
      <c r="A43" s="147"/>
      <c r="B43" s="142"/>
      <c r="C43" s="143"/>
      <c r="D43" s="144"/>
      <c r="E43" s="144"/>
      <c r="F43" s="691"/>
      <c r="G43" s="66"/>
      <c r="H43" s="66"/>
    </row>
    <row r="44" spans="1:8" ht="15.75" customHeight="1" x14ac:dyDescent="0.2">
      <c r="F44" s="772" t="s">
        <v>123</v>
      </c>
      <c r="G44" s="827">
        <f>SUM(G7:G43)</f>
        <v>90</v>
      </c>
      <c r="H44" s="827">
        <f>SUM(H7:H43)</f>
        <v>54.5</v>
      </c>
    </row>
    <row r="45" spans="1:8" x14ac:dyDescent="0.2">
      <c r="F45" s="671"/>
      <c r="G45" s="714"/>
      <c r="H45" s="714"/>
    </row>
    <row r="46" spans="1:8" ht="14.25" x14ac:dyDescent="0.2">
      <c r="F46" s="1215" t="s">
        <v>8</v>
      </c>
      <c r="G46" s="1216"/>
      <c r="H46" s="797">
        <f>G44-H44</f>
        <v>35.5</v>
      </c>
    </row>
  </sheetData>
  <sortState ref="B8:K27">
    <sortCondition ref="B8"/>
  </sortState>
  <mergeCells count="3">
    <mergeCell ref="F46:G46"/>
    <mergeCell ref="J1:J3"/>
    <mergeCell ref="C1:H5"/>
  </mergeCells>
  <hyperlinks>
    <hyperlink ref="J1:J3" location="'ANA SAYFA'!A1" display="ANA SAYFA"/>
  </hyperlinks>
  <pageMargins left="0.7" right="0.12" top="0.12" bottom="0.75" header="0.12" footer="0.3"/>
  <pageSetup paperSize="9" scale="70" orientation="portrait" r:id="rId1"/>
  <colBreaks count="1" manualBreakCount="1">
    <brk id="8" max="1048575" man="1"/>
  </col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7"/>
  <sheetViews>
    <sheetView zoomScaleNormal="100" workbookViewId="0">
      <selection activeCell="J1" sqref="J1:J3"/>
    </sheetView>
  </sheetViews>
  <sheetFormatPr defaultColWidth="9.140625" defaultRowHeight="12.75" x14ac:dyDescent="0.2"/>
  <cols>
    <col min="1" max="1" width="18.140625" style="82" bestFit="1" customWidth="1"/>
    <col min="2" max="2" width="26.7109375" style="82" bestFit="1" customWidth="1"/>
    <col min="3" max="3" width="26.85546875" style="82" bestFit="1" customWidth="1"/>
    <col min="4" max="4" width="6.7109375" style="82" bestFit="1" customWidth="1"/>
    <col min="5" max="5" width="8.85546875" style="82" bestFit="1" customWidth="1"/>
    <col min="6" max="6" width="20.85546875" style="82" bestFit="1" customWidth="1"/>
    <col min="7" max="7" width="14.42578125" style="82" bestFit="1" customWidth="1"/>
    <col min="8" max="8" width="12.5703125" style="82" bestFit="1" customWidth="1"/>
    <col min="9" max="9" width="4.5703125" style="82" customWidth="1"/>
    <col min="10" max="10" width="10.85546875" style="82" customWidth="1"/>
    <col min="11" max="16384" width="9.140625" style="82"/>
  </cols>
  <sheetData>
    <row r="1" spans="1:11" ht="15" customHeight="1" x14ac:dyDescent="0.2">
      <c r="A1" s="29" t="s">
        <v>135</v>
      </c>
      <c r="B1" s="188" t="str">
        <f>'ANA SAYFA'!B49</f>
        <v>SALİH YALÇINKAYA</v>
      </c>
      <c r="C1" s="1166" t="s">
        <v>136</v>
      </c>
      <c r="D1" s="1166"/>
      <c r="E1" s="1166"/>
      <c r="F1" s="1166"/>
      <c r="G1" s="1166"/>
      <c r="H1" s="1166"/>
      <c r="I1" s="28"/>
      <c r="J1" s="1183" t="s">
        <v>712</v>
      </c>
      <c r="K1" s="30"/>
    </row>
    <row r="2" spans="1:11" ht="15" customHeight="1" x14ac:dyDescent="0.2">
      <c r="A2" s="29" t="s">
        <v>137</v>
      </c>
      <c r="B2" s="154">
        <f>'ANA SAYFA'!D49</f>
        <v>23128385866</v>
      </c>
      <c r="C2" s="1166"/>
      <c r="D2" s="1166"/>
      <c r="E2" s="1166"/>
      <c r="F2" s="1166"/>
      <c r="G2" s="1166"/>
      <c r="H2" s="1166"/>
      <c r="I2" s="28"/>
      <c r="J2" s="1184"/>
      <c r="K2" s="30"/>
    </row>
    <row r="3" spans="1:11" ht="15" customHeight="1" thickBot="1" x14ac:dyDescent="0.25">
      <c r="A3" s="29" t="s">
        <v>131</v>
      </c>
      <c r="B3" s="153" t="str">
        <f>'ANA SAYFA'!C49</f>
        <v>HARİTA TEKNİKERİ</v>
      </c>
      <c r="C3" s="1166"/>
      <c r="D3" s="1166"/>
      <c r="E3" s="1166"/>
      <c r="F3" s="1166"/>
      <c r="G3" s="1166"/>
      <c r="H3" s="1166"/>
      <c r="I3" s="28"/>
      <c r="J3" s="1185"/>
      <c r="K3" s="30"/>
    </row>
    <row r="4" spans="1:11" ht="15" customHeight="1" x14ac:dyDescent="0.2">
      <c r="A4" s="29" t="s">
        <v>120</v>
      </c>
      <c r="B4" s="83">
        <f>'ANA SAYFA'!E49</f>
        <v>44501</v>
      </c>
      <c r="C4" s="1166"/>
      <c r="D4" s="1166"/>
      <c r="E4" s="1166"/>
      <c r="F4" s="1166"/>
      <c r="G4" s="1166"/>
      <c r="H4" s="1166"/>
      <c r="I4" s="28"/>
      <c r="J4" s="30"/>
      <c r="K4" s="30"/>
    </row>
    <row r="5" spans="1:11" ht="15" customHeight="1" x14ac:dyDescent="0.2">
      <c r="A5" s="29" t="s">
        <v>130</v>
      </c>
      <c r="B5" s="83">
        <f>'ANA SAYFA'!F49</f>
        <v>34761</v>
      </c>
      <c r="C5" s="1166"/>
      <c r="D5" s="1166"/>
      <c r="E5" s="1166"/>
      <c r="F5" s="1166"/>
      <c r="G5" s="1166"/>
      <c r="H5" s="1166"/>
      <c r="I5" s="28"/>
      <c r="J5" s="699"/>
      <c r="K5" s="699"/>
    </row>
    <row r="6" spans="1:11" ht="31.5" x14ac:dyDescent="0.2">
      <c r="A6" s="69" t="s">
        <v>0</v>
      </c>
      <c r="B6" s="70" t="s">
        <v>1</v>
      </c>
      <c r="C6" s="69" t="s">
        <v>2</v>
      </c>
      <c r="D6" s="71" t="s">
        <v>133</v>
      </c>
      <c r="E6" s="71" t="s">
        <v>4</v>
      </c>
      <c r="F6" s="71" t="s">
        <v>7</v>
      </c>
      <c r="G6" s="71" t="s">
        <v>6</v>
      </c>
      <c r="H6" s="71" t="s">
        <v>16</v>
      </c>
      <c r="I6" s="34"/>
      <c r="J6" s="963">
        <v>45597</v>
      </c>
      <c r="K6" s="962" t="s">
        <v>872</v>
      </c>
    </row>
    <row r="7" spans="1:11" x14ac:dyDescent="0.2">
      <c r="A7" s="139"/>
      <c r="B7" s="155">
        <v>44597</v>
      </c>
      <c r="C7" s="156">
        <v>44618</v>
      </c>
      <c r="D7" s="168">
        <v>0.33333333333333331</v>
      </c>
      <c r="E7" s="168">
        <v>0.33333333333333331</v>
      </c>
      <c r="F7" s="231" t="s">
        <v>414</v>
      </c>
      <c r="G7" s="145">
        <v>14</v>
      </c>
      <c r="H7" s="192">
        <v>15</v>
      </c>
      <c r="I7" s="49"/>
      <c r="J7" s="960">
        <v>45596</v>
      </c>
      <c r="K7" s="30" t="s">
        <v>871</v>
      </c>
    </row>
    <row r="8" spans="1:11" x14ac:dyDescent="0.2">
      <c r="A8" s="139"/>
      <c r="B8" s="155">
        <v>44946</v>
      </c>
      <c r="C8" s="156">
        <v>44949</v>
      </c>
      <c r="D8" s="168">
        <v>0.33333333333333331</v>
      </c>
      <c r="E8" s="168">
        <v>0.33333333333333331</v>
      </c>
      <c r="F8" s="189" t="s">
        <v>463</v>
      </c>
      <c r="G8" s="145">
        <v>14</v>
      </c>
      <c r="H8" s="192">
        <v>2</v>
      </c>
      <c r="I8" s="49"/>
      <c r="J8" s="30"/>
      <c r="K8" s="30"/>
    </row>
    <row r="9" spans="1:11" x14ac:dyDescent="0.2">
      <c r="A9" s="141"/>
      <c r="B9" s="155">
        <v>45101</v>
      </c>
      <c r="C9" s="158">
        <v>45110</v>
      </c>
      <c r="D9" s="168">
        <v>0.33333333333333331</v>
      </c>
      <c r="E9" s="168">
        <v>0.33333333333333331</v>
      </c>
      <c r="F9" s="189" t="s">
        <v>656</v>
      </c>
      <c r="G9" s="145">
        <v>14</v>
      </c>
      <c r="H9" s="192">
        <v>2</v>
      </c>
      <c r="I9" s="49"/>
    </row>
    <row r="10" spans="1:11" x14ac:dyDescent="0.2">
      <c r="A10" s="141"/>
      <c r="B10" s="245">
        <v>45269</v>
      </c>
      <c r="C10" s="246">
        <v>45272</v>
      </c>
      <c r="D10" s="168">
        <v>0.33333333333333331</v>
      </c>
      <c r="E10" s="168">
        <v>0.33333333333333331</v>
      </c>
      <c r="F10" s="1014" t="s">
        <v>930</v>
      </c>
      <c r="G10" s="145">
        <v>14</v>
      </c>
      <c r="H10" s="145">
        <v>2</v>
      </c>
      <c r="I10" s="49"/>
      <c r="J10" s="30"/>
      <c r="K10" s="30"/>
    </row>
    <row r="11" spans="1:11" x14ac:dyDescent="0.2">
      <c r="A11" s="141"/>
      <c r="B11" s="245">
        <v>45283</v>
      </c>
      <c r="C11" s="246">
        <v>45285</v>
      </c>
      <c r="D11" s="168">
        <v>0.33333333333333331</v>
      </c>
      <c r="E11" s="168">
        <v>0.33333333333333331</v>
      </c>
      <c r="F11" s="144"/>
      <c r="G11" s="145"/>
      <c r="H11" s="157">
        <v>1</v>
      </c>
      <c r="I11" s="49"/>
      <c r="J11" s="30"/>
      <c r="K11" s="30"/>
    </row>
    <row r="12" spans="1:11" x14ac:dyDescent="0.2">
      <c r="A12" s="141"/>
      <c r="B12" s="142">
        <v>45324</v>
      </c>
      <c r="C12" s="143">
        <v>45327</v>
      </c>
      <c r="D12" s="144">
        <v>0.33333333333333331</v>
      </c>
      <c r="E12" s="144">
        <v>0.33333333333333331</v>
      </c>
      <c r="F12" s="144"/>
      <c r="G12" s="145"/>
      <c r="H12" s="145">
        <v>2</v>
      </c>
    </row>
    <row r="13" spans="1:11" x14ac:dyDescent="0.2">
      <c r="A13" s="141"/>
      <c r="B13" s="142">
        <v>45667</v>
      </c>
      <c r="C13" s="143">
        <v>45668</v>
      </c>
      <c r="D13" s="722">
        <v>0.33333333333333331</v>
      </c>
      <c r="E13" s="722">
        <v>0.33333333333333331</v>
      </c>
      <c r="F13" s="144"/>
      <c r="G13" s="145"/>
      <c r="H13" s="145">
        <v>2</v>
      </c>
    </row>
    <row r="14" spans="1:11" x14ac:dyDescent="0.2">
      <c r="A14" s="141"/>
      <c r="B14" s="142">
        <v>45700</v>
      </c>
      <c r="C14" s="143">
        <v>45705</v>
      </c>
      <c r="D14" s="722">
        <v>0.33333333333333331</v>
      </c>
      <c r="E14" s="722">
        <v>0.33333333333333331</v>
      </c>
      <c r="F14" s="144"/>
      <c r="G14" s="145"/>
      <c r="H14" s="145">
        <v>5</v>
      </c>
    </row>
    <row r="15" spans="1:11" s="699" customFormat="1" x14ac:dyDescent="0.2">
      <c r="A15" s="719"/>
      <c r="B15" s="720">
        <v>45749</v>
      </c>
      <c r="C15" s="721">
        <v>45749</v>
      </c>
      <c r="D15" s="722">
        <v>0.33333333333333331</v>
      </c>
      <c r="E15" s="722">
        <v>0.33333333333333331</v>
      </c>
      <c r="F15" s="722"/>
      <c r="G15" s="723"/>
      <c r="H15" s="723">
        <v>1</v>
      </c>
    </row>
    <row r="16" spans="1:11" s="699" customFormat="1" x14ac:dyDescent="0.2">
      <c r="A16" s="719"/>
      <c r="B16" s="720"/>
      <c r="C16" s="721"/>
      <c r="D16" s="722"/>
      <c r="E16" s="722"/>
      <c r="F16" s="722"/>
      <c r="G16" s="723"/>
      <c r="H16" s="723"/>
    </row>
    <row r="17" spans="1:10" s="699" customFormat="1" x14ac:dyDescent="0.2">
      <c r="A17" s="719"/>
      <c r="B17" s="720">
        <v>45895</v>
      </c>
      <c r="C17" s="721">
        <v>45902</v>
      </c>
      <c r="D17" s="722"/>
      <c r="E17" s="722"/>
      <c r="F17" s="722"/>
      <c r="G17" s="723"/>
      <c r="H17" s="723">
        <v>7</v>
      </c>
    </row>
    <row r="18" spans="1:10" s="699" customFormat="1" x14ac:dyDescent="0.2">
      <c r="A18" s="719"/>
      <c r="B18" s="720">
        <v>45997</v>
      </c>
      <c r="C18" s="721">
        <v>45997</v>
      </c>
      <c r="D18" s="722"/>
      <c r="E18" s="722"/>
      <c r="F18" s="722"/>
      <c r="G18" s="723"/>
      <c r="H18" s="723">
        <v>1</v>
      </c>
      <c r="J18" s="699" t="s">
        <v>830</v>
      </c>
    </row>
    <row r="19" spans="1:10" s="699" customFormat="1" x14ac:dyDescent="0.2">
      <c r="A19" s="719"/>
      <c r="B19" s="720">
        <v>46062</v>
      </c>
      <c r="C19" s="721">
        <v>46069</v>
      </c>
      <c r="D19" s="722"/>
      <c r="E19" s="722"/>
      <c r="F19" s="722"/>
      <c r="G19" s="723"/>
      <c r="H19" s="723">
        <v>6</v>
      </c>
      <c r="J19" s="699" t="s">
        <v>830</v>
      </c>
    </row>
    <row r="20" spans="1:10" s="699" customFormat="1" x14ac:dyDescent="0.2">
      <c r="A20" s="719"/>
      <c r="B20" s="720">
        <v>46198</v>
      </c>
      <c r="C20" s="721">
        <v>46204</v>
      </c>
      <c r="D20" s="722"/>
      <c r="E20" s="722"/>
      <c r="F20" s="722"/>
      <c r="G20" s="723"/>
      <c r="H20" s="723">
        <v>5</v>
      </c>
    </row>
    <row r="21" spans="1:10" s="699" customFormat="1" x14ac:dyDescent="0.2">
      <c r="A21" s="719"/>
      <c r="B21" s="720"/>
      <c r="C21" s="721"/>
      <c r="D21" s="722"/>
      <c r="E21" s="722"/>
      <c r="F21" s="722"/>
      <c r="G21" s="723"/>
      <c r="H21" s="723"/>
    </row>
    <row r="22" spans="1:10" s="699" customFormat="1" x14ac:dyDescent="0.2">
      <c r="A22" s="719"/>
      <c r="B22" s="720"/>
      <c r="C22" s="721"/>
      <c r="D22" s="722"/>
      <c r="E22" s="722"/>
      <c r="F22" s="722"/>
      <c r="G22" s="723"/>
      <c r="H22" s="723"/>
    </row>
    <row r="23" spans="1:10" s="699" customFormat="1" x14ac:dyDescent="0.2">
      <c r="A23" s="719"/>
      <c r="B23" s="720"/>
      <c r="C23" s="721"/>
      <c r="D23" s="722"/>
      <c r="E23" s="722"/>
      <c r="F23" s="722"/>
      <c r="G23" s="723"/>
      <c r="H23" s="723"/>
    </row>
    <row r="24" spans="1:10" s="699" customFormat="1" x14ac:dyDescent="0.2">
      <c r="A24" s="719"/>
      <c r="B24" s="720"/>
      <c r="C24" s="721"/>
      <c r="D24" s="722"/>
      <c r="E24" s="722"/>
      <c r="F24" s="722"/>
      <c r="G24" s="723"/>
      <c r="H24" s="723"/>
    </row>
    <row r="25" spans="1:10" s="699" customFormat="1" x14ac:dyDescent="0.2">
      <c r="A25" s="719"/>
      <c r="B25" s="720"/>
      <c r="C25" s="721"/>
      <c r="D25" s="722"/>
      <c r="E25" s="722"/>
      <c r="F25" s="722"/>
      <c r="G25" s="723"/>
      <c r="H25" s="723"/>
    </row>
    <row r="26" spans="1:10" s="699" customFormat="1" x14ac:dyDescent="0.2">
      <c r="A26" s="719"/>
      <c r="B26" s="720"/>
      <c r="C26" s="721"/>
      <c r="D26" s="722"/>
      <c r="E26" s="722"/>
      <c r="F26" s="722"/>
      <c r="G26" s="723"/>
      <c r="H26" s="723"/>
    </row>
    <row r="27" spans="1:10" s="699" customFormat="1" x14ac:dyDescent="0.2">
      <c r="A27" s="719"/>
      <c r="B27" s="720"/>
      <c r="C27" s="721"/>
      <c r="D27" s="722"/>
      <c r="E27" s="722"/>
      <c r="F27" s="722"/>
      <c r="G27" s="723"/>
      <c r="H27" s="723"/>
    </row>
    <row r="28" spans="1:10" s="699" customFormat="1" x14ac:dyDescent="0.2">
      <c r="A28" s="719"/>
      <c r="B28" s="720"/>
      <c r="C28" s="721"/>
      <c r="D28" s="722"/>
      <c r="E28" s="722"/>
      <c r="F28" s="722"/>
      <c r="G28" s="723"/>
      <c r="H28" s="723"/>
    </row>
    <row r="29" spans="1:10" s="699" customFormat="1" x14ac:dyDescent="0.2">
      <c r="A29" s="719"/>
      <c r="B29" s="720"/>
      <c r="C29" s="721"/>
      <c r="D29" s="722"/>
      <c r="E29" s="722"/>
      <c r="F29" s="722"/>
      <c r="G29" s="723"/>
      <c r="H29" s="723"/>
    </row>
    <row r="30" spans="1:10" s="699" customFormat="1" x14ac:dyDescent="0.2">
      <c r="A30" s="719"/>
      <c r="B30" s="720"/>
      <c r="C30" s="721"/>
      <c r="D30" s="722"/>
      <c r="E30" s="722"/>
      <c r="F30" s="722"/>
      <c r="G30" s="723"/>
      <c r="H30" s="723"/>
    </row>
    <row r="31" spans="1:10" s="699" customFormat="1" x14ac:dyDescent="0.2">
      <c r="A31" s="719"/>
      <c r="B31" s="720"/>
      <c r="C31" s="721"/>
      <c r="D31" s="722"/>
      <c r="E31" s="722"/>
      <c r="F31" s="722"/>
      <c r="G31" s="723"/>
      <c r="H31" s="723"/>
    </row>
    <row r="32" spans="1:10" x14ac:dyDescent="0.2">
      <c r="A32" s="141"/>
      <c r="B32" s="142"/>
      <c r="C32" s="143"/>
      <c r="D32" s="144"/>
      <c r="E32" s="144"/>
      <c r="F32" s="144"/>
      <c r="G32" s="145"/>
      <c r="H32" s="145"/>
    </row>
    <row r="33" spans="1:8" x14ac:dyDescent="0.2">
      <c r="A33" s="141"/>
      <c r="B33" s="142"/>
      <c r="C33" s="143"/>
      <c r="D33" s="144"/>
      <c r="E33" s="144"/>
      <c r="F33" s="144"/>
      <c r="G33" s="145"/>
      <c r="H33" s="145"/>
    </row>
    <row r="34" spans="1:8" x14ac:dyDescent="0.2">
      <c r="A34" s="141"/>
      <c r="B34" s="142"/>
      <c r="C34" s="143"/>
      <c r="D34" s="144"/>
      <c r="E34" s="144"/>
      <c r="F34" s="145"/>
      <c r="G34" s="145"/>
      <c r="H34" s="145"/>
    </row>
    <row r="35" spans="1:8" x14ac:dyDescent="0.2">
      <c r="A35" s="141"/>
      <c r="B35" s="142"/>
      <c r="C35" s="143"/>
      <c r="D35" s="144"/>
      <c r="E35" s="144"/>
      <c r="F35" s="145"/>
      <c r="G35" s="145"/>
      <c r="H35" s="145"/>
    </row>
    <row r="36" spans="1:8" x14ac:dyDescent="0.2">
      <c r="A36" s="141"/>
      <c r="B36" s="142"/>
      <c r="C36" s="143"/>
      <c r="D36" s="144"/>
      <c r="E36" s="144"/>
      <c r="F36" s="145"/>
      <c r="G36" s="145"/>
      <c r="H36" s="145"/>
    </row>
    <row r="37" spans="1:8" x14ac:dyDescent="0.2">
      <c r="A37" s="141"/>
      <c r="B37" s="142"/>
      <c r="C37" s="143"/>
      <c r="D37" s="144"/>
      <c r="E37" s="144"/>
      <c r="F37" s="145"/>
      <c r="G37" s="145"/>
      <c r="H37" s="145"/>
    </row>
    <row r="38" spans="1:8" x14ac:dyDescent="0.2">
      <c r="A38" s="146"/>
      <c r="B38" s="142"/>
      <c r="C38" s="143"/>
      <c r="D38" s="144"/>
      <c r="E38" s="144"/>
      <c r="F38" s="140"/>
      <c r="G38" s="145"/>
      <c r="H38" s="145"/>
    </row>
    <row r="39" spans="1:8" x14ac:dyDescent="0.2">
      <c r="A39" s="55"/>
      <c r="B39" s="142"/>
      <c r="C39" s="143"/>
      <c r="D39" s="144"/>
      <c r="E39" s="144"/>
      <c r="F39" s="140"/>
      <c r="G39" s="145"/>
      <c r="H39" s="145"/>
    </row>
    <row r="40" spans="1:8" hidden="1" x14ac:dyDescent="0.2">
      <c r="A40" s="55"/>
      <c r="B40" s="142"/>
      <c r="C40" s="143"/>
      <c r="D40" s="144"/>
      <c r="E40" s="144"/>
      <c r="F40" s="140"/>
      <c r="G40" s="145"/>
      <c r="H40" s="145"/>
    </row>
    <row r="41" spans="1:8" hidden="1" x14ac:dyDescent="0.2">
      <c r="A41" s="147"/>
      <c r="B41" s="142"/>
      <c r="C41" s="143"/>
      <c r="D41" s="144"/>
      <c r="E41" s="144"/>
      <c r="F41" s="48"/>
      <c r="G41" s="66"/>
      <c r="H41" s="145"/>
    </row>
    <row r="42" spans="1:8" hidden="1" x14ac:dyDescent="0.2">
      <c r="A42" s="147"/>
      <c r="B42" s="142"/>
      <c r="C42" s="143"/>
      <c r="D42" s="144"/>
      <c r="E42" s="144"/>
      <c r="F42" s="48"/>
      <c r="G42" s="66"/>
      <c r="H42" s="145"/>
    </row>
    <row r="43" spans="1:8" hidden="1" x14ac:dyDescent="0.2">
      <c r="A43" s="147"/>
      <c r="B43" s="142"/>
      <c r="C43" s="143"/>
      <c r="D43" s="144"/>
      <c r="E43" s="144"/>
      <c r="F43" s="48"/>
      <c r="G43" s="66"/>
      <c r="H43" s="66"/>
    </row>
    <row r="44" spans="1:8" hidden="1" x14ac:dyDescent="0.2">
      <c r="A44" s="147"/>
      <c r="B44" s="142"/>
      <c r="C44" s="143"/>
      <c r="D44" s="144"/>
      <c r="E44" s="144"/>
      <c r="F44" s="48"/>
      <c r="G44" s="66"/>
      <c r="H44" s="66"/>
    </row>
    <row r="45" spans="1:8" x14ac:dyDescent="0.2">
      <c r="F45" s="294" t="s">
        <v>123</v>
      </c>
      <c r="G45" s="294">
        <f>SUM(G7:G44)</f>
        <v>56</v>
      </c>
      <c r="H45" s="294">
        <f>SUM(H7:H39)</f>
        <v>51</v>
      </c>
    </row>
    <row r="46" spans="1:8" x14ac:dyDescent="0.2">
      <c r="A46" s="522">
        <v>45596</v>
      </c>
      <c r="B46" s="82" t="s">
        <v>660</v>
      </c>
      <c r="F46" s="62"/>
      <c r="G46" s="63"/>
      <c r="H46" s="63"/>
    </row>
    <row r="47" spans="1:8" ht="14.25" x14ac:dyDescent="0.2">
      <c r="F47" s="1153" t="s">
        <v>8</v>
      </c>
      <c r="G47" s="1154"/>
      <c r="H47" s="84">
        <f>G45-H45</f>
        <v>5</v>
      </c>
    </row>
  </sheetData>
  <mergeCells count="3">
    <mergeCell ref="F47:G47"/>
    <mergeCell ref="J1:J3"/>
    <mergeCell ref="C1:H5"/>
  </mergeCells>
  <hyperlinks>
    <hyperlink ref="J1:J3" location="'ANA SAYFA'!A1" display="ANA SAYFA"/>
  </hyperlinks>
  <pageMargins left="0.7" right="0.12" top="0.3" bottom="0.28000000000000003" header="0.3" footer="0.3"/>
  <pageSetup paperSize="9" scale="71"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2"/>
  <sheetViews>
    <sheetView zoomScaleNormal="100" workbookViewId="0">
      <pane ySplit="6" topLeftCell="A7" activePane="bottomLeft" state="frozen"/>
      <selection pane="bottomLeft" activeCell="J1" sqref="J1:J3"/>
    </sheetView>
  </sheetViews>
  <sheetFormatPr defaultColWidth="9.140625" defaultRowHeight="12.75" x14ac:dyDescent="0.2"/>
  <cols>
    <col min="1" max="1" width="18.140625" style="82" bestFit="1" customWidth="1"/>
    <col min="2" max="2" width="27.28515625" style="82" bestFit="1" customWidth="1"/>
    <col min="3" max="3" width="27.5703125" style="82" bestFit="1" customWidth="1"/>
    <col min="4" max="4" width="6.7109375" style="82" bestFit="1" customWidth="1"/>
    <col min="5" max="5" width="8.85546875" style="82" bestFit="1" customWidth="1"/>
    <col min="6" max="6" width="20.85546875" style="82" bestFit="1" customWidth="1"/>
    <col min="7" max="7" width="14.28515625" style="82" bestFit="1" customWidth="1"/>
    <col min="8" max="8" width="12.5703125" style="82" bestFit="1" customWidth="1"/>
    <col min="9" max="9" width="4.42578125" style="82" customWidth="1"/>
    <col min="10" max="10" width="10.140625" style="82" customWidth="1"/>
    <col min="11" max="16384" width="9.140625" style="82"/>
  </cols>
  <sheetData>
    <row r="1" spans="1:11" ht="14.25" customHeight="1" x14ac:dyDescent="0.2">
      <c r="A1" s="29" t="s">
        <v>135</v>
      </c>
      <c r="B1" s="188" t="str">
        <f>'ANA SAYFA'!B50</f>
        <v>SAVAŞ KOTAN</v>
      </c>
      <c r="C1" s="1166" t="s">
        <v>136</v>
      </c>
      <c r="D1" s="1166"/>
      <c r="E1" s="1166"/>
      <c r="F1" s="1166"/>
      <c r="G1" s="1166"/>
      <c r="H1" s="1166"/>
      <c r="I1" s="28"/>
      <c r="J1" s="1183" t="s">
        <v>712</v>
      </c>
      <c r="K1" s="30"/>
    </row>
    <row r="2" spans="1:11" ht="14.25" customHeight="1" x14ac:dyDescent="0.2">
      <c r="A2" s="29" t="s">
        <v>137</v>
      </c>
      <c r="B2" s="154">
        <f>'ANA SAYFA'!D50</f>
        <v>69631191006</v>
      </c>
      <c r="C2" s="1166"/>
      <c r="D2" s="1166"/>
      <c r="E2" s="1166"/>
      <c r="F2" s="1166"/>
      <c r="G2" s="1166"/>
      <c r="H2" s="1166"/>
      <c r="I2" s="28"/>
      <c r="J2" s="1184"/>
      <c r="K2" s="30"/>
    </row>
    <row r="3" spans="1:11" ht="14.25" customHeight="1" thickBot="1" x14ac:dyDescent="0.25">
      <c r="A3" s="29" t="s">
        <v>131</v>
      </c>
      <c r="B3" s="153" t="str">
        <f>'ANA SAYFA'!C50</f>
        <v>KAMYON ŞOFÖRÜ</v>
      </c>
      <c r="C3" s="1166"/>
      <c r="D3" s="1166"/>
      <c r="E3" s="1166"/>
      <c r="F3" s="1166"/>
      <c r="G3" s="1166"/>
      <c r="H3" s="1166"/>
      <c r="I3" s="28"/>
      <c r="J3" s="1185"/>
      <c r="K3" s="30"/>
    </row>
    <row r="4" spans="1:11" ht="14.25" customHeight="1" x14ac:dyDescent="0.2">
      <c r="A4" s="29" t="s">
        <v>120</v>
      </c>
      <c r="B4" s="83">
        <f>'ANA SAYFA'!E50</f>
        <v>44858</v>
      </c>
      <c r="C4" s="1166"/>
      <c r="D4" s="1166"/>
      <c r="E4" s="1166"/>
      <c r="F4" s="1166"/>
      <c r="G4" s="1166"/>
      <c r="H4" s="1166"/>
      <c r="I4" s="28"/>
      <c r="J4" s="30"/>
      <c r="K4" s="30"/>
    </row>
    <row r="5" spans="1:11" ht="14.25" customHeight="1" x14ac:dyDescent="0.2">
      <c r="A5" s="29" t="s">
        <v>130</v>
      </c>
      <c r="B5" s="83">
        <f>'ANA SAYFA'!F50</f>
        <v>33139</v>
      </c>
      <c r="C5" s="1166"/>
      <c r="D5" s="1166"/>
      <c r="E5" s="1166"/>
      <c r="F5" s="1166"/>
      <c r="G5" s="1166"/>
      <c r="H5" s="1166"/>
      <c r="I5" s="28"/>
      <c r="J5" s="699"/>
      <c r="K5" s="699"/>
    </row>
    <row r="6" spans="1:11" ht="31.5" x14ac:dyDescent="0.2">
      <c r="A6" s="69" t="s">
        <v>0</v>
      </c>
      <c r="B6" s="70" t="s">
        <v>1</v>
      </c>
      <c r="C6" s="69" t="s">
        <v>2</v>
      </c>
      <c r="D6" s="71" t="s">
        <v>133</v>
      </c>
      <c r="E6" s="71" t="s">
        <v>4</v>
      </c>
      <c r="F6" s="71" t="s">
        <v>7</v>
      </c>
      <c r="G6" s="71" t="s">
        <v>6</v>
      </c>
      <c r="H6" s="71" t="s">
        <v>16</v>
      </c>
      <c r="I6" s="34"/>
      <c r="J6" s="699"/>
      <c r="K6" s="699"/>
    </row>
    <row r="7" spans="1:11" x14ac:dyDescent="0.2">
      <c r="A7" s="139"/>
      <c r="B7" s="155">
        <v>45035</v>
      </c>
      <c r="C7" s="156">
        <v>45040</v>
      </c>
      <c r="D7" s="168">
        <v>0.33333333333333331</v>
      </c>
      <c r="E7" s="168">
        <v>0.33333333333333331</v>
      </c>
      <c r="F7" s="83" t="s">
        <v>760</v>
      </c>
      <c r="G7" s="145">
        <v>14</v>
      </c>
      <c r="H7" s="755">
        <v>1</v>
      </c>
      <c r="I7" s="49"/>
      <c r="J7" s="30"/>
      <c r="K7" s="30"/>
    </row>
    <row r="8" spans="1:11" x14ac:dyDescent="0.2">
      <c r="A8" s="139"/>
      <c r="B8" s="155">
        <v>45099</v>
      </c>
      <c r="C8" s="156">
        <v>45110</v>
      </c>
      <c r="D8" s="168">
        <v>0.33333333333333331</v>
      </c>
      <c r="E8" s="168">
        <v>0.33333333333333331</v>
      </c>
      <c r="F8" s="83" t="s">
        <v>761</v>
      </c>
      <c r="G8" s="145">
        <v>14</v>
      </c>
      <c r="H8" s="755">
        <v>4</v>
      </c>
      <c r="I8" s="49"/>
      <c r="J8" s="30"/>
      <c r="K8" s="30"/>
    </row>
    <row r="9" spans="1:11" x14ac:dyDescent="0.2">
      <c r="A9" s="141"/>
      <c r="B9" s="155">
        <v>45127</v>
      </c>
      <c r="C9" s="158">
        <v>45129</v>
      </c>
      <c r="D9" s="168">
        <v>0.33333333333333331</v>
      </c>
      <c r="E9" s="168">
        <v>0.33333333333333331</v>
      </c>
      <c r="F9" s="189" t="s">
        <v>912</v>
      </c>
      <c r="G9" s="145">
        <v>14</v>
      </c>
      <c r="H9" s="755">
        <v>2</v>
      </c>
      <c r="I9" s="49"/>
      <c r="J9" s="30"/>
      <c r="K9" s="30"/>
    </row>
    <row r="10" spans="1:11" x14ac:dyDescent="0.2">
      <c r="A10" s="141"/>
      <c r="B10" s="245">
        <v>45212</v>
      </c>
      <c r="C10" s="246">
        <v>45222</v>
      </c>
      <c r="D10" s="168">
        <v>0.33333333333333331</v>
      </c>
      <c r="E10" s="168">
        <v>0.33333333333333331</v>
      </c>
      <c r="F10" s="144"/>
      <c r="G10" s="145"/>
      <c r="H10" s="237">
        <v>8</v>
      </c>
      <c r="I10" s="49"/>
      <c r="J10" s="30"/>
      <c r="K10" s="30"/>
    </row>
    <row r="11" spans="1:11" x14ac:dyDescent="0.2">
      <c r="A11" s="141"/>
      <c r="B11" s="142">
        <v>45232</v>
      </c>
      <c r="C11" s="143">
        <v>45233</v>
      </c>
      <c r="D11" s="168">
        <v>0.33333333333333331</v>
      </c>
      <c r="E11" s="168">
        <v>0.33333333333333331</v>
      </c>
      <c r="F11" s="144"/>
      <c r="G11" s="145"/>
      <c r="H11" s="237">
        <v>1</v>
      </c>
    </row>
    <row r="12" spans="1:11" x14ac:dyDescent="0.2">
      <c r="A12" s="141"/>
      <c r="B12" s="142">
        <v>45285</v>
      </c>
      <c r="C12" s="143">
        <v>45287</v>
      </c>
      <c r="D12" s="144">
        <v>0.5</v>
      </c>
      <c r="E12" s="144">
        <v>0.33333333333333331</v>
      </c>
      <c r="F12" s="144"/>
      <c r="G12" s="145"/>
      <c r="H12" s="237">
        <v>1.5</v>
      </c>
      <c r="K12" s="356"/>
    </row>
    <row r="13" spans="1:11" x14ac:dyDescent="0.2">
      <c r="A13" s="141"/>
      <c r="B13" s="142">
        <v>45318</v>
      </c>
      <c r="C13" s="143">
        <v>45321</v>
      </c>
      <c r="D13" s="144">
        <v>0.33333333333333331</v>
      </c>
      <c r="E13" s="144">
        <v>0.33333333333333331</v>
      </c>
      <c r="F13" s="144"/>
      <c r="G13" s="145"/>
      <c r="H13" s="237">
        <v>2</v>
      </c>
    </row>
    <row r="14" spans="1:11" x14ac:dyDescent="0.2">
      <c r="A14" s="1258" t="s">
        <v>482</v>
      </c>
      <c r="B14" s="1259"/>
      <c r="C14" s="1260"/>
      <c r="D14" s="355"/>
      <c r="E14" s="355"/>
      <c r="F14" s="355"/>
      <c r="G14" s="268"/>
      <c r="H14" s="869">
        <v>-3</v>
      </c>
    </row>
    <row r="15" spans="1:11" x14ac:dyDescent="0.2">
      <c r="A15" s="1195" t="s">
        <v>484</v>
      </c>
      <c r="B15" s="1246"/>
      <c r="C15" s="1196"/>
      <c r="D15" s="144"/>
      <c r="E15" s="144"/>
      <c r="F15" s="144"/>
      <c r="G15" s="145"/>
      <c r="H15" s="870">
        <v>-2</v>
      </c>
    </row>
    <row r="16" spans="1:11" x14ac:dyDescent="0.2">
      <c r="A16" s="141"/>
      <c r="B16" s="142">
        <v>45598</v>
      </c>
      <c r="C16" s="143">
        <v>45609</v>
      </c>
      <c r="D16" s="722">
        <v>0.33333333333333331</v>
      </c>
      <c r="E16" s="722">
        <v>0.33333333333333331</v>
      </c>
      <c r="F16" s="145"/>
      <c r="G16" s="145"/>
      <c r="H16" s="237">
        <v>10</v>
      </c>
    </row>
    <row r="17" spans="1:8" x14ac:dyDescent="0.2">
      <c r="A17" s="141"/>
      <c r="B17" s="142">
        <v>45743</v>
      </c>
      <c r="C17" s="143">
        <v>45744</v>
      </c>
      <c r="D17" s="722">
        <v>0.33333333333333331</v>
      </c>
      <c r="E17" s="722">
        <v>0.33333333333333331</v>
      </c>
      <c r="F17" s="145"/>
      <c r="G17" s="145"/>
      <c r="H17" s="237">
        <v>2</v>
      </c>
    </row>
    <row r="18" spans="1:8" x14ac:dyDescent="0.2">
      <c r="A18" s="141"/>
      <c r="B18" s="142">
        <v>45755</v>
      </c>
      <c r="C18" s="143">
        <v>45755</v>
      </c>
      <c r="D18" s="722">
        <v>0.33333333333333331</v>
      </c>
      <c r="E18" s="722">
        <v>0.33333333333333331</v>
      </c>
      <c r="F18" s="140"/>
      <c r="G18" s="145"/>
      <c r="H18" s="237">
        <v>1</v>
      </c>
    </row>
    <row r="19" spans="1:8" x14ac:dyDescent="0.2">
      <c r="A19" s="141"/>
      <c r="B19" s="142">
        <v>45810</v>
      </c>
      <c r="C19" s="143">
        <v>45901</v>
      </c>
      <c r="D19" s="722">
        <v>0.33333333333333331</v>
      </c>
      <c r="E19" s="722">
        <v>0.33333333333333331</v>
      </c>
      <c r="F19" s="140"/>
      <c r="G19" s="145"/>
      <c r="H19" s="237">
        <v>3</v>
      </c>
    </row>
    <row r="20" spans="1:8" s="699" customFormat="1" x14ac:dyDescent="0.2">
      <c r="A20" s="719"/>
      <c r="B20" s="720">
        <v>45964</v>
      </c>
      <c r="C20" s="721">
        <v>45972</v>
      </c>
      <c r="D20" s="722">
        <v>0.33333333333333331</v>
      </c>
      <c r="E20" s="722">
        <v>0.33333333333333331</v>
      </c>
      <c r="F20" s="718"/>
      <c r="G20" s="723"/>
      <c r="H20" s="237">
        <v>7</v>
      </c>
    </row>
    <row r="21" spans="1:8" s="699" customFormat="1" x14ac:dyDescent="0.2">
      <c r="A21" s="719"/>
      <c r="B21" s="720">
        <v>46099</v>
      </c>
      <c r="C21" s="721">
        <v>46100</v>
      </c>
      <c r="D21" s="722"/>
      <c r="E21" s="722"/>
      <c r="F21" s="718"/>
      <c r="G21" s="723"/>
      <c r="H21" s="237">
        <v>1</v>
      </c>
    </row>
    <row r="22" spans="1:8" s="699" customFormat="1" x14ac:dyDescent="0.2">
      <c r="A22" s="719"/>
      <c r="B22" s="720">
        <v>46104</v>
      </c>
      <c r="C22" s="721">
        <v>46104</v>
      </c>
      <c r="D22" s="722">
        <v>0.33333333333333331</v>
      </c>
      <c r="E22" s="722">
        <v>0.58333333333333337</v>
      </c>
      <c r="F22" s="718"/>
      <c r="G22" s="723"/>
      <c r="H22" s="237">
        <v>0.5</v>
      </c>
    </row>
    <row r="23" spans="1:8" s="699" customFormat="1" x14ac:dyDescent="0.2">
      <c r="A23" s="719"/>
      <c r="B23" s="720">
        <v>46174</v>
      </c>
      <c r="C23" s="721">
        <v>46176</v>
      </c>
      <c r="D23" s="722"/>
      <c r="E23" s="722"/>
      <c r="F23" s="718"/>
      <c r="G23" s="723"/>
      <c r="H23" s="237">
        <v>2</v>
      </c>
    </row>
    <row r="24" spans="1:8" s="699" customFormat="1" x14ac:dyDescent="0.2">
      <c r="A24" s="719"/>
      <c r="B24" s="720"/>
      <c r="C24" s="721"/>
      <c r="D24" s="722"/>
      <c r="E24" s="722"/>
      <c r="F24" s="718"/>
      <c r="G24" s="723"/>
      <c r="H24" s="237"/>
    </row>
    <row r="25" spans="1:8" s="699" customFormat="1" x14ac:dyDescent="0.2">
      <c r="A25" s="719"/>
      <c r="B25" s="720"/>
      <c r="C25" s="721"/>
      <c r="D25" s="722"/>
      <c r="E25" s="722"/>
      <c r="F25" s="718"/>
      <c r="G25" s="723"/>
      <c r="H25" s="237"/>
    </row>
    <row r="26" spans="1:8" s="699" customFormat="1" x14ac:dyDescent="0.2">
      <c r="A26" s="719"/>
      <c r="B26" s="720"/>
      <c r="C26" s="721"/>
      <c r="D26" s="722"/>
      <c r="E26" s="722"/>
      <c r="F26" s="718"/>
      <c r="G26" s="723"/>
      <c r="H26" s="237"/>
    </row>
    <row r="27" spans="1:8" x14ac:dyDescent="0.2">
      <c r="A27" s="146"/>
      <c r="B27" s="142"/>
      <c r="C27" s="143"/>
      <c r="D27" s="144"/>
      <c r="E27" s="144"/>
      <c r="F27" s="140"/>
      <c r="G27" s="145"/>
      <c r="H27" s="237"/>
    </row>
    <row r="28" spans="1:8" x14ac:dyDescent="0.2">
      <c r="A28" s="55"/>
      <c r="B28" s="142"/>
      <c r="C28" s="143"/>
      <c r="D28" s="144"/>
      <c r="E28" s="144"/>
      <c r="F28" s="140"/>
      <c r="G28" s="145"/>
      <c r="H28" s="237"/>
    </row>
    <row r="29" spans="1:8" x14ac:dyDescent="0.2">
      <c r="A29" s="55"/>
      <c r="B29" s="142"/>
      <c r="C29" s="143"/>
      <c r="D29" s="144"/>
      <c r="E29" s="144"/>
      <c r="F29" s="140"/>
      <c r="G29" s="145"/>
      <c r="H29" s="237"/>
    </row>
    <row r="30" spans="1:8" x14ac:dyDescent="0.2">
      <c r="A30" s="55"/>
      <c r="B30" s="142"/>
      <c r="C30" s="143"/>
      <c r="D30" s="144"/>
      <c r="E30" s="144"/>
      <c r="F30" s="140"/>
      <c r="G30" s="145"/>
      <c r="H30" s="237"/>
    </row>
    <row r="31" spans="1:8" x14ac:dyDescent="0.2">
      <c r="A31" s="55"/>
      <c r="B31" s="142"/>
      <c r="C31" s="143"/>
      <c r="D31" s="144"/>
      <c r="E31" s="144"/>
      <c r="F31" s="140"/>
      <c r="G31" s="145"/>
      <c r="H31" s="237"/>
    </row>
    <row r="32" spans="1:8" x14ac:dyDescent="0.2">
      <c r="A32" s="55"/>
      <c r="B32" s="142"/>
      <c r="C32" s="143"/>
      <c r="D32" s="144"/>
      <c r="E32" s="144"/>
      <c r="F32" s="140"/>
      <c r="G32" s="145"/>
      <c r="H32" s="237"/>
    </row>
    <row r="33" spans="1:8" x14ac:dyDescent="0.2">
      <c r="A33" s="55"/>
      <c r="B33" s="142"/>
      <c r="C33" s="143"/>
      <c r="D33" s="144"/>
      <c r="E33" s="144"/>
      <c r="F33" s="140"/>
      <c r="G33" s="145"/>
      <c r="H33" s="237"/>
    </row>
    <row r="34" spans="1:8" x14ac:dyDescent="0.2">
      <c r="A34" s="55"/>
      <c r="B34" s="142"/>
      <c r="C34" s="143"/>
      <c r="D34" s="144"/>
      <c r="E34" s="144"/>
      <c r="F34" s="140"/>
      <c r="G34" s="145"/>
      <c r="H34" s="237"/>
    </row>
    <row r="35" spans="1:8" x14ac:dyDescent="0.2">
      <c r="A35" s="55"/>
      <c r="B35" s="142"/>
      <c r="C35" s="143"/>
      <c r="D35" s="144"/>
      <c r="E35" s="144"/>
      <c r="F35" s="140"/>
      <c r="G35" s="145"/>
      <c r="H35" s="237"/>
    </row>
    <row r="36" spans="1:8" x14ac:dyDescent="0.2">
      <c r="A36" s="147"/>
      <c r="B36" s="142"/>
      <c r="C36" s="143"/>
      <c r="D36" s="144"/>
      <c r="E36" s="144"/>
      <c r="F36" s="48"/>
      <c r="G36" s="66"/>
      <c r="H36" s="237"/>
    </row>
    <row r="37" spans="1:8" x14ac:dyDescent="0.2">
      <c r="A37" s="147"/>
      <c r="B37" s="142"/>
      <c r="C37" s="143"/>
      <c r="D37" s="144"/>
      <c r="E37" s="144"/>
      <c r="F37" s="48"/>
      <c r="G37" s="66"/>
      <c r="H37" s="237"/>
    </row>
    <row r="38" spans="1:8" x14ac:dyDescent="0.2">
      <c r="A38" s="147"/>
      <c r="B38" s="142"/>
      <c r="C38" s="143"/>
      <c r="D38" s="144"/>
      <c r="E38" s="144"/>
      <c r="F38" s="48"/>
      <c r="G38" s="66"/>
      <c r="H38" s="80"/>
    </row>
    <row r="39" spans="1:8" x14ac:dyDescent="0.2">
      <c r="A39" s="147"/>
      <c r="B39" s="142"/>
      <c r="C39" s="143"/>
      <c r="D39" s="144"/>
      <c r="E39" s="144"/>
      <c r="F39" s="48"/>
      <c r="G39" s="66"/>
      <c r="H39" s="80"/>
    </row>
    <row r="40" spans="1:8" ht="16.5" customHeight="1" x14ac:dyDescent="0.2">
      <c r="F40" s="772" t="s">
        <v>123</v>
      </c>
      <c r="G40" s="827">
        <f>SUM(G7:G39)</f>
        <v>42</v>
      </c>
      <c r="H40" s="827">
        <f>SUM(H7:H39)</f>
        <v>41</v>
      </c>
    </row>
    <row r="41" spans="1:8" x14ac:dyDescent="0.2">
      <c r="F41" s="671"/>
      <c r="G41" s="714"/>
      <c r="H41" s="714"/>
    </row>
    <row r="42" spans="1:8" ht="14.25" x14ac:dyDescent="0.2">
      <c r="F42" s="1215" t="s">
        <v>8</v>
      </c>
      <c r="G42" s="1216"/>
      <c r="H42" s="797">
        <f>G40-H40</f>
        <v>1</v>
      </c>
    </row>
  </sheetData>
  <mergeCells count="5">
    <mergeCell ref="F42:G42"/>
    <mergeCell ref="J1:J3"/>
    <mergeCell ref="C1:H5"/>
    <mergeCell ref="A14:C14"/>
    <mergeCell ref="A15:C15"/>
  </mergeCells>
  <hyperlinks>
    <hyperlink ref="J1:J3" location="'ANA SAYFA'!A1" display="ANA SAYFA"/>
  </hyperlinks>
  <pageMargins left="0.7" right="0.12" top="0.12" bottom="0.75" header="0.12" footer="0.3"/>
  <pageSetup paperSize="9" scale="70" orientation="portrait" horizontalDpi="300" verticalDpi="300" r:id="rId1"/>
  <colBreaks count="1" manualBreakCount="1">
    <brk id="8" max="1048575" man="1"/>
  </col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5"/>
  <sheetViews>
    <sheetView zoomScaleNormal="100" workbookViewId="0">
      <pane ySplit="6" topLeftCell="A7" activePane="bottomLeft" state="frozen"/>
      <selection pane="bottomLeft" activeCell="J1" sqref="J1:J3"/>
    </sheetView>
  </sheetViews>
  <sheetFormatPr defaultColWidth="9.140625" defaultRowHeight="12.75" x14ac:dyDescent="0.2"/>
  <cols>
    <col min="1" max="1" width="18.140625" style="82" customWidth="1"/>
    <col min="2" max="2" width="27.5703125" style="82" bestFit="1" customWidth="1"/>
    <col min="3" max="3" width="30.7109375" style="82" customWidth="1"/>
    <col min="4" max="4" width="6.7109375" style="82" bestFit="1" customWidth="1"/>
    <col min="5" max="5" width="8.85546875" style="82" bestFit="1" customWidth="1"/>
    <col min="6" max="6" width="18.85546875" style="82" bestFit="1" customWidth="1"/>
    <col min="7" max="7" width="14.28515625" style="82" bestFit="1" customWidth="1"/>
    <col min="8" max="8" width="12.5703125" style="82" bestFit="1" customWidth="1"/>
    <col min="9" max="9" width="4" style="82" customWidth="1"/>
    <col min="10" max="10" width="12.140625" style="82" customWidth="1"/>
    <col min="11" max="15" width="9.140625" style="82"/>
    <col min="16" max="16" width="24.28515625" style="82" customWidth="1"/>
    <col min="17" max="16384" width="9.140625" style="82"/>
  </cols>
  <sheetData>
    <row r="1" spans="1:11" ht="15" customHeight="1" x14ac:dyDescent="0.2">
      <c r="A1" s="29" t="s">
        <v>135</v>
      </c>
      <c r="B1" s="188" t="str">
        <f>'ANA SAYFA'!B51</f>
        <v>SEYDİ SALTIK</v>
      </c>
      <c r="C1" s="1166" t="s">
        <v>136</v>
      </c>
      <c r="D1" s="1166"/>
      <c r="E1" s="1166"/>
      <c r="F1" s="1166"/>
      <c r="G1" s="1166"/>
      <c r="H1" s="1166"/>
      <c r="I1" s="28"/>
      <c r="J1" s="1183" t="s">
        <v>712</v>
      </c>
      <c r="K1" s="30"/>
    </row>
    <row r="2" spans="1:11" ht="15" customHeight="1" x14ac:dyDescent="0.2">
      <c r="A2" s="29" t="s">
        <v>137</v>
      </c>
      <c r="B2" s="154">
        <f>'ANA SAYFA'!D51</f>
        <v>39109958622</v>
      </c>
      <c r="C2" s="1166"/>
      <c r="D2" s="1166"/>
      <c r="E2" s="1166"/>
      <c r="F2" s="1166"/>
      <c r="G2" s="1166"/>
      <c r="H2" s="1166"/>
      <c r="I2" s="28"/>
      <c r="J2" s="1184"/>
      <c r="K2" s="30"/>
    </row>
    <row r="3" spans="1:11" ht="15" customHeight="1" thickBot="1" x14ac:dyDescent="0.25">
      <c r="A3" s="29" t="s">
        <v>131</v>
      </c>
      <c r="B3" s="83" t="str">
        <f>'ANA SAYFA'!C51</f>
        <v>TIR-ÇEKİCİ ŞOFÖRÜ</v>
      </c>
      <c r="C3" s="1166"/>
      <c r="D3" s="1166"/>
      <c r="E3" s="1166"/>
      <c r="F3" s="1166"/>
      <c r="G3" s="1166"/>
      <c r="H3" s="1166"/>
      <c r="I3" s="28"/>
      <c r="J3" s="1185"/>
      <c r="K3" s="30"/>
    </row>
    <row r="4" spans="1:11" ht="15" customHeight="1" x14ac:dyDescent="0.2">
      <c r="A4" s="29" t="s">
        <v>120</v>
      </c>
      <c r="B4" s="83">
        <f>'ANA SAYFA'!E51</f>
        <v>43822</v>
      </c>
      <c r="C4" s="1166"/>
      <c r="D4" s="1166"/>
      <c r="E4" s="1166"/>
      <c r="F4" s="1166"/>
      <c r="G4" s="1166"/>
      <c r="H4" s="1166"/>
      <c r="I4" s="28"/>
      <c r="J4" s="30"/>
      <c r="K4" s="30"/>
    </row>
    <row r="5" spans="1:11" ht="15" customHeight="1" x14ac:dyDescent="0.2">
      <c r="A5" s="29" t="s">
        <v>130</v>
      </c>
      <c r="B5" s="83">
        <f>'ANA SAYFA'!F51</f>
        <v>23712</v>
      </c>
      <c r="C5" s="1166"/>
      <c r="D5" s="1166"/>
      <c r="E5" s="1166"/>
      <c r="F5" s="1166"/>
      <c r="G5" s="1166"/>
      <c r="H5" s="1166"/>
      <c r="I5" s="28"/>
      <c r="J5" s="699"/>
      <c r="K5" s="699"/>
    </row>
    <row r="6" spans="1:11" ht="31.5" x14ac:dyDescent="0.2">
      <c r="A6" s="69" t="s">
        <v>0</v>
      </c>
      <c r="B6" s="70" t="s">
        <v>1</v>
      </c>
      <c r="C6" s="69" t="s">
        <v>2</v>
      </c>
      <c r="D6" s="71" t="s">
        <v>133</v>
      </c>
      <c r="E6" s="71" t="s">
        <v>4</v>
      </c>
      <c r="F6" s="71" t="s">
        <v>7</v>
      </c>
      <c r="G6" s="71" t="s">
        <v>6</v>
      </c>
      <c r="H6" s="71" t="s">
        <v>16</v>
      </c>
      <c r="I6" s="34"/>
      <c r="J6" s="896">
        <v>45443</v>
      </c>
      <c r="K6" s="699" t="s">
        <v>904</v>
      </c>
    </row>
    <row r="7" spans="1:11" x14ac:dyDescent="0.2">
      <c r="A7" s="139"/>
      <c r="B7" s="729">
        <v>43858</v>
      </c>
      <c r="C7" s="732">
        <v>43859</v>
      </c>
      <c r="D7" s="735">
        <v>0.33333333333333331</v>
      </c>
      <c r="E7" s="735">
        <v>0.33333333333333331</v>
      </c>
      <c r="F7" s="261" t="s">
        <v>404</v>
      </c>
      <c r="G7" s="723">
        <v>20</v>
      </c>
      <c r="H7" s="723">
        <v>1</v>
      </c>
      <c r="I7" s="684"/>
      <c r="J7" s="670"/>
      <c r="K7" s="30"/>
    </row>
    <row r="8" spans="1:11" x14ac:dyDescent="0.2">
      <c r="A8" s="139"/>
      <c r="B8" s="729">
        <v>43868</v>
      </c>
      <c r="C8" s="730">
        <v>43872</v>
      </c>
      <c r="D8" s="735">
        <v>0.33333333333333331</v>
      </c>
      <c r="E8" s="735">
        <v>0.33333333333333331</v>
      </c>
      <c r="F8" s="261" t="s">
        <v>405</v>
      </c>
      <c r="G8" s="723">
        <v>20</v>
      </c>
      <c r="H8" s="723">
        <v>3</v>
      </c>
      <c r="I8" s="684"/>
      <c r="J8" s="670"/>
      <c r="K8" s="30"/>
    </row>
    <row r="9" spans="1:11" x14ac:dyDescent="0.2">
      <c r="A9" s="141"/>
      <c r="B9" s="729">
        <v>43904</v>
      </c>
      <c r="C9" s="730">
        <v>43907</v>
      </c>
      <c r="D9" s="735">
        <v>0.33333333333333331</v>
      </c>
      <c r="E9" s="735">
        <v>0.33333333333333331</v>
      </c>
      <c r="F9" s="261" t="s">
        <v>406</v>
      </c>
      <c r="G9" s="723">
        <v>20</v>
      </c>
      <c r="H9" s="723">
        <v>3</v>
      </c>
      <c r="I9" s="684"/>
      <c r="J9" s="670"/>
      <c r="K9" s="30"/>
    </row>
    <row r="10" spans="1:11" x14ac:dyDescent="0.2">
      <c r="A10" s="141"/>
      <c r="B10" s="729">
        <v>43948</v>
      </c>
      <c r="C10" s="732">
        <v>43953</v>
      </c>
      <c r="D10" s="735">
        <v>0.33333333333333331</v>
      </c>
      <c r="E10" s="735">
        <v>0.33333333333333331</v>
      </c>
      <c r="F10" s="261" t="s">
        <v>475</v>
      </c>
      <c r="G10" s="723">
        <v>20</v>
      </c>
      <c r="H10" s="723">
        <v>6</v>
      </c>
      <c r="I10" s="684"/>
      <c r="J10" s="670"/>
      <c r="K10" s="30"/>
    </row>
    <row r="11" spans="1:11" x14ac:dyDescent="0.2">
      <c r="A11" s="141"/>
      <c r="B11" s="760">
        <v>44041</v>
      </c>
      <c r="C11" s="761">
        <v>44048</v>
      </c>
      <c r="D11" s="722">
        <v>0.33333333333333331</v>
      </c>
      <c r="E11" s="722">
        <v>0.33333333333333331</v>
      </c>
      <c r="F11" s="261" t="s">
        <v>664</v>
      </c>
      <c r="G11" s="723">
        <v>20</v>
      </c>
      <c r="H11" s="723">
        <v>1</v>
      </c>
      <c r="I11" s="684"/>
      <c r="J11" s="670"/>
      <c r="K11" s="30"/>
    </row>
    <row r="12" spans="1:11" x14ac:dyDescent="0.2">
      <c r="A12" s="141"/>
      <c r="B12" s="720">
        <v>44088</v>
      </c>
      <c r="C12" s="721">
        <v>44090</v>
      </c>
      <c r="D12" s="722">
        <v>0.33333333333333331</v>
      </c>
      <c r="E12" s="722">
        <v>0.33333333333333331</v>
      </c>
      <c r="F12" s="722" t="s">
        <v>956</v>
      </c>
      <c r="G12" s="723">
        <v>20</v>
      </c>
      <c r="H12" s="723">
        <v>2</v>
      </c>
      <c r="I12" s="759"/>
      <c r="J12" s="759"/>
    </row>
    <row r="13" spans="1:11" x14ac:dyDescent="0.2">
      <c r="A13" s="141"/>
      <c r="B13" s="720">
        <v>44179</v>
      </c>
      <c r="C13" s="721">
        <v>44184</v>
      </c>
      <c r="D13" s="722">
        <v>0.33333333333333331</v>
      </c>
      <c r="E13" s="722">
        <v>0.33333333333333331</v>
      </c>
      <c r="F13" s="722"/>
      <c r="G13" s="723"/>
      <c r="H13" s="723">
        <v>5</v>
      </c>
      <c r="I13" s="759"/>
      <c r="J13" s="759"/>
    </row>
    <row r="14" spans="1:11" x14ac:dyDescent="0.2">
      <c r="A14" s="141"/>
      <c r="B14" s="720">
        <v>44242</v>
      </c>
      <c r="C14" s="721">
        <v>44245</v>
      </c>
      <c r="D14" s="722">
        <v>0.33333333333333331</v>
      </c>
      <c r="E14" s="722">
        <v>0.33333333333333331</v>
      </c>
      <c r="F14" s="722"/>
      <c r="G14" s="723"/>
      <c r="H14" s="723">
        <v>3</v>
      </c>
      <c r="I14" s="759"/>
      <c r="J14" s="759"/>
    </row>
    <row r="15" spans="1:11" x14ac:dyDescent="0.2">
      <c r="A15" s="141"/>
      <c r="B15" s="720">
        <v>44266</v>
      </c>
      <c r="C15" s="721">
        <v>44268</v>
      </c>
      <c r="D15" s="722">
        <v>0.33333333333333331</v>
      </c>
      <c r="E15" s="722">
        <v>0.33333333333333331</v>
      </c>
      <c r="F15" s="722"/>
      <c r="G15" s="723"/>
      <c r="H15" s="723">
        <v>1</v>
      </c>
      <c r="I15" s="759"/>
      <c r="J15" s="759"/>
    </row>
    <row r="16" spans="1:11" x14ac:dyDescent="0.2">
      <c r="A16" s="141"/>
      <c r="B16" s="720">
        <v>44288</v>
      </c>
      <c r="C16" s="721">
        <v>44293</v>
      </c>
      <c r="D16" s="722">
        <v>0.33333333333333331</v>
      </c>
      <c r="E16" s="722">
        <v>0.45833333333333331</v>
      </c>
      <c r="F16" s="722"/>
      <c r="G16" s="723"/>
      <c r="H16" s="723">
        <v>4.5</v>
      </c>
      <c r="I16" s="759"/>
      <c r="J16" s="759"/>
    </row>
    <row r="17" spans="1:16" x14ac:dyDescent="0.2">
      <c r="A17" s="141"/>
      <c r="B17" s="720">
        <v>44333</v>
      </c>
      <c r="C17" s="721">
        <v>44334</v>
      </c>
      <c r="D17" s="722">
        <v>0.33333333333333331</v>
      </c>
      <c r="E17" s="722">
        <v>0.33333333333333331</v>
      </c>
      <c r="F17" s="253"/>
      <c r="G17" s="723"/>
      <c r="H17" s="723">
        <v>1</v>
      </c>
      <c r="I17" s="759"/>
      <c r="J17" s="759"/>
    </row>
    <row r="18" spans="1:16" x14ac:dyDescent="0.2">
      <c r="A18" s="141"/>
      <c r="B18" s="720">
        <v>44380</v>
      </c>
      <c r="C18" s="721">
        <v>44384</v>
      </c>
      <c r="D18" s="722">
        <v>0.33333333333333331</v>
      </c>
      <c r="E18" s="722">
        <v>0.33333333333333331</v>
      </c>
      <c r="F18" s="253"/>
      <c r="G18" s="723"/>
      <c r="H18" s="723">
        <v>3</v>
      </c>
      <c r="I18" s="759"/>
      <c r="J18" s="759"/>
    </row>
    <row r="19" spans="1:16" x14ac:dyDescent="0.2">
      <c r="A19" s="141"/>
      <c r="B19" s="720">
        <v>44443</v>
      </c>
      <c r="C19" s="721">
        <v>44447</v>
      </c>
      <c r="D19" s="722">
        <v>0.33333333333333331</v>
      </c>
      <c r="E19" s="722">
        <v>0.33333333333333331</v>
      </c>
      <c r="F19" s="263"/>
      <c r="G19" s="723"/>
      <c r="H19" s="723">
        <v>3</v>
      </c>
      <c r="I19" s="759"/>
      <c r="J19" s="759"/>
    </row>
    <row r="20" spans="1:16" x14ac:dyDescent="0.2">
      <c r="A20" s="141"/>
      <c r="B20" s="720">
        <v>44501</v>
      </c>
      <c r="C20" s="721">
        <v>44502</v>
      </c>
      <c r="D20" s="722">
        <v>0.33333333333333331</v>
      </c>
      <c r="E20" s="722">
        <v>0.33333333333333331</v>
      </c>
      <c r="F20" s="263"/>
      <c r="G20" s="723"/>
      <c r="H20" s="723">
        <v>1</v>
      </c>
      <c r="I20" s="759"/>
      <c r="J20" s="759"/>
    </row>
    <row r="21" spans="1:16" x14ac:dyDescent="0.2">
      <c r="A21" s="55"/>
      <c r="B21" s="720">
        <v>44536</v>
      </c>
      <c r="C21" s="721">
        <v>44550</v>
      </c>
      <c r="D21" s="722">
        <v>0.33333333333333331</v>
      </c>
      <c r="E21" s="722">
        <v>0.33333333333333331</v>
      </c>
      <c r="F21" s="263"/>
      <c r="G21" s="723"/>
      <c r="H21" s="723">
        <v>12</v>
      </c>
      <c r="I21" s="759"/>
      <c r="J21" s="759"/>
    </row>
    <row r="22" spans="1:16" x14ac:dyDescent="0.2">
      <c r="A22" s="55"/>
      <c r="B22" s="720">
        <v>44645</v>
      </c>
      <c r="C22" s="721">
        <v>44655</v>
      </c>
      <c r="D22" s="722">
        <v>0.33333333333333331</v>
      </c>
      <c r="E22" s="722">
        <v>0.33333333333333331</v>
      </c>
      <c r="F22" s="263"/>
      <c r="G22" s="723"/>
      <c r="H22" s="723">
        <v>8</v>
      </c>
      <c r="I22" s="759"/>
      <c r="J22" s="759"/>
    </row>
    <row r="23" spans="1:16" x14ac:dyDescent="0.2">
      <c r="A23" s="55"/>
      <c r="B23" s="720">
        <v>44747</v>
      </c>
      <c r="C23" s="721">
        <v>44756</v>
      </c>
      <c r="D23" s="722">
        <v>0.33333333333333331</v>
      </c>
      <c r="E23" s="722">
        <v>0.33333333333333331</v>
      </c>
      <c r="F23" s="263"/>
      <c r="G23" s="723"/>
      <c r="H23" s="723">
        <v>3</v>
      </c>
      <c r="I23" s="759"/>
      <c r="J23" s="759"/>
    </row>
    <row r="24" spans="1:16" x14ac:dyDescent="0.2">
      <c r="A24" s="55"/>
      <c r="B24" s="720">
        <v>44781</v>
      </c>
      <c r="C24" s="721">
        <v>44783</v>
      </c>
      <c r="D24" s="722">
        <v>0.33333333333333331</v>
      </c>
      <c r="E24" s="722">
        <v>0.33333333333333331</v>
      </c>
      <c r="F24" s="263"/>
      <c r="G24" s="723"/>
      <c r="H24" s="723">
        <v>2</v>
      </c>
      <c r="I24" s="759"/>
      <c r="J24" s="759"/>
    </row>
    <row r="25" spans="1:16" x14ac:dyDescent="0.2">
      <c r="A25" s="55"/>
      <c r="B25" s="720">
        <v>44832</v>
      </c>
      <c r="C25" s="721">
        <v>44837</v>
      </c>
      <c r="D25" s="722">
        <v>0.33333333333333331</v>
      </c>
      <c r="E25" s="722">
        <v>0.33333333333333331</v>
      </c>
      <c r="F25" s="263"/>
      <c r="G25" s="723"/>
      <c r="H25" s="723">
        <v>4</v>
      </c>
      <c r="I25" s="759"/>
      <c r="J25" s="759"/>
    </row>
    <row r="26" spans="1:16" x14ac:dyDescent="0.2">
      <c r="A26" s="55"/>
      <c r="B26" s="720">
        <v>45103</v>
      </c>
      <c r="C26" s="721">
        <v>45119</v>
      </c>
      <c r="D26" s="722">
        <v>0.33333333333333331</v>
      </c>
      <c r="E26" s="722">
        <v>0.33333333333333331</v>
      </c>
      <c r="F26" s="263"/>
      <c r="G26" s="723"/>
      <c r="H26" s="723">
        <v>9</v>
      </c>
      <c r="I26" s="759"/>
      <c r="J26" s="759"/>
    </row>
    <row r="27" spans="1:16" x14ac:dyDescent="0.2">
      <c r="A27" s="55"/>
      <c r="B27" s="720">
        <v>45199</v>
      </c>
      <c r="C27" s="721">
        <v>45201</v>
      </c>
      <c r="D27" s="722">
        <v>0.33333333333333331</v>
      </c>
      <c r="E27" s="722">
        <v>0.33333333333333331</v>
      </c>
      <c r="F27" s="263"/>
      <c r="G27" s="723"/>
      <c r="H27" s="723">
        <v>1</v>
      </c>
      <c r="I27" s="759"/>
      <c r="J27" s="759"/>
    </row>
    <row r="28" spans="1:16" x14ac:dyDescent="0.2">
      <c r="A28" s="55"/>
      <c r="B28" s="720">
        <v>45206</v>
      </c>
      <c r="C28" s="721">
        <v>45208</v>
      </c>
      <c r="D28" s="722">
        <v>0.33333333333333331</v>
      </c>
      <c r="E28" s="722">
        <v>0.33333333333333331</v>
      </c>
      <c r="F28" s="263"/>
      <c r="G28" s="723"/>
      <c r="H28" s="723">
        <v>1</v>
      </c>
      <c r="I28" s="759"/>
      <c r="J28" s="759"/>
    </row>
    <row r="29" spans="1:16" x14ac:dyDescent="0.2">
      <c r="A29" s="55"/>
      <c r="B29" s="720">
        <v>45250</v>
      </c>
      <c r="C29" s="721">
        <v>45257</v>
      </c>
      <c r="D29" s="722">
        <v>0.33333333333333331</v>
      </c>
      <c r="E29" s="722">
        <v>0.33333333333333331</v>
      </c>
      <c r="F29" s="263"/>
      <c r="G29" s="723"/>
      <c r="H29" s="723">
        <v>6</v>
      </c>
      <c r="I29" s="759"/>
      <c r="J29" s="759"/>
    </row>
    <row r="30" spans="1:16" x14ac:dyDescent="0.2">
      <c r="A30" s="55"/>
      <c r="B30" s="720">
        <v>45268</v>
      </c>
      <c r="C30" s="721">
        <v>45269</v>
      </c>
      <c r="D30" s="722">
        <v>0.33333333333333331</v>
      </c>
      <c r="E30" s="722">
        <v>0.33333333333333331</v>
      </c>
      <c r="F30" s="263"/>
      <c r="G30" s="723"/>
      <c r="H30" s="723">
        <v>1</v>
      </c>
      <c r="I30" s="759"/>
      <c r="J30" s="759"/>
    </row>
    <row r="31" spans="1:16" x14ac:dyDescent="0.2">
      <c r="A31" s="147"/>
      <c r="B31" s="720">
        <v>45492</v>
      </c>
      <c r="C31" s="721">
        <v>45493</v>
      </c>
      <c r="D31" s="722">
        <v>0.33333333333333298</v>
      </c>
      <c r="E31" s="722">
        <v>0.33333333333333298</v>
      </c>
      <c r="F31" s="282"/>
      <c r="G31" s="691"/>
      <c r="H31" s="723">
        <v>2</v>
      </c>
      <c r="I31" s="759"/>
      <c r="J31" s="759"/>
      <c r="O31" s="82">
        <v>4</v>
      </c>
      <c r="P31" s="990">
        <v>45934</v>
      </c>
    </row>
    <row r="32" spans="1:16" x14ac:dyDescent="0.2">
      <c r="A32" s="147"/>
      <c r="B32" s="720">
        <v>45502</v>
      </c>
      <c r="C32" s="721">
        <v>45514</v>
      </c>
      <c r="D32" s="722"/>
      <c r="E32" s="722"/>
      <c r="F32" s="282"/>
      <c r="G32" s="691"/>
      <c r="H32" s="723">
        <v>12</v>
      </c>
      <c r="I32" s="759"/>
      <c r="J32" s="759"/>
      <c r="O32" s="82">
        <v>6</v>
      </c>
      <c r="P32" s="990">
        <v>45936</v>
      </c>
    </row>
    <row r="33" spans="1:16" x14ac:dyDescent="0.2">
      <c r="A33" s="1195" t="s">
        <v>632</v>
      </c>
      <c r="B33" s="1246"/>
      <c r="C33" s="1196"/>
      <c r="D33" s="722"/>
      <c r="E33" s="722"/>
      <c r="F33" s="282"/>
      <c r="G33" s="691"/>
      <c r="H33" s="822">
        <v>-15</v>
      </c>
      <c r="I33" s="759"/>
      <c r="J33" s="759"/>
      <c r="O33" s="82">
        <v>7</v>
      </c>
      <c r="P33" s="990">
        <v>45937</v>
      </c>
    </row>
    <row r="34" spans="1:16" x14ac:dyDescent="0.2">
      <c r="A34" s="1195" t="s">
        <v>641</v>
      </c>
      <c r="B34" s="1246"/>
      <c r="C34" s="1196"/>
      <c r="D34" s="722"/>
      <c r="E34" s="722"/>
      <c r="F34" s="282"/>
      <c r="G34" s="691"/>
      <c r="H34" s="871">
        <v>-3</v>
      </c>
      <c r="I34" s="759"/>
      <c r="J34" s="759"/>
      <c r="O34" s="82">
        <v>8</v>
      </c>
      <c r="P34" s="990">
        <v>45938</v>
      </c>
    </row>
    <row r="35" spans="1:16" x14ac:dyDescent="0.2">
      <c r="A35" s="147"/>
      <c r="B35" s="720">
        <v>45679</v>
      </c>
      <c r="C35" s="721">
        <v>45689</v>
      </c>
      <c r="D35" s="722">
        <v>0.33333333333333298</v>
      </c>
      <c r="E35" s="722">
        <v>0.33333333333333298</v>
      </c>
      <c r="F35" s="282"/>
      <c r="G35" s="691"/>
      <c r="H35" s="723">
        <v>10</v>
      </c>
      <c r="I35" s="759"/>
      <c r="J35" s="759"/>
      <c r="O35" s="82">
        <v>9</v>
      </c>
      <c r="P35" s="990">
        <v>45939</v>
      </c>
    </row>
    <row r="36" spans="1:16" x14ac:dyDescent="0.2">
      <c r="A36" s="147" t="s">
        <v>823</v>
      </c>
      <c r="B36" s="720">
        <v>45857</v>
      </c>
      <c r="C36" s="721">
        <v>45862</v>
      </c>
      <c r="D36" s="722">
        <v>0.33333333333333298</v>
      </c>
      <c r="E36" s="722">
        <v>0.33333333333333298</v>
      </c>
      <c r="F36" s="282"/>
      <c r="G36" s="691"/>
      <c r="H36" s="723">
        <v>4</v>
      </c>
      <c r="I36" s="759"/>
      <c r="J36" s="759"/>
      <c r="O36" s="82">
        <v>10</v>
      </c>
      <c r="P36" s="990">
        <v>45940</v>
      </c>
    </row>
    <row r="37" spans="1:16" x14ac:dyDescent="0.2">
      <c r="A37" s="994"/>
      <c r="B37" s="990">
        <v>45934</v>
      </c>
      <c r="C37" s="995">
        <v>45940</v>
      </c>
      <c r="D37" s="996"/>
      <c r="E37" s="996"/>
      <c r="F37" s="997"/>
      <c r="G37" s="802"/>
      <c r="H37" s="979">
        <v>6</v>
      </c>
    </row>
    <row r="38" spans="1:16" x14ac:dyDescent="0.2">
      <c r="A38" s="147"/>
      <c r="B38" s="142"/>
      <c r="C38" s="143"/>
      <c r="D38" s="144"/>
      <c r="E38" s="144"/>
      <c r="F38" s="282"/>
      <c r="G38" s="66"/>
      <c r="H38" s="287"/>
      <c r="O38" s="82">
        <v>11</v>
      </c>
      <c r="P38" s="720">
        <v>45941</v>
      </c>
    </row>
    <row r="39" spans="1:16" x14ac:dyDescent="0.2">
      <c r="A39" s="147"/>
      <c r="B39" s="142">
        <v>45941</v>
      </c>
      <c r="C39" s="143">
        <v>45961</v>
      </c>
      <c r="D39" s="144"/>
      <c r="E39" s="144"/>
      <c r="F39" s="282"/>
      <c r="G39" s="66">
        <v>21</v>
      </c>
      <c r="H39" s="287">
        <v>21</v>
      </c>
      <c r="O39" s="82">
        <v>13</v>
      </c>
      <c r="P39" s="720">
        <v>45942</v>
      </c>
    </row>
    <row r="40" spans="1:16" x14ac:dyDescent="0.2">
      <c r="A40" s="147"/>
      <c r="B40" s="142"/>
      <c r="C40" s="143"/>
      <c r="D40" s="144"/>
      <c r="E40" s="144"/>
      <c r="F40" s="282"/>
      <c r="G40" s="66"/>
      <c r="H40" s="287"/>
      <c r="O40" s="82">
        <v>14</v>
      </c>
      <c r="P40" s="720">
        <v>45943</v>
      </c>
    </row>
    <row r="41" spans="1:16" x14ac:dyDescent="0.2">
      <c r="A41" s="147"/>
      <c r="B41" s="142"/>
      <c r="C41" s="143"/>
      <c r="D41" s="144"/>
      <c r="E41" s="144"/>
      <c r="F41" s="282"/>
      <c r="G41" s="66"/>
      <c r="H41" s="287"/>
      <c r="O41" s="82">
        <v>15</v>
      </c>
      <c r="P41" s="720">
        <v>45944</v>
      </c>
    </row>
    <row r="42" spans="1:16" x14ac:dyDescent="0.2">
      <c r="A42" s="147"/>
      <c r="B42" s="142"/>
      <c r="C42" s="143"/>
      <c r="D42" s="144"/>
      <c r="E42" s="144"/>
      <c r="F42" s="282"/>
      <c r="G42" s="66"/>
      <c r="H42" s="287"/>
      <c r="O42" s="82">
        <v>16</v>
      </c>
      <c r="P42" s="720">
        <v>45945</v>
      </c>
    </row>
    <row r="43" spans="1:16" x14ac:dyDescent="0.2">
      <c r="A43" s="147"/>
      <c r="B43" s="142"/>
      <c r="C43" s="143"/>
      <c r="D43" s="144"/>
      <c r="E43" s="144"/>
      <c r="F43" s="282"/>
      <c r="G43" s="66"/>
      <c r="H43" s="287"/>
      <c r="P43" s="720">
        <v>45946</v>
      </c>
    </row>
    <row r="44" spans="1:16" x14ac:dyDescent="0.2">
      <c r="A44" s="147"/>
      <c r="B44" s="142"/>
      <c r="C44" s="143"/>
      <c r="D44" s="144"/>
      <c r="E44" s="144"/>
      <c r="F44" s="282"/>
      <c r="G44" s="66"/>
      <c r="H44" s="287"/>
      <c r="P44" s="720">
        <v>45947</v>
      </c>
    </row>
    <row r="45" spans="1:16" x14ac:dyDescent="0.2">
      <c r="A45" s="147"/>
      <c r="B45" s="142"/>
      <c r="C45" s="143"/>
      <c r="D45" s="144"/>
      <c r="E45" s="144"/>
      <c r="F45" s="282"/>
      <c r="G45" s="66"/>
      <c r="H45" s="287"/>
      <c r="P45" s="720">
        <v>45948</v>
      </c>
    </row>
    <row r="46" spans="1:16" x14ac:dyDescent="0.2">
      <c r="A46" s="147"/>
      <c r="B46" s="142"/>
      <c r="C46" s="143"/>
      <c r="D46" s="144"/>
      <c r="E46" s="144"/>
      <c r="F46" s="282"/>
      <c r="G46" s="66"/>
      <c r="H46" s="287"/>
      <c r="P46" s="720">
        <v>45949</v>
      </c>
    </row>
    <row r="47" spans="1:16" x14ac:dyDescent="0.2">
      <c r="A47" s="147"/>
      <c r="B47" s="142"/>
      <c r="C47" s="143"/>
      <c r="D47" s="144"/>
      <c r="E47" s="144"/>
      <c r="F47" s="282"/>
      <c r="G47" s="66"/>
      <c r="H47" s="287"/>
      <c r="P47" s="720">
        <v>45950</v>
      </c>
    </row>
    <row r="48" spans="1:16" x14ac:dyDescent="0.2">
      <c r="A48" s="147"/>
      <c r="B48" s="142"/>
      <c r="C48" s="143"/>
      <c r="D48" s="144"/>
      <c r="E48" s="144"/>
      <c r="F48" s="282"/>
      <c r="G48" s="66"/>
      <c r="H48" s="287"/>
    </row>
    <row r="49" spans="1:10" x14ac:dyDescent="0.2">
      <c r="A49" s="147"/>
      <c r="B49" s="142"/>
      <c r="C49" s="143"/>
      <c r="D49" s="144"/>
      <c r="E49" s="144"/>
      <c r="F49" s="282"/>
      <c r="G49" s="66"/>
      <c r="H49" s="287"/>
    </row>
    <row r="50" spans="1:10" x14ac:dyDescent="0.2">
      <c r="A50" s="147"/>
      <c r="B50" s="142"/>
      <c r="C50" s="143"/>
      <c r="D50" s="144"/>
      <c r="E50" s="144"/>
      <c r="F50" s="282"/>
      <c r="G50" s="66"/>
      <c r="H50" s="287"/>
    </row>
    <row r="51" spans="1:10" x14ac:dyDescent="0.2">
      <c r="A51" s="147"/>
      <c r="B51" s="142"/>
      <c r="C51" s="143"/>
      <c r="D51" s="144"/>
      <c r="E51" s="144"/>
      <c r="F51" s="282"/>
      <c r="G51" s="66"/>
      <c r="H51" s="287"/>
    </row>
    <row r="52" spans="1:10" x14ac:dyDescent="0.2">
      <c r="A52" s="147"/>
      <c r="B52" s="142"/>
      <c r="C52" s="143"/>
      <c r="D52" s="144"/>
      <c r="E52" s="144"/>
      <c r="F52" s="282"/>
      <c r="G52" s="66"/>
      <c r="H52" s="287"/>
    </row>
    <row r="53" spans="1:10" x14ac:dyDescent="0.2">
      <c r="F53" s="277" t="s">
        <v>123</v>
      </c>
      <c r="G53" s="77">
        <f>SUM(G7:G52)</f>
        <v>141</v>
      </c>
      <c r="H53" s="77">
        <f>SUM(H7:H52)</f>
        <v>121.5</v>
      </c>
    </row>
    <row r="54" spans="1:10" x14ac:dyDescent="0.2">
      <c r="F54" s="62"/>
      <c r="G54" s="63"/>
      <c r="H54" s="63"/>
    </row>
    <row r="55" spans="1:10" ht="14.25" x14ac:dyDescent="0.2">
      <c r="F55" s="1153" t="s">
        <v>8</v>
      </c>
      <c r="G55" s="1154"/>
      <c r="H55" s="84">
        <f>G53-H53</f>
        <v>19.5</v>
      </c>
      <c r="I55" s="505"/>
      <c r="J55" s="505"/>
    </row>
  </sheetData>
  <mergeCells count="5">
    <mergeCell ref="F55:G55"/>
    <mergeCell ref="J1:J3"/>
    <mergeCell ref="C1:H5"/>
    <mergeCell ref="A33:C33"/>
    <mergeCell ref="A34:C34"/>
  </mergeCells>
  <hyperlinks>
    <hyperlink ref="J1:J3" location="'ANA SAYFA'!A1" display="ANA SAYFA"/>
  </hyperlinks>
  <pageMargins left="0.7" right="0.12" top="0.12" bottom="0.28000000000000003" header="0.12" footer="0.3"/>
  <pageSetup paperSize="9" scale="69" orientation="portrait" r:id="rId1"/>
  <colBreaks count="1" manualBreakCount="1">
    <brk id="8" max="1048575" man="1"/>
  </col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93"/>
  <sheetViews>
    <sheetView zoomScaleNormal="100" workbookViewId="0">
      <pane ySplit="6" topLeftCell="A7" activePane="bottomLeft" state="frozen"/>
      <selection pane="bottomLeft" activeCell="J1" sqref="J1:J3"/>
    </sheetView>
  </sheetViews>
  <sheetFormatPr defaultColWidth="9.140625" defaultRowHeight="12.75" x14ac:dyDescent="0.2"/>
  <cols>
    <col min="1" max="1" width="18.140625" style="82" bestFit="1" customWidth="1"/>
    <col min="2" max="2" width="31.5703125" style="82" bestFit="1" customWidth="1"/>
    <col min="3" max="3" width="30.7109375" style="82" bestFit="1" customWidth="1"/>
    <col min="4" max="4" width="6.7109375" style="82" bestFit="1" customWidth="1"/>
    <col min="5" max="5" width="9.28515625" style="82" customWidth="1"/>
    <col min="6" max="6" width="19.5703125" style="82" customWidth="1"/>
    <col min="7" max="7" width="14.42578125" style="82" bestFit="1" customWidth="1"/>
    <col min="8" max="8" width="12.7109375" style="82" bestFit="1" customWidth="1"/>
    <col min="9" max="9" width="5.5703125" style="82" customWidth="1"/>
    <col min="10" max="10" width="10.28515625" style="82" customWidth="1"/>
    <col min="11" max="16384" width="9.140625" style="82"/>
  </cols>
  <sheetData>
    <row r="1" spans="1:11" ht="14.25" customHeight="1" x14ac:dyDescent="0.2">
      <c r="A1" s="29" t="s">
        <v>135</v>
      </c>
      <c r="B1" s="188" t="str">
        <f>'ANA SAYFA'!B52</f>
        <v>MURAT TORUK</v>
      </c>
      <c r="C1" s="1166" t="s">
        <v>136</v>
      </c>
      <c r="D1" s="1166"/>
      <c r="E1" s="1166"/>
      <c r="F1" s="1166"/>
      <c r="G1" s="1166"/>
      <c r="H1" s="1166"/>
      <c r="I1" s="668"/>
      <c r="J1" s="1183" t="s">
        <v>712</v>
      </c>
      <c r="K1" s="30"/>
    </row>
    <row r="2" spans="1:11" ht="14.25" customHeight="1" x14ac:dyDescent="0.2">
      <c r="A2" s="29" t="s">
        <v>137</v>
      </c>
      <c r="B2" s="154">
        <f>'ANA SAYFA'!D52</f>
        <v>29257710654</v>
      </c>
      <c r="C2" s="1166"/>
      <c r="D2" s="1166"/>
      <c r="E2" s="1166"/>
      <c r="F2" s="1166"/>
      <c r="G2" s="1166"/>
      <c r="H2" s="1166"/>
      <c r="I2" s="668"/>
      <c r="J2" s="1184"/>
      <c r="K2" s="30"/>
    </row>
    <row r="3" spans="1:11" ht="14.25" customHeight="1" thickBot="1" x14ac:dyDescent="0.25">
      <c r="A3" s="29" t="s">
        <v>131</v>
      </c>
      <c r="B3" s="153" t="str">
        <f>'ANA SAYFA'!C52</f>
        <v>TIR ÇEKİCİ ŞOFÖRÜ</v>
      </c>
      <c r="C3" s="1166"/>
      <c r="D3" s="1166"/>
      <c r="E3" s="1166"/>
      <c r="F3" s="1166"/>
      <c r="G3" s="1166"/>
      <c r="H3" s="1166"/>
      <c r="I3" s="668"/>
      <c r="J3" s="1185"/>
      <c r="K3" s="30"/>
    </row>
    <row r="4" spans="1:11" ht="14.25" customHeight="1" x14ac:dyDescent="0.2">
      <c r="A4" s="29" t="s">
        <v>120</v>
      </c>
      <c r="B4" s="83">
        <f>'ANA SAYFA'!E52</f>
        <v>45941</v>
      </c>
      <c r="C4" s="1166"/>
      <c r="D4" s="1166"/>
      <c r="E4" s="1166"/>
      <c r="F4" s="1166"/>
      <c r="G4" s="1166"/>
      <c r="H4" s="1166"/>
      <c r="I4" s="668"/>
      <c r="J4" s="670"/>
      <c r="K4" s="30"/>
    </row>
    <row r="5" spans="1:11" ht="14.25" customHeight="1" x14ac:dyDescent="0.2">
      <c r="A5" s="29" t="s">
        <v>130</v>
      </c>
      <c r="B5" s="83">
        <f>'ANA SAYFA'!F52</f>
        <v>29221</v>
      </c>
      <c r="C5" s="1166"/>
      <c r="D5" s="1166"/>
      <c r="E5" s="1166"/>
      <c r="F5" s="1166"/>
      <c r="G5" s="1166"/>
      <c r="H5" s="1166"/>
      <c r="I5" s="668"/>
      <c r="J5" s="699"/>
      <c r="K5" s="699"/>
    </row>
    <row r="6" spans="1:11" ht="31.5" x14ac:dyDescent="0.2">
      <c r="A6" s="69" t="s">
        <v>0</v>
      </c>
      <c r="B6" s="70" t="s">
        <v>1</v>
      </c>
      <c r="C6" s="69" t="s">
        <v>2</v>
      </c>
      <c r="D6" s="71" t="s">
        <v>133</v>
      </c>
      <c r="E6" s="71" t="s">
        <v>4</v>
      </c>
      <c r="F6" s="71" t="s">
        <v>7</v>
      </c>
      <c r="G6" s="71" t="s">
        <v>6</v>
      </c>
      <c r="H6" s="71" t="s">
        <v>16</v>
      </c>
      <c r="I6" s="34"/>
      <c r="J6" s="699"/>
      <c r="K6" s="699"/>
    </row>
    <row r="7" spans="1:11" s="759" customFormat="1" x14ac:dyDescent="0.2">
      <c r="A7" s="719"/>
      <c r="B7" s="760">
        <v>46174</v>
      </c>
      <c r="C7" s="761">
        <v>46176</v>
      </c>
      <c r="D7" s="762"/>
      <c r="E7" s="762"/>
      <c r="F7" s="253"/>
      <c r="G7" s="723"/>
      <c r="H7" s="748">
        <v>2</v>
      </c>
      <c r="I7" s="684"/>
      <c r="J7" s="670"/>
      <c r="K7" s="670"/>
    </row>
    <row r="8" spans="1:11" s="243" customFormat="1" x14ac:dyDescent="0.2">
      <c r="A8" s="719"/>
      <c r="B8" s="760"/>
      <c r="C8" s="761"/>
      <c r="D8" s="762"/>
      <c r="E8" s="762"/>
      <c r="F8" s="253"/>
      <c r="G8" s="723"/>
      <c r="H8" s="748"/>
      <c r="I8" s="49"/>
      <c r="J8" s="30"/>
      <c r="K8" s="30"/>
    </row>
    <row r="9" spans="1:11" s="243" customFormat="1" x14ac:dyDescent="0.2">
      <c r="A9" s="719"/>
      <c r="B9" s="760"/>
      <c r="C9" s="761"/>
      <c r="D9" s="762"/>
      <c r="E9" s="762"/>
      <c r="F9" s="253"/>
      <c r="G9" s="723"/>
      <c r="H9" s="748"/>
      <c r="I9" s="49"/>
      <c r="J9" s="30"/>
      <c r="K9" s="30"/>
    </row>
    <row r="10" spans="1:11" s="243" customFormat="1" x14ac:dyDescent="0.2">
      <c r="A10" s="719"/>
      <c r="B10" s="760"/>
      <c r="C10" s="761"/>
      <c r="D10" s="762"/>
      <c r="E10" s="762"/>
      <c r="F10" s="253"/>
      <c r="G10" s="723"/>
      <c r="H10" s="748"/>
      <c r="I10" s="49"/>
      <c r="J10" s="30"/>
      <c r="K10" s="30"/>
    </row>
    <row r="11" spans="1:11" s="243" customFormat="1" x14ac:dyDescent="0.2">
      <c r="A11" s="719"/>
      <c r="B11" s="760"/>
      <c r="C11" s="761"/>
      <c r="D11" s="762"/>
      <c r="E11" s="762"/>
      <c r="F11" s="253"/>
      <c r="G11" s="723"/>
      <c r="H11" s="748"/>
      <c r="I11" s="49"/>
      <c r="J11" s="30"/>
      <c r="K11" s="30"/>
    </row>
    <row r="12" spans="1:11" s="243" customFormat="1" x14ac:dyDescent="0.2">
      <c r="A12" s="719"/>
      <c r="B12" s="760"/>
      <c r="C12" s="761"/>
      <c r="D12" s="762"/>
      <c r="E12" s="762"/>
      <c r="F12" s="253"/>
      <c r="G12" s="723"/>
      <c r="H12" s="748"/>
      <c r="I12" s="49"/>
      <c r="J12" s="30"/>
      <c r="K12" s="30"/>
    </row>
    <row r="13" spans="1:11" s="243" customFormat="1" x14ac:dyDescent="0.2">
      <c r="A13" s="719"/>
      <c r="B13" s="760"/>
      <c r="C13" s="761"/>
      <c r="D13" s="762"/>
      <c r="E13" s="762"/>
      <c r="F13" s="253"/>
      <c r="G13" s="723"/>
      <c r="H13" s="748"/>
    </row>
    <row r="14" spans="1:11" s="243" customFormat="1" x14ac:dyDescent="0.2">
      <c r="A14" s="719"/>
      <c r="B14" s="760"/>
      <c r="C14" s="761"/>
      <c r="D14" s="762"/>
      <c r="E14" s="762"/>
      <c r="F14" s="253"/>
      <c r="G14" s="723"/>
      <c r="H14" s="748"/>
    </row>
    <row r="15" spans="1:11" s="243" customFormat="1" x14ac:dyDescent="0.2">
      <c r="A15" s="719"/>
      <c r="B15" s="760"/>
      <c r="C15" s="761"/>
      <c r="D15" s="762"/>
      <c r="E15" s="762"/>
      <c r="F15" s="253"/>
      <c r="G15" s="723"/>
      <c r="H15" s="748"/>
    </row>
    <row r="16" spans="1:11" s="243" customFormat="1" x14ac:dyDescent="0.2">
      <c r="A16" s="141"/>
      <c r="B16" s="245"/>
      <c r="C16" s="246"/>
      <c r="D16" s="247"/>
      <c r="E16" s="247"/>
      <c r="F16" s="253"/>
      <c r="G16" s="145"/>
      <c r="H16" s="145"/>
    </row>
    <row r="17" spans="1:8" s="243" customFormat="1" hidden="1" x14ac:dyDescent="0.2">
      <c r="A17" s="141"/>
      <c r="B17" s="245"/>
      <c r="C17" s="246"/>
      <c r="D17" s="247"/>
      <c r="E17" s="247"/>
      <c r="F17" s="253"/>
      <c r="G17" s="145"/>
      <c r="H17" s="145"/>
    </row>
    <row r="18" spans="1:8" s="243" customFormat="1" hidden="1" x14ac:dyDescent="0.2">
      <c r="A18" s="141"/>
      <c r="B18" s="142"/>
      <c r="C18" s="143"/>
      <c r="D18" s="247"/>
      <c r="E18" s="247"/>
      <c r="F18" s="253"/>
      <c r="G18" s="723"/>
      <c r="H18" s="145"/>
    </row>
    <row r="19" spans="1:8" s="243" customFormat="1" hidden="1" x14ac:dyDescent="0.2">
      <c r="A19" s="141"/>
      <c r="B19" s="142"/>
      <c r="C19" s="143"/>
      <c r="D19" s="247"/>
      <c r="E19" s="247"/>
      <c r="F19" s="253"/>
      <c r="G19" s="145"/>
      <c r="H19" s="145"/>
    </row>
    <row r="20" spans="1:8" s="243" customFormat="1" hidden="1" x14ac:dyDescent="0.2">
      <c r="A20" s="141"/>
      <c r="B20" s="142"/>
      <c r="C20" s="143"/>
      <c r="D20" s="247"/>
      <c r="E20" s="247"/>
      <c r="F20" s="144"/>
      <c r="G20" s="145"/>
      <c r="H20" s="145"/>
    </row>
    <row r="21" spans="1:8" s="243" customFormat="1" hidden="1" x14ac:dyDescent="0.2">
      <c r="A21" s="141"/>
      <c r="B21" s="142"/>
      <c r="C21" s="143"/>
      <c r="D21" s="247"/>
      <c r="E21" s="247"/>
      <c r="F21" s="253"/>
      <c r="G21" s="145"/>
      <c r="H21" s="274"/>
    </row>
    <row r="22" spans="1:8" s="243" customFormat="1" hidden="1" x14ac:dyDescent="0.2">
      <c r="A22" s="141"/>
      <c r="B22" s="142"/>
      <c r="C22" s="143"/>
      <c r="D22" s="247"/>
      <c r="E22" s="247"/>
      <c r="F22" s="144"/>
      <c r="G22" s="145"/>
      <c r="H22" s="145"/>
    </row>
    <row r="23" spans="1:8" s="243" customFormat="1" hidden="1" x14ac:dyDescent="0.2">
      <c r="A23" s="141"/>
      <c r="B23" s="142"/>
      <c r="C23" s="143"/>
      <c r="D23" s="144"/>
      <c r="E23" s="144"/>
      <c r="F23" s="144"/>
      <c r="G23" s="145"/>
      <c r="H23" s="191"/>
    </row>
    <row r="24" spans="1:8" s="243" customFormat="1" hidden="1" x14ac:dyDescent="0.2">
      <c r="A24" s="141"/>
      <c r="B24" s="142"/>
      <c r="C24" s="143"/>
      <c r="D24" s="247"/>
      <c r="E24" s="247"/>
      <c r="F24" s="144"/>
      <c r="G24" s="145"/>
      <c r="H24" s="145"/>
    </row>
    <row r="25" spans="1:8" s="243" customFormat="1" hidden="1" x14ac:dyDescent="0.2">
      <c r="A25" s="141"/>
      <c r="B25" s="142"/>
      <c r="C25" s="143"/>
      <c r="D25" s="144"/>
      <c r="E25" s="144"/>
      <c r="F25" s="144"/>
      <c r="G25" s="145"/>
      <c r="H25" s="237"/>
    </row>
    <row r="26" spans="1:8" s="243" customFormat="1" hidden="1" x14ac:dyDescent="0.2">
      <c r="A26" s="141"/>
      <c r="B26" s="142"/>
      <c r="C26" s="143"/>
      <c r="D26" s="247"/>
      <c r="E26" s="247"/>
      <c r="F26" s="144"/>
      <c r="G26" s="145"/>
      <c r="H26" s="145"/>
    </row>
    <row r="27" spans="1:8" s="243" customFormat="1" hidden="1" x14ac:dyDescent="0.2">
      <c r="A27" s="141"/>
      <c r="B27" s="142"/>
      <c r="C27" s="143"/>
      <c r="D27" s="144"/>
      <c r="E27" s="144"/>
      <c r="F27" s="144"/>
      <c r="G27" s="145"/>
      <c r="H27" s="191"/>
    </row>
    <row r="28" spans="1:8" s="243" customFormat="1" hidden="1" x14ac:dyDescent="0.2">
      <c r="A28" s="141"/>
      <c r="B28" s="142"/>
      <c r="C28" s="143"/>
      <c r="D28" s="144"/>
      <c r="E28" s="144"/>
      <c r="F28" s="144"/>
      <c r="G28" s="145"/>
      <c r="H28" s="145"/>
    </row>
    <row r="29" spans="1:8" s="243" customFormat="1" hidden="1" x14ac:dyDescent="0.2">
      <c r="A29" s="141"/>
      <c r="B29" s="142"/>
      <c r="C29" s="143"/>
      <c r="D29" s="144"/>
      <c r="E29" s="144"/>
      <c r="F29" s="144"/>
      <c r="G29" s="145"/>
      <c r="H29" s="145"/>
    </row>
    <row r="30" spans="1:8" s="243" customFormat="1" hidden="1" x14ac:dyDescent="0.2">
      <c r="A30" s="141"/>
      <c r="B30" s="142"/>
      <c r="C30" s="143"/>
      <c r="D30" s="144"/>
      <c r="E30" s="144"/>
      <c r="F30" s="144"/>
      <c r="G30" s="145"/>
      <c r="H30" s="145"/>
    </row>
    <row r="31" spans="1:8" s="243" customFormat="1" hidden="1" x14ac:dyDescent="0.2">
      <c r="A31" s="141"/>
      <c r="B31" s="142"/>
      <c r="C31" s="143"/>
      <c r="D31" s="144"/>
      <c r="E31" s="144"/>
      <c r="F31" s="144"/>
      <c r="G31" s="145"/>
      <c r="H31" s="145"/>
    </row>
    <row r="32" spans="1:8" s="243" customFormat="1" hidden="1" x14ac:dyDescent="0.2">
      <c r="A32" s="141"/>
      <c r="B32" s="142"/>
      <c r="C32" s="143"/>
      <c r="D32" s="144"/>
      <c r="E32" s="144"/>
      <c r="F32" s="144"/>
      <c r="G32" s="145"/>
      <c r="H32" s="145"/>
    </row>
    <row r="33" spans="1:8" s="243" customFormat="1" hidden="1" x14ac:dyDescent="0.2">
      <c r="A33" s="141"/>
      <c r="B33" s="142"/>
      <c r="C33" s="143"/>
      <c r="D33" s="144"/>
      <c r="E33" s="144"/>
      <c r="F33" s="144"/>
      <c r="G33" s="145"/>
      <c r="H33" s="145"/>
    </row>
    <row r="34" spans="1:8" s="243" customFormat="1" hidden="1" x14ac:dyDescent="0.2">
      <c r="A34" s="141"/>
      <c r="B34" s="142"/>
      <c r="C34" s="143"/>
      <c r="D34" s="144"/>
      <c r="E34" s="144"/>
      <c r="F34" s="253"/>
      <c r="G34" s="145"/>
      <c r="H34" s="242"/>
    </row>
    <row r="35" spans="1:8" s="243" customFormat="1" hidden="1" x14ac:dyDescent="0.2">
      <c r="A35" s="141"/>
      <c r="B35" s="142"/>
      <c r="C35" s="143"/>
      <c r="D35" s="144"/>
      <c r="E35" s="144"/>
      <c r="F35" s="253"/>
      <c r="G35" s="145"/>
      <c r="H35" s="145"/>
    </row>
    <row r="36" spans="1:8" s="243" customFormat="1" hidden="1" x14ac:dyDescent="0.2">
      <c r="A36" s="141"/>
      <c r="B36" s="142"/>
      <c r="C36" s="143"/>
      <c r="D36" s="144"/>
      <c r="E36" s="144"/>
      <c r="F36" s="263"/>
      <c r="G36" s="145"/>
      <c r="H36" s="145"/>
    </row>
    <row r="37" spans="1:8" s="243" customFormat="1" hidden="1" x14ac:dyDescent="0.2">
      <c r="A37" s="146"/>
      <c r="B37" s="142"/>
      <c r="C37" s="143"/>
      <c r="D37" s="144"/>
      <c r="E37" s="144"/>
      <c r="F37" s="263"/>
      <c r="G37" s="145"/>
      <c r="H37" s="145"/>
    </row>
    <row r="38" spans="1:8" s="243" customFormat="1" hidden="1" x14ac:dyDescent="0.2">
      <c r="A38" s="55"/>
      <c r="B38" s="142"/>
      <c r="C38" s="143"/>
      <c r="D38" s="144"/>
      <c r="E38" s="144"/>
      <c r="F38" s="263"/>
      <c r="G38" s="145"/>
      <c r="H38" s="145"/>
    </row>
    <row r="39" spans="1:8" s="243" customFormat="1" hidden="1" x14ac:dyDescent="0.2">
      <c r="A39" s="55"/>
      <c r="B39" s="142"/>
      <c r="C39" s="143"/>
      <c r="D39" s="144"/>
      <c r="E39" s="144"/>
      <c r="F39" s="263"/>
      <c r="G39" s="145"/>
      <c r="H39" s="68"/>
    </row>
    <row r="40" spans="1:8" s="243" customFormat="1" hidden="1" x14ac:dyDescent="0.2">
      <c r="A40" s="55"/>
      <c r="B40" s="142"/>
      <c r="C40" s="143"/>
      <c r="D40" s="144"/>
      <c r="E40" s="144"/>
      <c r="F40" s="263"/>
      <c r="G40" s="145"/>
      <c r="H40" s="145"/>
    </row>
    <row r="41" spans="1:8" s="243" customFormat="1" hidden="1" x14ac:dyDescent="0.2">
      <c r="A41" s="55"/>
      <c r="B41" s="142"/>
      <c r="C41" s="143"/>
      <c r="D41" s="144"/>
      <c r="E41" s="144"/>
      <c r="F41" s="263"/>
      <c r="G41" s="145"/>
      <c r="H41" s="145"/>
    </row>
    <row r="42" spans="1:8" s="243" customFormat="1" hidden="1" x14ac:dyDescent="0.2">
      <c r="A42" s="55"/>
      <c r="B42" s="142"/>
      <c r="C42" s="143"/>
      <c r="D42" s="144"/>
      <c r="E42" s="144"/>
      <c r="F42" s="263"/>
      <c r="G42" s="145"/>
      <c r="H42" s="145"/>
    </row>
    <row r="43" spans="1:8" s="243" customFormat="1" hidden="1" x14ac:dyDescent="0.2">
      <c r="A43" s="55"/>
      <c r="B43" s="142"/>
      <c r="C43" s="143"/>
      <c r="D43" s="144"/>
      <c r="E43" s="144"/>
      <c r="F43" s="263"/>
      <c r="G43" s="145"/>
      <c r="H43" s="145"/>
    </row>
    <row r="44" spans="1:8" s="243" customFormat="1" hidden="1" x14ac:dyDescent="0.2">
      <c r="A44" s="55"/>
      <c r="B44" s="142"/>
      <c r="C44" s="143"/>
      <c r="D44" s="144"/>
      <c r="E44" s="144"/>
      <c r="F44" s="263"/>
      <c r="G44" s="145"/>
      <c r="H44" s="145"/>
    </row>
    <row r="45" spans="1:8" s="243" customFormat="1" hidden="1" x14ac:dyDescent="0.2">
      <c r="A45" s="55"/>
      <c r="B45" s="142"/>
      <c r="C45" s="143"/>
      <c r="D45" s="144"/>
      <c r="E45" s="144"/>
      <c r="F45" s="263"/>
      <c r="G45" s="145"/>
      <c r="H45" s="145"/>
    </row>
    <row r="46" spans="1:8" s="243" customFormat="1" hidden="1" x14ac:dyDescent="0.2">
      <c r="A46" s="147"/>
      <c r="B46" s="142"/>
      <c r="C46" s="143"/>
      <c r="D46" s="144"/>
      <c r="E46" s="144"/>
      <c r="F46" s="263"/>
      <c r="G46" s="145"/>
      <c r="H46" s="145"/>
    </row>
    <row r="47" spans="1:8" s="243" customFormat="1" hidden="1" x14ac:dyDescent="0.2">
      <c r="A47" s="147"/>
      <c r="B47" s="142"/>
      <c r="C47" s="143"/>
      <c r="D47" s="144"/>
      <c r="E47" s="144"/>
      <c r="F47" s="263"/>
      <c r="G47" s="145"/>
      <c r="H47" s="145"/>
    </row>
    <row r="48" spans="1:8" s="243" customFormat="1" hidden="1" x14ac:dyDescent="0.2">
      <c r="A48" s="147"/>
      <c r="B48" s="142"/>
      <c r="C48" s="143"/>
      <c r="D48" s="144"/>
      <c r="E48" s="144"/>
      <c r="F48" s="263"/>
      <c r="G48" s="145"/>
      <c r="H48" s="145"/>
    </row>
    <row r="49" spans="1:8" s="243" customFormat="1" hidden="1" x14ac:dyDescent="0.2">
      <c r="A49" s="147"/>
      <c r="B49" s="142"/>
      <c r="C49" s="143"/>
      <c r="D49" s="144"/>
      <c r="E49" s="144"/>
      <c r="F49" s="282"/>
      <c r="G49" s="66"/>
      <c r="H49" s="145"/>
    </row>
    <row r="50" spans="1:8" s="243" customFormat="1" hidden="1" x14ac:dyDescent="0.2">
      <c r="A50" s="147"/>
      <c r="B50" s="142"/>
      <c r="C50" s="143"/>
      <c r="D50" s="144"/>
      <c r="E50" s="144"/>
      <c r="F50" s="282"/>
      <c r="G50" s="66"/>
      <c r="H50" s="145"/>
    </row>
    <row r="51" spans="1:8" s="243" customFormat="1" hidden="1" x14ac:dyDescent="0.2">
      <c r="A51" s="147"/>
      <c r="B51" s="142"/>
      <c r="C51" s="143"/>
      <c r="D51" s="144"/>
      <c r="E51" s="144"/>
      <c r="F51" s="282"/>
      <c r="G51" s="66"/>
      <c r="H51" s="145"/>
    </row>
    <row r="52" spans="1:8" s="243" customFormat="1" hidden="1" x14ac:dyDescent="0.2">
      <c r="A52" s="147"/>
      <c r="B52" s="142"/>
      <c r="C52" s="143"/>
      <c r="D52" s="144"/>
      <c r="E52" s="144"/>
      <c r="F52" s="282"/>
      <c r="G52" s="66"/>
      <c r="H52" s="145"/>
    </row>
    <row r="53" spans="1:8" s="243" customFormat="1" hidden="1" x14ac:dyDescent="0.2">
      <c r="A53" s="466"/>
      <c r="B53" s="396"/>
      <c r="C53" s="467"/>
      <c r="D53" s="468"/>
      <c r="E53" s="468"/>
      <c r="F53" s="469"/>
      <c r="G53" s="470"/>
      <c r="H53" s="471"/>
    </row>
    <row r="54" spans="1:8" s="243" customFormat="1" hidden="1" x14ac:dyDescent="0.2">
      <c r="A54" s="466"/>
      <c r="B54" s="396"/>
      <c r="C54" s="467"/>
      <c r="D54" s="468"/>
      <c r="E54" s="468"/>
      <c r="F54" s="469"/>
      <c r="G54" s="470"/>
      <c r="H54" s="471"/>
    </row>
    <row r="55" spans="1:8" s="759" customFormat="1" hidden="1" x14ac:dyDescent="0.2">
      <c r="A55" s="466"/>
      <c r="B55" s="397"/>
      <c r="C55" s="397"/>
      <c r="D55" s="722"/>
      <c r="E55" s="722"/>
      <c r="F55" s="472"/>
      <c r="G55" s="472"/>
      <c r="H55" s="473"/>
    </row>
    <row r="56" spans="1:8" s="243" customFormat="1" hidden="1" x14ac:dyDescent="0.2">
      <c r="A56" s="398"/>
      <c r="B56" s="399"/>
      <c r="C56" s="400"/>
      <c r="D56" s="401"/>
      <c r="E56" s="401"/>
      <c r="F56" s="402"/>
      <c r="G56" s="403"/>
      <c r="H56" s="403"/>
    </row>
    <row r="57" spans="1:8" s="243" customFormat="1" hidden="1" x14ac:dyDescent="0.2">
      <c r="A57" s="147"/>
      <c r="B57" s="142"/>
      <c r="C57" s="143"/>
      <c r="D57" s="144"/>
      <c r="E57" s="144"/>
      <c r="F57" s="140"/>
      <c r="G57" s="145"/>
      <c r="H57" s="145"/>
    </row>
    <row r="58" spans="1:8" s="243" customFormat="1" hidden="1" x14ac:dyDescent="0.2">
      <c r="A58" s="147"/>
      <c r="B58" s="142"/>
      <c r="C58" s="143"/>
      <c r="D58" s="144"/>
      <c r="E58" s="144"/>
      <c r="F58" s="48"/>
      <c r="G58" s="66"/>
      <c r="H58" s="145"/>
    </row>
    <row r="59" spans="1:8" s="243" customFormat="1" hidden="1" x14ac:dyDescent="0.2">
      <c r="A59" s="147"/>
      <c r="B59" s="142"/>
      <c r="C59" s="143"/>
      <c r="D59" s="144"/>
      <c r="E59" s="144"/>
      <c r="F59" s="48"/>
      <c r="G59" s="66"/>
      <c r="H59" s="145"/>
    </row>
    <row r="60" spans="1:8" s="243" customFormat="1" hidden="1" x14ac:dyDescent="0.2">
      <c r="A60" s="147"/>
      <c r="B60" s="142"/>
      <c r="C60" s="143"/>
      <c r="D60" s="144"/>
      <c r="E60" s="144"/>
      <c r="F60" s="48"/>
      <c r="G60" s="66"/>
      <c r="H60" s="68"/>
    </row>
    <row r="61" spans="1:8" s="243" customFormat="1" hidden="1" x14ac:dyDescent="0.2">
      <c r="A61" s="147"/>
      <c r="B61" s="142"/>
      <c r="C61" s="143"/>
      <c r="D61" s="144"/>
      <c r="E61" s="144"/>
      <c r="F61" s="48"/>
      <c r="G61" s="66"/>
      <c r="H61" s="68"/>
    </row>
    <row r="62" spans="1:8" s="243" customFormat="1" hidden="1" x14ac:dyDescent="0.2">
      <c r="A62" s="147"/>
      <c r="B62" s="142"/>
      <c r="C62" s="143"/>
      <c r="D62" s="144"/>
      <c r="E62" s="144"/>
      <c r="F62" s="48"/>
      <c r="G62" s="66"/>
      <c r="H62" s="68"/>
    </row>
    <row r="63" spans="1:8" s="243" customFormat="1" hidden="1" x14ac:dyDescent="0.2">
      <c r="A63" s="147"/>
      <c r="B63" s="142"/>
      <c r="C63" s="143"/>
      <c r="D63" s="144"/>
      <c r="E63" s="144"/>
      <c r="F63" s="48"/>
      <c r="G63" s="66"/>
      <c r="H63" s="68"/>
    </row>
    <row r="64" spans="1:8" s="243" customFormat="1" hidden="1" x14ac:dyDescent="0.2">
      <c r="A64" s="147"/>
      <c r="B64" s="142"/>
      <c r="C64" s="143"/>
      <c r="D64" s="144"/>
      <c r="E64" s="144"/>
      <c r="F64" s="48"/>
      <c r="G64" s="66"/>
      <c r="H64" s="68"/>
    </row>
    <row r="65" spans="1:8" s="243" customFormat="1" hidden="1" x14ac:dyDescent="0.2">
      <c r="A65" s="147"/>
      <c r="B65" s="142"/>
      <c r="C65" s="143"/>
      <c r="D65" s="144"/>
      <c r="E65" s="144"/>
      <c r="F65" s="48"/>
      <c r="G65" s="66"/>
      <c r="H65" s="68"/>
    </row>
    <row r="66" spans="1:8" s="243" customFormat="1" hidden="1" x14ac:dyDescent="0.2">
      <c r="A66" s="147"/>
      <c r="B66" s="142"/>
      <c r="C66" s="143"/>
      <c r="D66" s="144"/>
      <c r="E66" s="144"/>
      <c r="F66" s="48"/>
      <c r="G66" s="66"/>
      <c r="H66" s="68"/>
    </row>
    <row r="67" spans="1:8" s="243" customFormat="1" hidden="1" x14ac:dyDescent="0.2">
      <c r="A67" s="147"/>
      <c r="B67" s="142"/>
      <c r="C67" s="143"/>
      <c r="D67" s="144"/>
      <c r="E67" s="144"/>
      <c r="F67" s="48"/>
      <c r="G67" s="66"/>
      <c r="H67" s="68"/>
    </row>
    <row r="68" spans="1:8" s="243" customFormat="1" hidden="1" x14ac:dyDescent="0.2">
      <c r="A68" s="147"/>
      <c r="B68" s="142"/>
      <c r="C68" s="143"/>
      <c r="D68" s="144"/>
      <c r="E68" s="144"/>
      <c r="F68" s="48"/>
      <c r="G68" s="66"/>
      <c r="H68" s="68"/>
    </row>
    <row r="69" spans="1:8" s="243" customFormat="1" hidden="1" x14ac:dyDescent="0.2">
      <c r="A69" s="147"/>
      <c r="B69" s="142"/>
      <c r="C69" s="143"/>
      <c r="D69" s="144"/>
      <c r="E69" s="144"/>
      <c r="F69" s="48"/>
      <c r="G69" s="66"/>
      <c r="H69" s="68"/>
    </row>
    <row r="70" spans="1:8" s="243" customFormat="1" hidden="1" x14ac:dyDescent="0.2">
      <c r="A70" s="147"/>
      <c r="B70" s="142"/>
      <c r="C70" s="143"/>
      <c r="D70" s="144"/>
      <c r="E70" s="144"/>
      <c r="F70" s="48"/>
      <c r="G70" s="66"/>
      <c r="H70" s="68"/>
    </row>
    <row r="71" spans="1:8" s="243" customFormat="1" hidden="1" x14ac:dyDescent="0.2">
      <c r="A71" s="490"/>
      <c r="B71" s="142"/>
      <c r="C71" s="143"/>
      <c r="D71" s="722"/>
      <c r="E71" s="722"/>
      <c r="F71" s="48"/>
      <c r="G71" s="66"/>
      <c r="H71" s="68"/>
    </row>
    <row r="72" spans="1:8" s="243" customFormat="1" hidden="1" x14ac:dyDescent="0.2">
      <c r="A72" s="147"/>
      <c r="B72" s="142"/>
      <c r="C72" s="143"/>
      <c r="D72" s="722"/>
      <c r="E72" s="722"/>
      <c r="F72" s="48"/>
      <c r="G72" s="66"/>
      <c r="H72" s="68"/>
    </row>
    <row r="73" spans="1:8" s="243" customFormat="1" hidden="1" x14ac:dyDescent="0.2">
      <c r="A73" s="147"/>
      <c r="B73" s="142"/>
      <c r="C73" s="143"/>
      <c r="D73" s="722"/>
      <c r="E73" s="722"/>
      <c r="F73" s="48"/>
      <c r="G73" s="66"/>
      <c r="H73" s="68"/>
    </row>
    <row r="74" spans="1:8" hidden="1" x14ac:dyDescent="0.2">
      <c r="A74" s="725"/>
      <c r="B74" s="720"/>
      <c r="C74" s="721"/>
      <c r="D74" s="722"/>
      <c r="E74" s="722"/>
      <c r="F74" s="683"/>
      <c r="G74" s="691"/>
      <c r="H74" s="691"/>
    </row>
    <row r="75" spans="1:8" s="699" customFormat="1" hidden="1" x14ac:dyDescent="0.2">
      <c r="A75" s="725"/>
      <c r="B75" s="720"/>
      <c r="C75" s="721"/>
      <c r="D75" s="722"/>
      <c r="E75" s="722"/>
      <c r="F75" s="683"/>
      <c r="G75" s="691"/>
      <c r="H75" s="691"/>
    </row>
    <row r="76" spans="1:8" s="699" customFormat="1" hidden="1" x14ac:dyDescent="0.2">
      <c r="A76" s="725"/>
      <c r="B76" s="720"/>
      <c r="C76" s="721"/>
      <c r="D76" s="722"/>
      <c r="E76" s="722"/>
      <c r="F76" s="683"/>
      <c r="G76" s="691"/>
      <c r="H76" s="692"/>
    </row>
    <row r="77" spans="1:8" s="699" customFormat="1" hidden="1" x14ac:dyDescent="0.2">
      <c r="A77" s="725"/>
      <c r="B77" s="720"/>
      <c r="C77" s="721"/>
      <c r="D77" s="722"/>
      <c r="E77" s="722"/>
      <c r="F77" s="683"/>
      <c r="G77" s="691"/>
      <c r="H77" s="691"/>
    </row>
    <row r="78" spans="1:8" s="699" customFormat="1" hidden="1" x14ac:dyDescent="0.2">
      <c r="A78" s="725"/>
      <c r="B78" s="720"/>
      <c r="C78" s="721"/>
      <c r="D78" s="722"/>
      <c r="E78" s="722"/>
      <c r="F78" s="683"/>
      <c r="G78" s="691"/>
      <c r="H78" s="691"/>
    </row>
    <row r="79" spans="1:8" s="699" customFormat="1" hidden="1" x14ac:dyDescent="0.2">
      <c r="A79" s="725"/>
      <c r="B79" s="720"/>
      <c r="C79" s="721"/>
      <c r="D79" s="722"/>
      <c r="E79" s="722"/>
      <c r="F79" s="683"/>
      <c r="G79" s="691"/>
      <c r="H79" s="691"/>
    </row>
    <row r="80" spans="1:8" s="699" customFormat="1" hidden="1" x14ac:dyDescent="0.2">
      <c r="A80" s="725"/>
      <c r="B80" s="720"/>
      <c r="C80" s="721"/>
      <c r="D80" s="722"/>
      <c r="E80" s="722"/>
      <c r="F80" s="683"/>
      <c r="G80" s="691"/>
      <c r="H80" s="691"/>
    </row>
    <row r="81" spans="1:8" s="699" customFormat="1" hidden="1" x14ac:dyDescent="0.2">
      <c r="A81" s="725"/>
      <c r="B81" s="720"/>
      <c r="C81" s="721"/>
      <c r="D81" s="722"/>
      <c r="E81" s="722"/>
      <c r="F81" s="683"/>
      <c r="G81" s="691"/>
      <c r="H81" s="80"/>
    </row>
    <row r="82" spans="1:8" s="699" customFormat="1" hidden="1" x14ac:dyDescent="0.2">
      <c r="A82" s="725"/>
      <c r="B82" s="720"/>
      <c r="C82" s="721"/>
      <c r="D82" s="722"/>
      <c r="E82" s="722"/>
      <c r="F82" s="683"/>
      <c r="G82" s="691"/>
      <c r="H82" s="691"/>
    </row>
    <row r="83" spans="1:8" s="699" customFormat="1" hidden="1" x14ac:dyDescent="0.2">
      <c r="A83" s="725"/>
      <c r="B83" s="720"/>
      <c r="C83" s="721"/>
      <c r="D83" s="722"/>
      <c r="E83" s="722"/>
      <c r="F83" s="683"/>
      <c r="G83" s="691"/>
      <c r="H83" s="691"/>
    </row>
    <row r="84" spans="1:8" s="699" customFormat="1" hidden="1" x14ac:dyDescent="0.2">
      <c r="A84" s="725"/>
      <c r="B84" s="720"/>
      <c r="C84" s="721"/>
      <c r="D84" s="722"/>
      <c r="E84" s="722"/>
      <c r="F84" s="683"/>
      <c r="G84" s="691"/>
      <c r="H84" s="691"/>
    </row>
    <row r="85" spans="1:8" s="699" customFormat="1" hidden="1" x14ac:dyDescent="0.2">
      <c r="A85" s="725"/>
      <c r="B85" s="720"/>
      <c r="C85" s="721"/>
      <c r="D85" s="722"/>
      <c r="E85" s="722"/>
      <c r="F85" s="683"/>
      <c r="G85" s="691"/>
      <c r="H85" s="691"/>
    </row>
    <row r="86" spans="1:8" s="699" customFormat="1" hidden="1" x14ac:dyDescent="0.2">
      <c r="A86" s="725"/>
      <c r="B86" s="720"/>
      <c r="C86" s="721"/>
      <c r="D86" s="722"/>
      <c r="E86" s="722"/>
      <c r="F86" s="683"/>
      <c r="G86" s="691"/>
      <c r="H86" s="691"/>
    </row>
    <row r="87" spans="1:8" s="699" customFormat="1" hidden="1" x14ac:dyDescent="0.2">
      <c r="A87" s="725"/>
      <c r="B87" s="720"/>
      <c r="C87" s="721"/>
      <c r="D87" s="722"/>
      <c r="E87" s="722"/>
      <c r="F87" s="683"/>
      <c r="G87" s="691"/>
      <c r="H87" s="691"/>
    </row>
    <row r="88" spans="1:8" s="699" customFormat="1" hidden="1" x14ac:dyDescent="0.2">
      <c r="A88" s="725"/>
      <c r="B88" s="720"/>
      <c r="C88" s="721"/>
      <c r="D88" s="722"/>
      <c r="E88" s="722"/>
      <c r="F88" s="683"/>
      <c r="G88" s="691"/>
      <c r="H88" s="691"/>
    </row>
    <row r="89" spans="1:8" s="699" customFormat="1" x14ac:dyDescent="0.2">
      <c r="A89" s="725"/>
      <c r="B89" s="720"/>
      <c r="C89" s="721"/>
      <c r="D89" s="722"/>
      <c r="E89" s="722"/>
      <c r="F89" s="683"/>
      <c r="G89" s="691"/>
      <c r="H89" s="691"/>
    </row>
    <row r="90" spans="1:8" s="699" customFormat="1" x14ac:dyDescent="0.2">
      <c r="A90" s="725"/>
      <c r="B90" s="720"/>
      <c r="C90" s="721"/>
      <c r="D90" s="722"/>
      <c r="E90" s="722"/>
      <c r="F90" s="683"/>
      <c r="G90" s="691"/>
      <c r="H90" s="691"/>
    </row>
    <row r="91" spans="1:8" x14ac:dyDescent="0.2">
      <c r="F91" s="278" t="s">
        <v>123</v>
      </c>
      <c r="G91" s="279">
        <f>SUM(G8:G90)</f>
        <v>0</v>
      </c>
      <c r="H91" s="279">
        <f>SUM(H7:H90)</f>
        <v>2</v>
      </c>
    </row>
    <row r="92" spans="1:8" x14ac:dyDescent="0.2">
      <c r="F92" s="62"/>
      <c r="G92" s="63"/>
      <c r="H92" s="63"/>
    </row>
    <row r="93" spans="1:8" ht="14.25" x14ac:dyDescent="0.2">
      <c r="F93" s="1140" t="s">
        <v>8</v>
      </c>
      <c r="G93" s="1140"/>
      <c r="H93" s="701">
        <f>G91-H91</f>
        <v>-2</v>
      </c>
    </row>
  </sheetData>
  <mergeCells count="3">
    <mergeCell ref="C1:H5"/>
    <mergeCell ref="J1:J3"/>
    <mergeCell ref="F93:G93"/>
  </mergeCells>
  <hyperlinks>
    <hyperlink ref="J1:J3" location="'ANA SAYFA'!A1" display="ANA SAYFA"/>
  </hyperlinks>
  <pageMargins left="0.45" right="0.12" top="0.28999999999999998" bottom="0.2" header="0.3" footer="0.3"/>
  <pageSetup paperSize="9" scale="6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zoomScale="86" zoomScaleNormal="86" workbookViewId="0">
      <pane ySplit="6" topLeftCell="A7" activePane="bottomLeft" state="frozen"/>
      <selection pane="bottomLeft" activeCell="J1" sqref="J1:J3"/>
    </sheetView>
  </sheetViews>
  <sheetFormatPr defaultColWidth="9.140625" defaultRowHeight="12.75" x14ac:dyDescent="0.2"/>
  <cols>
    <col min="1" max="1" width="20.28515625" style="82" bestFit="1" customWidth="1"/>
    <col min="2" max="2" width="27.5703125" style="82" bestFit="1" customWidth="1"/>
    <col min="3" max="3" width="27.7109375" style="82" bestFit="1" customWidth="1"/>
    <col min="4" max="4" width="9.28515625" style="82" bestFit="1" customWidth="1"/>
    <col min="5" max="5" width="11.28515625" style="82" customWidth="1"/>
    <col min="6" max="6" width="23.7109375" style="82" customWidth="1"/>
    <col min="7" max="7" width="14.42578125" style="82" bestFit="1" customWidth="1"/>
    <col min="8" max="8" width="17.5703125" style="82" bestFit="1" customWidth="1"/>
    <col min="9" max="9" width="4.85546875" style="82" customWidth="1"/>
    <col min="10" max="10" width="11.140625" style="82" customWidth="1"/>
    <col min="11" max="16384" width="9.140625" style="82"/>
  </cols>
  <sheetData>
    <row r="1" spans="1:11" ht="16.5" customHeight="1" x14ac:dyDescent="0.2">
      <c r="A1" s="322" t="s">
        <v>135</v>
      </c>
      <c r="B1" s="188" t="str">
        <f>'ANA SAYFA'!B55</f>
        <v>ÇETİN KARABALÇIK</v>
      </c>
      <c r="C1" s="1166" t="s">
        <v>136</v>
      </c>
      <c r="D1" s="1166"/>
      <c r="E1" s="1166"/>
      <c r="F1" s="1166"/>
      <c r="G1" s="1166"/>
      <c r="H1" s="1166"/>
      <c r="I1" s="28"/>
      <c r="J1" s="1183" t="s">
        <v>712</v>
      </c>
      <c r="K1" s="30"/>
    </row>
    <row r="2" spans="1:11" ht="16.5" customHeight="1" x14ac:dyDescent="0.2">
      <c r="A2" s="322" t="s">
        <v>137</v>
      </c>
      <c r="B2" s="154">
        <f>'ANA SAYFA'!D55</f>
        <v>50461681348</v>
      </c>
      <c r="C2" s="1166"/>
      <c r="D2" s="1166"/>
      <c r="E2" s="1166"/>
      <c r="F2" s="1166"/>
      <c r="G2" s="1166"/>
      <c r="H2" s="1166"/>
      <c r="I2" s="28"/>
      <c r="J2" s="1184"/>
      <c r="K2" s="30"/>
    </row>
    <row r="3" spans="1:11" ht="16.5" customHeight="1" thickBot="1" x14ac:dyDescent="0.25">
      <c r="A3" s="322" t="s">
        <v>131</v>
      </c>
      <c r="B3" s="153" t="str">
        <f>'ANA SAYFA'!C55</f>
        <v>TIR ŞOFÖRÜ</v>
      </c>
      <c r="C3" s="1166"/>
      <c r="D3" s="1166"/>
      <c r="E3" s="1166"/>
      <c r="F3" s="1166"/>
      <c r="G3" s="1166"/>
      <c r="H3" s="1166"/>
      <c r="I3" s="28"/>
      <c r="J3" s="1185"/>
      <c r="K3" s="30"/>
    </row>
    <row r="4" spans="1:11" ht="16.5" customHeight="1" x14ac:dyDescent="0.2">
      <c r="A4" s="322" t="s">
        <v>120</v>
      </c>
      <c r="B4" s="83">
        <f>'ANA SAYFA'!E55</f>
        <v>45773</v>
      </c>
      <c r="C4" s="1166"/>
      <c r="D4" s="1166"/>
      <c r="E4" s="1166"/>
      <c r="F4" s="1166"/>
      <c r="G4" s="1166"/>
      <c r="H4" s="1166"/>
      <c r="I4" s="28"/>
      <c r="J4" s="30"/>
      <c r="K4" s="30"/>
    </row>
    <row r="5" spans="1:11" ht="16.5" customHeight="1" x14ac:dyDescent="0.2">
      <c r="A5" s="322" t="s">
        <v>130</v>
      </c>
      <c r="B5" s="83">
        <f>'ANA SAYFA'!F55</f>
        <v>33010</v>
      </c>
      <c r="C5" s="1166"/>
      <c r="D5" s="1166"/>
      <c r="E5" s="1166"/>
      <c r="F5" s="1166"/>
      <c r="G5" s="1166"/>
      <c r="H5" s="1166"/>
      <c r="I5" s="28"/>
      <c r="J5" s="699"/>
      <c r="K5" s="699"/>
    </row>
    <row r="6" spans="1:11" ht="39.75" customHeight="1" x14ac:dyDescent="0.2">
      <c r="A6" s="323" t="s">
        <v>0</v>
      </c>
      <c r="B6" s="324" t="s">
        <v>1</v>
      </c>
      <c r="C6" s="323" t="s">
        <v>2</v>
      </c>
      <c r="D6" s="325" t="s">
        <v>133</v>
      </c>
      <c r="E6" s="325" t="s">
        <v>4</v>
      </c>
      <c r="F6" s="325" t="s">
        <v>7</v>
      </c>
      <c r="G6" s="325" t="s">
        <v>6</v>
      </c>
      <c r="H6" s="325" t="s">
        <v>16</v>
      </c>
      <c r="I6" s="34"/>
      <c r="J6" s="699"/>
      <c r="K6" s="699"/>
    </row>
    <row r="7" spans="1:11" ht="14.25" customHeight="1" x14ac:dyDescent="0.2">
      <c r="A7" s="717"/>
      <c r="B7" s="729">
        <v>45812</v>
      </c>
      <c r="C7" s="730">
        <v>45812</v>
      </c>
      <c r="D7" s="735">
        <v>0.33333333333333331</v>
      </c>
      <c r="E7" s="735">
        <v>0.75</v>
      </c>
      <c r="F7" s="286" t="s">
        <v>1011</v>
      </c>
      <c r="G7" s="748">
        <v>14</v>
      </c>
      <c r="H7" s="749">
        <v>1</v>
      </c>
      <c r="I7" s="49"/>
      <c r="J7" s="30"/>
      <c r="K7" s="30"/>
    </row>
    <row r="8" spans="1:11" ht="14.25" customHeight="1" x14ac:dyDescent="0.2">
      <c r="A8" s="897"/>
      <c r="B8" s="898">
        <v>45971</v>
      </c>
      <c r="C8" s="899">
        <v>45976</v>
      </c>
      <c r="D8" s="900"/>
      <c r="E8" s="900"/>
      <c r="F8" s="901"/>
      <c r="G8" s="765"/>
      <c r="H8" s="292">
        <v>5</v>
      </c>
      <c r="I8" s="49"/>
      <c r="J8" s="30"/>
      <c r="K8" s="30"/>
    </row>
    <row r="9" spans="1:11" ht="14.25" customHeight="1" x14ac:dyDescent="0.2">
      <c r="A9" s="897"/>
      <c r="B9" s="898">
        <v>46174</v>
      </c>
      <c r="C9" s="899">
        <v>46175</v>
      </c>
      <c r="D9" s="900"/>
      <c r="E9" s="900"/>
      <c r="F9" s="901"/>
      <c r="G9" s="765"/>
      <c r="H9" s="529">
        <v>1</v>
      </c>
      <c r="I9" s="49"/>
      <c r="J9" s="30"/>
      <c r="K9" s="30"/>
    </row>
    <row r="10" spans="1:11" ht="14.25" customHeight="1" x14ac:dyDescent="0.2">
      <c r="A10" s="526"/>
      <c r="B10" s="776"/>
      <c r="C10" s="777"/>
      <c r="D10" s="900"/>
      <c r="E10" s="900"/>
      <c r="F10" s="364"/>
      <c r="G10" s="287"/>
      <c r="H10" s="287"/>
    </row>
    <row r="11" spans="1:11" ht="14.25" customHeight="1" x14ac:dyDescent="0.2">
      <c r="A11" s="897"/>
      <c r="B11" s="898"/>
      <c r="C11" s="899"/>
      <c r="D11" s="900"/>
      <c r="E11" s="900"/>
      <c r="F11" s="364"/>
      <c r="G11" s="287"/>
      <c r="H11" s="529"/>
      <c r="I11" s="49"/>
      <c r="J11" s="30"/>
      <c r="K11" s="30"/>
    </row>
    <row r="12" spans="1:11" ht="14.25" customHeight="1" x14ac:dyDescent="0.2">
      <c r="A12" s="526"/>
      <c r="B12" s="898"/>
      <c r="C12" s="805"/>
      <c r="D12" s="900"/>
      <c r="E12" s="900"/>
      <c r="F12" s="901"/>
      <c r="G12" s="287"/>
      <c r="H12" s="529"/>
      <c r="I12" s="49"/>
      <c r="J12" s="30"/>
      <c r="K12" s="30"/>
    </row>
    <row r="13" spans="1:11" ht="14.25" customHeight="1" x14ac:dyDescent="0.2">
      <c r="A13" s="897"/>
      <c r="B13" s="898"/>
      <c r="C13" s="899"/>
      <c r="D13" s="900"/>
      <c r="E13" s="900"/>
      <c r="F13" s="901"/>
      <c r="G13" s="287"/>
      <c r="H13" s="529"/>
      <c r="I13" s="49"/>
      <c r="J13" s="30"/>
      <c r="K13" s="30"/>
    </row>
    <row r="14" spans="1:11" ht="14.25" customHeight="1" x14ac:dyDescent="0.2">
      <c r="A14" s="526"/>
      <c r="B14" s="776"/>
      <c r="C14" s="777"/>
      <c r="D14" s="900"/>
      <c r="E14" s="900"/>
      <c r="F14" s="364"/>
      <c r="G14" s="287"/>
      <c r="H14" s="287"/>
    </row>
    <row r="15" spans="1:11" ht="14.25" customHeight="1" x14ac:dyDescent="0.2">
      <c r="A15" s="526"/>
      <c r="B15" s="776"/>
      <c r="C15" s="777"/>
      <c r="D15" s="778"/>
      <c r="E15" s="778"/>
      <c r="F15" s="364"/>
      <c r="G15" s="287"/>
      <c r="H15" s="287"/>
    </row>
    <row r="16" spans="1:11" ht="14.25" customHeight="1" x14ac:dyDescent="0.2">
      <c r="A16" s="719"/>
      <c r="B16" s="720"/>
      <c r="C16" s="721"/>
      <c r="D16" s="722"/>
      <c r="E16" s="722"/>
      <c r="F16" s="253"/>
      <c r="G16" s="723"/>
      <c r="H16" s="723"/>
    </row>
    <row r="17" spans="1:8" ht="14.25" customHeight="1" x14ac:dyDescent="0.2">
      <c r="A17" s="719"/>
      <c r="B17" s="720"/>
      <c r="C17" s="721"/>
      <c r="D17" s="722"/>
      <c r="E17" s="722"/>
      <c r="F17" s="253"/>
      <c r="G17" s="723"/>
      <c r="H17" s="723"/>
    </row>
    <row r="18" spans="1:8" ht="14.25" customHeight="1" x14ac:dyDescent="0.2">
      <c r="A18" s="719"/>
      <c r="B18" s="720"/>
      <c r="C18" s="721"/>
      <c r="D18" s="722"/>
      <c r="E18" s="722"/>
      <c r="F18" s="253"/>
      <c r="G18" s="723"/>
      <c r="H18" s="723"/>
    </row>
    <row r="19" spans="1:8" ht="14.25" customHeight="1" x14ac:dyDescent="0.2">
      <c r="A19" s="719"/>
      <c r="B19" s="720"/>
      <c r="C19" s="721"/>
      <c r="D19" s="722"/>
      <c r="E19" s="722"/>
      <c r="F19" s="253"/>
      <c r="G19" s="723"/>
      <c r="H19" s="723"/>
    </row>
    <row r="20" spans="1:8" ht="14.25" customHeight="1" x14ac:dyDescent="0.2">
      <c r="A20" s="719"/>
      <c r="B20" s="720"/>
      <c r="C20" s="721"/>
      <c r="D20" s="722"/>
      <c r="E20" s="722"/>
      <c r="F20" s="263"/>
      <c r="G20" s="723"/>
      <c r="H20" s="723"/>
    </row>
    <row r="21" spans="1:8" ht="14.25" customHeight="1" x14ac:dyDescent="0.2">
      <c r="A21" s="719"/>
      <c r="B21" s="720"/>
      <c r="C21" s="721"/>
      <c r="D21" s="722"/>
      <c r="E21" s="722"/>
      <c r="F21" s="263"/>
      <c r="G21" s="723"/>
      <c r="H21" s="723"/>
    </row>
    <row r="22" spans="1:8" ht="14.25" customHeight="1" x14ac:dyDescent="0.2">
      <c r="A22" s="724"/>
      <c r="B22" s="720"/>
      <c r="C22" s="721"/>
      <c r="D22" s="722"/>
      <c r="E22" s="722"/>
      <c r="F22" s="263"/>
      <c r="G22" s="723"/>
      <c r="H22" s="723"/>
    </row>
    <row r="23" spans="1:8" ht="14.25" customHeight="1" x14ac:dyDescent="0.2">
      <c r="A23" s="685"/>
      <c r="B23" s="720"/>
      <c r="C23" s="721"/>
      <c r="D23" s="722"/>
      <c r="E23" s="722"/>
      <c r="F23" s="263"/>
      <c r="G23" s="723"/>
      <c r="H23" s="723"/>
    </row>
    <row r="24" spans="1:8" ht="14.25" customHeight="1" x14ac:dyDescent="0.2">
      <c r="A24" s="685"/>
      <c r="B24" s="720"/>
      <c r="C24" s="721"/>
      <c r="D24" s="722"/>
      <c r="E24" s="722"/>
      <c r="F24" s="263"/>
      <c r="G24" s="723"/>
      <c r="H24" s="723"/>
    </row>
    <row r="25" spans="1:8" ht="14.25" customHeight="1" x14ac:dyDescent="0.2">
      <c r="A25" s="685"/>
      <c r="B25" s="720"/>
      <c r="C25" s="721"/>
      <c r="D25" s="722"/>
      <c r="E25" s="722"/>
      <c r="F25" s="263"/>
      <c r="G25" s="723"/>
      <c r="H25" s="723"/>
    </row>
    <row r="26" spans="1:8" ht="14.25" customHeight="1" x14ac:dyDescent="0.2">
      <c r="A26" s="685"/>
      <c r="B26" s="720"/>
      <c r="C26" s="721"/>
      <c r="D26" s="722"/>
      <c r="E26" s="722"/>
      <c r="F26" s="263"/>
      <c r="G26" s="723"/>
      <c r="H26" s="723"/>
    </row>
    <row r="27" spans="1:8" ht="14.25" customHeight="1" x14ac:dyDescent="0.2">
      <c r="A27" s="685"/>
      <c r="B27" s="720"/>
      <c r="C27" s="721"/>
      <c r="D27" s="722"/>
      <c r="E27" s="722"/>
      <c r="F27" s="263"/>
      <c r="G27" s="723"/>
      <c r="H27" s="723"/>
    </row>
    <row r="28" spans="1:8" ht="14.25" customHeight="1" x14ac:dyDescent="0.2">
      <c r="A28" s="685"/>
      <c r="B28" s="720"/>
      <c r="C28" s="721"/>
      <c r="D28" s="722"/>
      <c r="E28" s="722"/>
      <c r="F28" s="263"/>
      <c r="G28" s="723"/>
      <c r="H28" s="723"/>
    </row>
    <row r="29" spans="1:8" ht="14.25" customHeight="1" x14ac:dyDescent="0.2">
      <c r="A29" s="685"/>
      <c r="B29" s="720"/>
      <c r="C29" s="721"/>
      <c r="D29" s="722"/>
      <c r="E29" s="722"/>
      <c r="F29" s="263"/>
      <c r="G29" s="723"/>
      <c r="H29" s="723"/>
    </row>
    <row r="30" spans="1:8" ht="14.25" customHeight="1" x14ac:dyDescent="0.2">
      <c r="A30" s="685"/>
      <c r="B30" s="720"/>
      <c r="C30" s="721"/>
      <c r="D30" s="722"/>
      <c r="E30" s="722"/>
      <c r="F30" s="263"/>
      <c r="G30" s="723"/>
      <c r="H30" s="723"/>
    </row>
    <row r="31" spans="1:8" ht="14.25" customHeight="1" x14ac:dyDescent="0.2">
      <c r="A31" s="725"/>
      <c r="B31" s="720"/>
      <c r="C31" s="721"/>
      <c r="D31" s="722"/>
      <c r="E31" s="722"/>
      <c r="F31" s="282"/>
      <c r="G31" s="691"/>
      <c r="H31" s="723"/>
    </row>
    <row r="32" spans="1:8" ht="14.25" customHeight="1" x14ac:dyDescent="0.2">
      <c r="A32" s="725"/>
      <c r="B32" s="720"/>
      <c r="C32" s="721"/>
      <c r="D32" s="722"/>
      <c r="E32" s="722"/>
      <c r="F32" s="282"/>
      <c r="G32" s="691"/>
      <c r="H32" s="723"/>
    </row>
    <row r="33" spans="1:8" ht="14.25" customHeight="1" x14ac:dyDescent="0.2">
      <c r="A33" s="725"/>
      <c r="B33" s="720"/>
      <c r="C33" s="721"/>
      <c r="D33" s="722"/>
      <c r="E33" s="722"/>
      <c r="F33" s="282"/>
      <c r="G33" s="691"/>
      <c r="H33" s="691"/>
    </row>
    <row r="34" spans="1:8" ht="14.25" customHeight="1" x14ac:dyDescent="0.2">
      <c r="A34" s="725"/>
      <c r="B34" s="720"/>
      <c r="C34" s="721"/>
      <c r="D34" s="722"/>
      <c r="E34" s="722"/>
      <c r="F34" s="282"/>
      <c r="G34" s="691"/>
      <c r="H34" s="691"/>
    </row>
    <row r="35" spans="1:8" ht="14.25" customHeight="1" x14ac:dyDescent="0.2">
      <c r="F35" s="285" t="s">
        <v>123</v>
      </c>
      <c r="G35" s="285">
        <f>SUM(G7:G34)</f>
        <v>14</v>
      </c>
      <c r="H35" s="353">
        <f>SUM(H7:H34)</f>
        <v>7</v>
      </c>
    </row>
    <row r="36" spans="1:8" ht="14.25" customHeight="1" x14ac:dyDescent="0.2">
      <c r="F36" s="62"/>
      <c r="G36" s="63"/>
      <c r="H36" s="63"/>
    </row>
    <row r="37" spans="1:8" ht="14.25" customHeight="1" x14ac:dyDescent="0.2">
      <c r="F37" s="1153" t="s">
        <v>8</v>
      </c>
      <c r="G37" s="1154"/>
      <c r="H37" s="84">
        <f>G35-H35</f>
        <v>7</v>
      </c>
    </row>
  </sheetData>
  <sortState ref="B9:H23">
    <sortCondition ref="B8"/>
  </sortState>
  <mergeCells count="3">
    <mergeCell ref="F37:G37"/>
    <mergeCell ref="J1:J3"/>
    <mergeCell ref="C1:H5"/>
  </mergeCells>
  <hyperlinks>
    <hyperlink ref="J1:J3" location="'ANA SAYFA'!A1" display="ANA SAYFA"/>
  </hyperlinks>
  <pageMargins left="0.25" right="0.24" top="0.28999999999999998" bottom="0.75" header="0.3" footer="0.3"/>
  <pageSetup paperSize="9" scale="98"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zoomScaleNormal="100" workbookViewId="0">
      <selection activeCell="J1" sqref="J1:J3"/>
    </sheetView>
  </sheetViews>
  <sheetFormatPr defaultColWidth="9.140625" defaultRowHeight="12.75" x14ac:dyDescent="0.2"/>
  <cols>
    <col min="1" max="1" width="18.5703125" style="82" bestFit="1" customWidth="1"/>
    <col min="2" max="2" width="28.5703125" style="82" bestFit="1" customWidth="1"/>
    <col min="3" max="3" width="28.28515625" style="82" bestFit="1" customWidth="1"/>
    <col min="4" max="4" width="6.7109375" style="82" bestFit="1" customWidth="1"/>
    <col min="5" max="5" width="8.85546875" style="82" bestFit="1" customWidth="1"/>
    <col min="6" max="6" width="18.85546875" style="82" bestFit="1" customWidth="1"/>
    <col min="7" max="7" width="14.42578125" style="82" bestFit="1" customWidth="1"/>
    <col min="8" max="8" width="12.7109375" style="82" bestFit="1" customWidth="1"/>
    <col min="9" max="9" width="5.5703125" style="82" customWidth="1"/>
    <col min="10" max="10" width="10.85546875" style="82" customWidth="1"/>
    <col min="11" max="16384" width="9.140625" style="82"/>
  </cols>
  <sheetData>
    <row r="1" spans="1:11" ht="14.25" customHeight="1" x14ac:dyDescent="0.2">
      <c r="A1" s="29" t="s">
        <v>135</v>
      </c>
      <c r="B1" s="284" t="s">
        <v>286</v>
      </c>
      <c r="C1" s="1166" t="s">
        <v>136</v>
      </c>
      <c r="D1" s="1166"/>
      <c r="E1" s="1166"/>
      <c r="F1" s="1166"/>
      <c r="G1" s="1166"/>
      <c r="H1" s="1166"/>
      <c r="I1" s="28"/>
      <c r="J1" s="1183" t="s">
        <v>712</v>
      </c>
      <c r="K1" s="30"/>
    </row>
    <row r="2" spans="1:11" ht="14.25" customHeight="1" x14ac:dyDescent="0.2">
      <c r="A2" s="29" t="s">
        <v>137</v>
      </c>
      <c r="B2" s="88">
        <v>47833202324</v>
      </c>
      <c r="C2" s="1166"/>
      <c r="D2" s="1166"/>
      <c r="E2" s="1166"/>
      <c r="F2" s="1166"/>
      <c r="G2" s="1166"/>
      <c r="H2" s="1166"/>
      <c r="I2" s="28"/>
      <c r="J2" s="1184"/>
      <c r="K2" s="30"/>
    </row>
    <row r="3" spans="1:11" ht="14.25" customHeight="1" thickBot="1" x14ac:dyDescent="0.25">
      <c r="A3" s="29" t="s">
        <v>131</v>
      </c>
      <c r="B3" s="88" t="s">
        <v>191</v>
      </c>
      <c r="C3" s="1166"/>
      <c r="D3" s="1166"/>
      <c r="E3" s="1166"/>
      <c r="F3" s="1166"/>
      <c r="G3" s="1166"/>
      <c r="H3" s="1166"/>
      <c r="I3" s="28"/>
      <c r="J3" s="1185"/>
      <c r="K3" s="30"/>
    </row>
    <row r="4" spans="1:11" ht="14.25" customHeight="1" x14ac:dyDescent="0.2">
      <c r="A4" s="29" t="s">
        <v>120</v>
      </c>
      <c r="B4" s="83">
        <v>44014</v>
      </c>
      <c r="C4" s="1166"/>
      <c r="D4" s="1166"/>
      <c r="E4" s="1166"/>
      <c r="F4" s="1166"/>
      <c r="G4" s="1166"/>
      <c r="H4" s="1166"/>
      <c r="I4" s="28"/>
      <c r="J4" s="30"/>
      <c r="K4" s="30"/>
    </row>
    <row r="5" spans="1:11" ht="14.25" customHeight="1" x14ac:dyDescent="0.2">
      <c r="A5" s="29" t="s">
        <v>130</v>
      </c>
      <c r="B5" s="83">
        <v>25419</v>
      </c>
      <c r="C5" s="1166"/>
      <c r="D5" s="1166"/>
      <c r="E5" s="1166"/>
      <c r="F5" s="1166"/>
      <c r="G5" s="1166"/>
      <c r="H5" s="1166"/>
      <c r="I5" s="28"/>
      <c r="J5" s="699"/>
      <c r="K5" s="699"/>
    </row>
    <row r="6" spans="1:11" ht="31.5" x14ac:dyDescent="0.2">
      <c r="A6" s="69" t="s">
        <v>0</v>
      </c>
      <c r="B6" s="70" t="s">
        <v>1</v>
      </c>
      <c r="C6" s="69" t="s">
        <v>2</v>
      </c>
      <c r="D6" s="71" t="s">
        <v>133</v>
      </c>
      <c r="E6" s="71" t="s">
        <v>4</v>
      </c>
      <c r="F6" s="71" t="s">
        <v>7</v>
      </c>
      <c r="G6" s="71" t="s">
        <v>6</v>
      </c>
      <c r="H6" s="71" t="s">
        <v>16</v>
      </c>
      <c r="I6" s="34"/>
      <c r="J6" s="699"/>
      <c r="K6" s="699"/>
    </row>
    <row r="7" spans="1:11" x14ac:dyDescent="0.2">
      <c r="A7" s="139"/>
      <c r="B7" s="155">
        <v>44209</v>
      </c>
      <c r="C7" s="156">
        <v>44210</v>
      </c>
      <c r="D7" s="168">
        <v>0.45833333333333331</v>
      </c>
      <c r="E7" s="168">
        <v>0.33333333333333331</v>
      </c>
      <c r="F7" s="244" t="s">
        <v>407</v>
      </c>
      <c r="G7" s="145">
        <v>20</v>
      </c>
      <c r="H7" s="755">
        <v>0.5</v>
      </c>
      <c r="I7" s="49"/>
      <c r="J7" s="30"/>
      <c r="K7" s="30"/>
    </row>
    <row r="8" spans="1:11" x14ac:dyDescent="0.2">
      <c r="A8" s="139"/>
      <c r="B8" s="155">
        <v>44212</v>
      </c>
      <c r="C8" s="156">
        <v>44213</v>
      </c>
      <c r="D8" s="168">
        <v>0.33333333333333331</v>
      </c>
      <c r="E8" s="168">
        <v>0.33333333333333331</v>
      </c>
      <c r="F8" s="244" t="s">
        <v>408</v>
      </c>
      <c r="G8" s="145">
        <v>20</v>
      </c>
      <c r="H8" s="755">
        <v>1</v>
      </c>
      <c r="I8" s="49"/>
      <c r="J8" s="30"/>
      <c r="K8" s="30"/>
    </row>
    <row r="9" spans="1:11" x14ac:dyDescent="0.2">
      <c r="A9" s="141"/>
      <c r="B9" s="155">
        <v>44244</v>
      </c>
      <c r="C9" s="158">
        <v>44249</v>
      </c>
      <c r="D9" s="168">
        <v>0.33333333333333331</v>
      </c>
      <c r="E9" s="168" t="s">
        <v>17</v>
      </c>
      <c r="F9" s="262" t="s">
        <v>427</v>
      </c>
      <c r="G9" s="145">
        <v>20</v>
      </c>
      <c r="H9" s="755">
        <v>4</v>
      </c>
      <c r="I9" s="49"/>
      <c r="J9" s="30"/>
      <c r="K9" s="30"/>
    </row>
    <row r="10" spans="1:11" x14ac:dyDescent="0.2">
      <c r="A10" s="141"/>
      <c r="B10" s="245">
        <v>44383</v>
      </c>
      <c r="C10" s="246">
        <v>44384</v>
      </c>
      <c r="D10" s="168">
        <v>0.625</v>
      </c>
      <c r="E10" s="168">
        <v>0.33333333333333331</v>
      </c>
      <c r="F10" s="144" t="s">
        <v>612</v>
      </c>
      <c r="G10" s="145">
        <v>20</v>
      </c>
      <c r="H10" s="237">
        <v>0.5</v>
      </c>
      <c r="I10" s="49"/>
      <c r="J10" s="30"/>
      <c r="K10" s="30"/>
    </row>
    <row r="11" spans="1:11" x14ac:dyDescent="0.2">
      <c r="A11" s="141"/>
      <c r="B11" s="245">
        <v>44755</v>
      </c>
      <c r="C11" s="246">
        <v>44767</v>
      </c>
      <c r="D11" s="168">
        <v>0.33333333333333331</v>
      </c>
      <c r="E11" s="168">
        <v>0.33333333333333331</v>
      </c>
      <c r="F11" s="144" t="s">
        <v>939</v>
      </c>
      <c r="G11" s="145">
        <v>20</v>
      </c>
      <c r="H11" s="436">
        <v>9</v>
      </c>
      <c r="I11" s="49"/>
      <c r="J11" s="30"/>
      <c r="K11" s="30"/>
    </row>
    <row r="12" spans="1:11" x14ac:dyDescent="0.2">
      <c r="A12" s="141"/>
      <c r="B12" s="142">
        <v>45085</v>
      </c>
      <c r="C12" s="143">
        <v>45086</v>
      </c>
      <c r="D12" s="144">
        <v>0.33333333333333331</v>
      </c>
      <c r="E12" s="144">
        <v>0.33333333333333331</v>
      </c>
      <c r="F12" s="144"/>
      <c r="G12" s="145"/>
      <c r="H12" s="237">
        <v>1</v>
      </c>
    </row>
    <row r="13" spans="1:11" x14ac:dyDescent="0.2">
      <c r="A13" s="141"/>
      <c r="B13" s="142">
        <v>45103</v>
      </c>
      <c r="C13" s="143">
        <v>45110</v>
      </c>
      <c r="D13" s="144">
        <v>0.33333333333333331</v>
      </c>
      <c r="E13" s="144">
        <v>0.33333333333333331</v>
      </c>
      <c r="F13" s="144"/>
      <c r="G13" s="145"/>
      <c r="H13" s="237">
        <v>1</v>
      </c>
    </row>
    <row r="14" spans="1:11" x14ac:dyDescent="0.2">
      <c r="A14" s="141"/>
      <c r="B14" s="142">
        <v>45204</v>
      </c>
      <c r="C14" s="143">
        <v>45205</v>
      </c>
      <c r="D14" s="144">
        <v>0.33333333333333331</v>
      </c>
      <c r="E14" s="144">
        <v>0.33333333333333331</v>
      </c>
      <c r="F14" s="144"/>
      <c r="G14" s="145"/>
      <c r="H14" s="237">
        <v>1</v>
      </c>
    </row>
    <row r="15" spans="1:11" x14ac:dyDescent="0.2">
      <c r="A15" s="141"/>
      <c r="B15" s="142">
        <v>45222</v>
      </c>
      <c r="C15" s="143">
        <v>45224</v>
      </c>
      <c r="D15" s="144">
        <v>0.33333333333333331</v>
      </c>
      <c r="E15" s="144">
        <v>0.33333333333333331</v>
      </c>
      <c r="F15" s="144"/>
      <c r="G15" s="145"/>
      <c r="H15" s="237">
        <v>2</v>
      </c>
    </row>
    <row r="16" spans="1:11" x14ac:dyDescent="0.2">
      <c r="A16" s="141"/>
      <c r="B16" s="142" t="s">
        <v>516</v>
      </c>
      <c r="C16" s="142" t="s">
        <v>516</v>
      </c>
      <c r="D16" s="144">
        <v>0.33333333333333331</v>
      </c>
      <c r="E16" s="144">
        <v>0.33333333333333331</v>
      </c>
      <c r="F16" s="144"/>
      <c r="G16" s="145"/>
      <c r="H16" s="237">
        <v>1</v>
      </c>
    </row>
    <row r="17" spans="1:8" x14ac:dyDescent="0.2">
      <c r="A17" s="141"/>
      <c r="B17" s="142" t="s">
        <v>551</v>
      </c>
      <c r="C17" s="143" t="s">
        <v>552</v>
      </c>
      <c r="D17" s="722">
        <v>0.33333333333333331</v>
      </c>
      <c r="E17" s="722">
        <v>0.33333333333333331</v>
      </c>
      <c r="F17" s="253"/>
      <c r="G17" s="145"/>
      <c r="H17" s="237">
        <v>9</v>
      </c>
    </row>
    <row r="18" spans="1:8" x14ac:dyDescent="0.2">
      <c r="A18" s="141"/>
      <c r="B18" s="142">
        <v>45514</v>
      </c>
      <c r="C18" s="143">
        <v>45535</v>
      </c>
      <c r="D18" s="722">
        <v>0.33333333333333331</v>
      </c>
      <c r="E18" s="722">
        <v>0.33333333333333331</v>
      </c>
      <c r="F18" s="253"/>
      <c r="G18" s="145"/>
      <c r="H18" s="237">
        <v>18</v>
      </c>
    </row>
    <row r="19" spans="1:8" s="699" customFormat="1" x14ac:dyDescent="0.2">
      <c r="A19" s="719"/>
      <c r="B19" s="720">
        <v>46018</v>
      </c>
      <c r="C19" s="721">
        <v>46030</v>
      </c>
      <c r="D19" s="722"/>
      <c r="E19" s="722"/>
      <c r="F19" s="253"/>
      <c r="G19" s="723"/>
      <c r="H19" s="237">
        <v>10</v>
      </c>
    </row>
    <row r="20" spans="1:8" s="699" customFormat="1" x14ac:dyDescent="0.2">
      <c r="A20" s="719"/>
      <c r="B20" s="720">
        <v>46104</v>
      </c>
      <c r="C20" s="721">
        <v>46108</v>
      </c>
      <c r="D20" s="722"/>
      <c r="E20" s="722"/>
      <c r="F20" s="253"/>
      <c r="G20" s="723"/>
      <c r="H20" s="237">
        <v>4</v>
      </c>
    </row>
    <row r="21" spans="1:8" s="699" customFormat="1" x14ac:dyDescent="0.2">
      <c r="A21" s="719"/>
      <c r="B21" s="720">
        <v>46134</v>
      </c>
      <c r="C21" s="721">
        <v>46174</v>
      </c>
      <c r="D21" s="722"/>
      <c r="E21" s="722"/>
      <c r="F21" s="253"/>
      <c r="G21" s="723"/>
      <c r="H21" s="237">
        <v>29</v>
      </c>
    </row>
    <row r="22" spans="1:8" s="699" customFormat="1" x14ac:dyDescent="0.2">
      <c r="A22" s="719"/>
      <c r="B22" s="720"/>
      <c r="C22" s="721"/>
      <c r="D22" s="722"/>
      <c r="E22" s="722"/>
      <c r="F22" s="253"/>
      <c r="G22" s="723"/>
      <c r="H22" s="237"/>
    </row>
    <row r="23" spans="1:8" s="699" customFormat="1" x14ac:dyDescent="0.2">
      <c r="A23" s="719"/>
      <c r="B23" s="720"/>
      <c r="C23" s="721"/>
      <c r="D23" s="722"/>
      <c r="E23" s="722"/>
      <c r="F23" s="253"/>
      <c r="G23" s="723"/>
      <c r="H23" s="237"/>
    </row>
    <row r="24" spans="1:8" s="699" customFormat="1" x14ac:dyDescent="0.2">
      <c r="A24" s="719"/>
      <c r="B24" s="720"/>
      <c r="C24" s="721"/>
      <c r="D24" s="722"/>
      <c r="E24" s="722"/>
      <c r="F24" s="253"/>
      <c r="G24" s="723"/>
      <c r="H24" s="237"/>
    </row>
    <row r="25" spans="1:8" s="699" customFormat="1" x14ac:dyDescent="0.2">
      <c r="A25" s="719"/>
      <c r="B25" s="720"/>
      <c r="C25" s="721"/>
      <c r="D25" s="722"/>
      <c r="E25" s="722"/>
      <c r="F25" s="253"/>
      <c r="G25" s="723"/>
      <c r="H25" s="237"/>
    </row>
    <row r="26" spans="1:8" s="699" customFormat="1" x14ac:dyDescent="0.2">
      <c r="A26" s="719"/>
      <c r="B26" s="720"/>
      <c r="C26" s="721"/>
      <c r="D26" s="722"/>
      <c r="E26" s="722"/>
      <c r="F26" s="253"/>
      <c r="G26" s="723"/>
      <c r="H26" s="237"/>
    </row>
    <row r="27" spans="1:8" s="699" customFormat="1" x14ac:dyDescent="0.2">
      <c r="A27" s="719"/>
      <c r="B27" s="720"/>
      <c r="C27" s="721"/>
      <c r="D27" s="722"/>
      <c r="E27" s="722"/>
      <c r="F27" s="253"/>
      <c r="G27" s="723"/>
      <c r="H27" s="237"/>
    </row>
    <row r="28" spans="1:8" s="699" customFormat="1" x14ac:dyDescent="0.2">
      <c r="A28" s="719"/>
      <c r="B28" s="720"/>
      <c r="C28" s="721"/>
      <c r="D28" s="722"/>
      <c r="E28" s="722"/>
      <c r="F28" s="253"/>
      <c r="G28" s="723"/>
      <c r="H28" s="237"/>
    </row>
    <row r="29" spans="1:8" s="699" customFormat="1" x14ac:dyDescent="0.2">
      <c r="A29" s="719"/>
      <c r="B29" s="720"/>
      <c r="C29" s="721"/>
      <c r="D29" s="722"/>
      <c r="E29" s="722"/>
      <c r="F29" s="253"/>
      <c r="G29" s="723"/>
      <c r="H29" s="237"/>
    </row>
    <row r="30" spans="1:8" s="699" customFormat="1" x14ac:dyDescent="0.2">
      <c r="A30" s="719"/>
      <c r="B30" s="720"/>
      <c r="C30" s="721"/>
      <c r="D30" s="722"/>
      <c r="E30" s="722"/>
      <c r="F30" s="253"/>
      <c r="G30" s="723"/>
      <c r="H30" s="237"/>
    </row>
    <row r="31" spans="1:8" s="699" customFormat="1" x14ac:dyDescent="0.2">
      <c r="A31" s="719"/>
      <c r="B31" s="720"/>
      <c r="C31" s="721"/>
      <c r="D31" s="722"/>
      <c r="E31" s="722"/>
      <c r="F31" s="253"/>
      <c r="G31" s="723"/>
      <c r="H31" s="237"/>
    </row>
    <row r="32" spans="1:8" s="699" customFormat="1" x14ac:dyDescent="0.2">
      <c r="A32" s="719"/>
      <c r="B32" s="720"/>
      <c r="C32" s="721"/>
      <c r="D32" s="722"/>
      <c r="E32" s="722"/>
      <c r="F32" s="253"/>
      <c r="G32" s="723"/>
      <c r="H32" s="237"/>
    </row>
    <row r="33" spans="1:8" x14ac:dyDescent="0.2">
      <c r="A33" s="141"/>
      <c r="B33" s="142"/>
      <c r="C33" s="143"/>
      <c r="D33" s="144"/>
      <c r="E33" s="144"/>
      <c r="F33" s="253"/>
      <c r="G33" s="145"/>
      <c r="H33" s="237"/>
    </row>
    <row r="34" spans="1:8" x14ac:dyDescent="0.2">
      <c r="A34" s="141"/>
      <c r="B34" s="142"/>
      <c r="C34" s="143"/>
      <c r="D34" s="144"/>
      <c r="E34" s="144"/>
      <c r="F34" s="253"/>
      <c r="G34" s="145"/>
      <c r="H34" s="237"/>
    </row>
    <row r="35" spans="1:8" x14ac:dyDescent="0.2">
      <c r="A35" s="146"/>
      <c r="B35" s="142"/>
      <c r="C35" s="143"/>
      <c r="D35" s="144"/>
      <c r="E35" s="144"/>
      <c r="F35" s="253"/>
      <c r="G35" s="145"/>
      <c r="H35" s="237"/>
    </row>
    <row r="36" spans="1:8" x14ac:dyDescent="0.2">
      <c r="A36" s="55"/>
      <c r="B36" s="142"/>
      <c r="C36" s="143"/>
      <c r="D36" s="144"/>
      <c r="E36" s="144"/>
      <c r="F36" s="253"/>
      <c r="G36" s="145"/>
      <c r="H36" s="237"/>
    </row>
    <row r="37" spans="1:8" x14ac:dyDescent="0.2">
      <c r="A37" s="55"/>
      <c r="B37" s="142"/>
      <c r="C37" s="143"/>
      <c r="D37" s="144"/>
      <c r="E37" s="144"/>
      <c r="F37" s="253"/>
      <c r="G37" s="145"/>
      <c r="H37" s="237"/>
    </row>
    <row r="38" spans="1:8" x14ac:dyDescent="0.2">
      <c r="A38" s="55"/>
      <c r="B38" s="142"/>
      <c r="C38" s="143"/>
      <c r="D38" s="144"/>
      <c r="E38" s="144"/>
      <c r="F38" s="253"/>
      <c r="G38" s="145"/>
      <c r="H38" s="237"/>
    </row>
    <row r="39" spans="1:8" x14ac:dyDescent="0.2">
      <c r="F39" s="277" t="s">
        <v>123</v>
      </c>
      <c r="G39" s="77">
        <f>SUM(G7:G38)</f>
        <v>100</v>
      </c>
      <c r="H39" s="697">
        <f>SUM(H7:H38)</f>
        <v>91</v>
      </c>
    </row>
    <row r="40" spans="1:8" x14ac:dyDescent="0.2">
      <c r="F40" s="62"/>
      <c r="G40" s="63"/>
      <c r="H40" s="63"/>
    </row>
    <row r="41" spans="1:8" ht="14.25" x14ac:dyDescent="0.2">
      <c r="F41" s="1153" t="s">
        <v>8</v>
      </c>
      <c r="G41" s="1154"/>
      <c r="H41" s="84">
        <f>G39-H39</f>
        <v>9</v>
      </c>
    </row>
  </sheetData>
  <mergeCells count="3">
    <mergeCell ref="F41:G41"/>
    <mergeCell ref="J1:J3"/>
    <mergeCell ref="C1:H5"/>
  </mergeCells>
  <hyperlinks>
    <hyperlink ref="J1:J3" location="'ANA SAYFA'!A1" display="ANA SAYFA"/>
  </hyperlinks>
  <pageMargins left="0.7" right="0.12" top="0.22" bottom="0.75" header="0.22" footer="0.3"/>
  <pageSetup paperSize="9" scale="70" orientation="portrait" r:id="rId1"/>
  <colBreaks count="1" manualBreakCount="1">
    <brk id="8" max="1048575" man="1"/>
  </col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0"/>
  <sheetViews>
    <sheetView zoomScaleNormal="100" workbookViewId="0">
      <pane ySplit="6" topLeftCell="A100" activePane="bottomLeft" state="frozen"/>
      <selection pane="bottomLeft" activeCell="J1" sqref="J1:J3"/>
    </sheetView>
  </sheetViews>
  <sheetFormatPr defaultColWidth="9.140625" defaultRowHeight="12.75" x14ac:dyDescent="0.2"/>
  <cols>
    <col min="1" max="1" width="18.140625" style="82" bestFit="1" customWidth="1"/>
    <col min="2" max="3" width="31.5703125" style="82" bestFit="1" customWidth="1"/>
    <col min="4" max="5" width="9.28515625" style="82" bestFit="1" customWidth="1"/>
    <col min="6" max="6" width="21.140625" style="82" bestFit="1" customWidth="1"/>
    <col min="7" max="7" width="14.28515625" style="82" bestFit="1" customWidth="1"/>
    <col min="8" max="8" width="12.5703125" style="82" bestFit="1" customWidth="1"/>
    <col min="9" max="9" width="4" style="82" customWidth="1"/>
    <col min="10" max="10" width="11.140625" style="82" customWidth="1"/>
    <col min="11" max="16384" width="9.140625" style="82"/>
  </cols>
  <sheetData>
    <row r="1" spans="1:11" ht="14.25" customHeight="1" x14ac:dyDescent="0.2">
      <c r="A1" s="29" t="s">
        <v>135</v>
      </c>
      <c r="B1" s="188" t="str">
        <f>'ANA SAYFA'!B54</f>
        <v xml:space="preserve">SÜREYYA ERTAŞ </v>
      </c>
      <c r="C1" s="1166" t="s">
        <v>136</v>
      </c>
      <c r="D1" s="1166"/>
      <c r="E1" s="1166"/>
      <c r="F1" s="1166"/>
      <c r="G1" s="1166"/>
      <c r="H1" s="1166"/>
      <c r="I1" s="28"/>
      <c r="J1" s="1183" t="s">
        <v>712</v>
      </c>
      <c r="K1" s="30"/>
    </row>
    <row r="2" spans="1:11" ht="14.25" customHeight="1" x14ac:dyDescent="0.2">
      <c r="A2" s="29" t="s">
        <v>137</v>
      </c>
      <c r="B2" s="154">
        <f>'ANA SAYFA'!D54</f>
        <v>33152143462</v>
      </c>
      <c r="C2" s="1166"/>
      <c r="D2" s="1166"/>
      <c r="E2" s="1166"/>
      <c r="F2" s="1166"/>
      <c r="G2" s="1166"/>
      <c r="H2" s="1166"/>
      <c r="I2" s="28"/>
      <c r="J2" s="1184"/>
      <c r="K2" s="30"/>
    </row>
    <row r="3" spans="1:11" ht="14.25" customHeight="1" thickBot="1" x14ac:dyDescent="0.25">
      <c r="A3" s="29" t="s">
        <v>131</v>
      </c>
      <c r="B3" s="153" t="str">
        <f>'ANA SAYFA'!C54</f>
        <v>TIR ŞOFÖRÜ</v>
      </c>
      <c r="C3" s="1166"/>
      <c r="D3" s="1166"/>
      <c r="E3" s="1166"/>
      <c r="F3" s="1166"/>
      <c r="G3" s="1166"/>
      <c r="H3" s="1166"/>
      <c r="I3" s="28"/>
      <c r="J3" s="1185"/>
      <c r="K3" s="30"/>
    </row>
    <row r="4" spans="1:11" ht="14.25" customHeight="1" x14ac:dyDescent="0.2">
      <c r="A4" s="29" t="s">
        <v>120</v>
      </c>
      <c r="B4" s="83">
        <f>'ANA SAYFA'!E54</f>
        <v>41520</v>
      </c>
      <c r="C4" s="1166"/>
      <c r="D4" s="1166"/>
      <c r="E4" s="1166"/>
      <c r="F4" s="1166"/>
      <c r="G4" s="1166"/>
      <c r="H4" s="1166"/>
      <c r="I4" s="28"/>
      <c r="J4" s="30"/>
      <c r="K4" s="30"/>
    </row>
    <row r="5" spans="1:11" ht="14.25" customHeight="1" x14ac:dyDescent="0.2">
      <c r="A5" s="29" t="s">
        <v>130</v>
      </c>
      <c r="B5" s="83">
        <f>'ANA SAYFA'!F54</f>
        <v>25882</v>
      </c>
      <c r="C5" s="1166"/>
      <c r="D5" s="1166"/>
      <c r="E5" s="1166"/>
      <c r="F5" s="1166"/>
      <c r="G5" s="1166"/>
      <c r="H5" s="1166"/>
      <c r="I5" s="28"/>
      <c r="J5" s="699"/>
      <c r="K5" s="699"/>
    </row>
    <row r="6" spans="1:11" ht="31.5" x14ac:dyDescent="0.2">
      <c r="A6" s="69" t="s">
        <v>0</v>
      </c>
      <c r="B6" s="70" t="s">
        <v>1</v>
      </c>
      <c r="C6" s="69" t="s">
        <v>2</v>
      </c>
      <c r="D6" s="71" t="s">
        <v>133</v>
      </c>
      <c r="E6" s="71" t="s">
        <v>4</v>
      </c>
      <c r="F6" s="71" t="s">
        <v>7</v>
      </c>
      <c r="G6" s="71" t="s">
        <v>6</v>
      </c>
      <c r="H6" s="71" t="s">
        <v>16</v>
      </c>
      <c r="I6" s="34"/>
      <c r="J6" s="699"/>
      <c r="K6" s="699"/>
    </row>
    <row r="7" spans="1:11" s="243" customFormat="1" x14ac:dyDescent="0.2">
      <c r="A7" s="139"/>
      <c r="B7" s="155">
        <v>41530</v>
      </c>
      <c r="C7" s="156">
        <v>41532</v>
      </c>
      <c r="D7" s="168">
        <v>0.3125</v>
      </c>
      <c r="E7" s="168">
        <v>0.3125</v>
      </c>
      <c r="F7" s="262" t="s">
        <v>15</v>
      </c>
      <c r="G7" s="191">
        <v>14</v>
      </c>
      <c r="H7" s="755">
        <v>2</v>
      </c>
      <c r="I7" s="49"/>
      <c r="J7" s="30"/>
      <c r="K7" s="30"/>
    </row>
    <row r="8" spans="1:11" s="243" customFormat="1" x14ac:dyDescent="0.2">
      <c r="A8" s="139"/>
      <c r="B8" s="155">
        <v>41619</v>
      </c>
      <c r="C8" s="156">
        <v>41624</v>
      </c>
      <c r="D8" s="144">
        <v>0.45833333333333331</v>
      </c>
      <c r="E8" s="144">
        <v>0.33333333333333331</v>
      </c>
      <c r="F8" s="260" t="s">
        <v>26</v>
      </c>
      <c r="G8" s="191">
        <v>14</v>
      </c>
      <c r="H8" s="755">
        <v>5</v>
      </c>
      <c r="I8" s="49"/>
      <c r="J8" s="30"/>
      <c r="K8" s="30"/>
    </row>
    <row r="9" spans="1:11" s="243" customFormat="1" ht="12" customHeight="1" x14ac:dyDescent="0.2">
      <c r="A9" s="141"/>
      <c r="B9" s="155">
        <v>41669</v>
      </c>
      <c r="C9" s="158">
        <v>41670</v>
      </c>
      <c r="D9" s="159">
        <v>0.33333333333333331</v>
      </c>
      <c r="E9" s="159">
        <v>0.33333333333333331</v>
      </c>
      <c r="F9" s="261" t="s">
        <v>27</v>
      </c>
      <c r="G9" s="191">
        <v>14</v>
      </c>
      <c r="H9" s="436">
        <v>1</v>
      </c>
      <c r="I9" s="49"/>
      <c r="J9" s="30"/>
      <c r="K9" s="30"/>
    </row>
    <row r="10" spans="1:11" s="243" customFormat="1" ht="12" customHeight="1" x14ac:dyDescent="0.2">
      <c r="A10" s="141"/>
      <c r="B10" s="155">
        <v>41683</v>
      </c>
      <c r="C10" s="158">
        <v>41683</v>
      </c>
      <c r="D10" s="144">
        <v>0.33333333333333331</v>
      </c>
      <c r="E10" s="144">
        <v>0.5</v>
      </c>
      <c r="F10" s="261" t="s">
        <v>43</v>
      </c>
      <c r="G10" s="145">
        <v>14</v>
      </c>
      <c r="H10" s="436">
        <v>0.5</v>
      </c>
      <c r="I10" s="49"/>
      <c r="J10" s="30"/>
      <c r="K10" s="30"/>
    </row>
    <row r="11" spans="1:11" s="243" customFormat="1" ht="12" customHeight="1" x14ac:dyDescent="0.2">
      <c r="A11" s="146"/>
      <c r="B11" s="245">
        <v>41692</v>
      </c>
      <c r="C11" s="246">
        <v>41692</v>
      </c>
      <c r="D11" s="247">
        <v>0.33333333333333331</v>
      </c>
      <c r="E11" s="247">
        <v>0.54166666666666663</v>
      </c>
      <c r="F11" s="261" t="s">
        <v>44</v>
      </c>
      <c r="G11" s="145">
        <v>14</v>
      </c>
      <c r="H11" s="755">
        <v>0.5</v>
      </c>
      <c r="I11" s="49"/>
      <c r="J11" s="30"/>
      <c r="K11" s="30"/>
    </row>
    <row r="12" spans="1:11" s="243" customFormat="1" x14ac:dyDescent="0.2">
      <c r="A12" s="146"/>
      <c r="B12" s="245">
        <v>41708</v>
      </c>
      <c r="C12" s="246">
        <v>41711</v>
      </c>
      <c r="D12" s="247">
        <v>0.33333333333333331</v>
      </c>
      <c r="E12" s="247">
        <v>0.3125</v>
      </c>
      <c r="F12" s="253" t="s">
        <v>55</v>
      </c>
      <c r="G12" s="145">
        <v>20</v>
      </c>
      <c r="H12" s="436">
        <v>3</v>
      </c>
      <c r="I12" s="49"/>
      <c r="J12" s="30"/>
      <c r="K12" s="30"/>
    </row>
    <row r="13" spans="1:11" s="243" customFormat="1" x14ac:dyDescent="0.2">
      <c r="A13" s="236"/>
      <c r="B13" s="245">
        <v>41718</v>
      </c>
      <c r="C13" s="246">
        <v>41719</v>
      </c>
      <c r="D13" s="247">
        <v>0.54166666666666663</v>
      </c>
      <c r="E13" s="247">
        <v>0.3125</v>
      </c>
      <c r="F13" s="253" t="s">
        <v>83</v>
      </c>
      <c r="G13" s="145">
        <v>20</v>
      </c>
      <c r="H13" s="755">
        <v>0.5</v>
      </c>
      <c r="I13" s="49"/>
      <c r="J13" s="30"/>
      <c r="K13" s="30"/>
    </row>
    <row r="14" spans="1:11" s="243" customFormat="1" x14ac:dyDescent="0.2">
      <c r="A14" s="236"/>
      <c r="B14" s="245">
        <v>41765</v>
      </c>
      <c r="C14" s="246">
        <v>41766</v>
      </c>
      <c r="D14" s="247">
        <v>0.52083333333333337</v>
      </c>
      <c r="E14" s="247">
        <v>0.3125</v>
      </c>
      <c r="F14" s="253" t="s">
        <v>84</v>
      </c>
      <c r="G14" s="145">
        <v>20</v>
      </c>
      <c r="H14" s="436">
        <v>0.5</v>
      </c>
      <c r="I14" s="49"/>
      <c r="J14" s="30"/>
      <c r="K14" s="30"/>
    </row>
    <row r="15" spans="1:11" s="243" customFormat="1" x14ac:dyDescent="0.2">
      <c r="A15" s="147"/>
      <c r="B15" s="245">
        <v>41768</v>
      </c>
      <c r="C15" s="246">
        <v>41769</v>
      </c>
      <c r="D15" s="247">
        <v>0.60763888888888895</v>
      </c>
      <c r="E15" s="247">
        <v>0.33333333333333331</v>
      </c>
      <c r="F15" s="253" t="s">
        <v>122</v>
      </c>
      <c r="G15" s="145">
        <v>20</v>
      </c>
      <c r="H15" s="436">
        <v>0.5</v>
      </c>
      <c r="I15" s="49"/>
      <c r="J15" s="30"/>
      <c r="K15" s="30"/>
    </row>
    <row r="16" spans="1:11" s="243" customFormat="1" x14ac:dyDescent="0.2">
      <c r="A16" s="147"/>
      <c r="B16" s="245">
        <v>41821</v>
      </c>
      <c r="C16" s="246">
        <v>41823</v>
      </c>
      <c r="D16" s="247">
        <v>0.75</v>
      </c>
      <c r="E16" s="247">
        <v>0.33333333333333331</v>
      </c>
      <c r="F16" s="253" t="s">
        <v>455</v>
      </c>
      <c r="G16" s="145">
        <v>20</v>
      </c>
      <c r="H16" s="237">
        <v>1</v>
      </c>
      <c r="I16" s="49"/>
      <c r="J16" s="30"/>
      <c r="K16" s="30"/>
    </row>
    <row r="17" spans="1:11" s="243" customFormat="1" x14ac:dyDescent="0.2">
      <c r="A17" s="147"/>
      <c r="B17" s="245">
        <v>41844</v>
      </c>
      <c r="C17" s="246">
        <v>41848</v>
      </c>
      <c r="D17" s="247">
        <v>0.33333333333333331</v>
      </c>
      <c r="E17" s="247">
        <v>0.33333333333333331</v>
      </c>
      <c r="F17" s="253" t="s">
        <v>611</v>
      </c>
      <c r="G17" s="145">
        <v>20</v>
      </c>
      <c r="H17" s="237">
        <v>3</v>
      </c>
      <c r="I17" s="49"/>
      <c r="J17" s="30"/>
      <c r="K17" s="30"/>
    </row>
    <row r="18" spans="1:11" s="243" customFormat="1" x14ac:dyDescent="0.2">
      <c r="A18" s="147"/>
      <c r="B18" s="245">
        <v>41865</v>
      </c>
      <c r="C18" s="246">
        <v>41866</v>
      </c>
      <c r="D18" s="247">
        <v>0.39583333333333331</v>
      </c>
      <c r="E18" s="247">
        <v>0.3125</v>
      </c>
      <c r="F18" s="253" t="s">
        <v>888</v>
      </c>
      <c r="G18" s="145">
        <v>20</v>
      </c>
      <c r="H18" s="237">
        <v>1</v>
      </c>
      <c r="I18" s="49"/>
      <c r="J18" s="30"/>
      <c r="K18" s="30"/>
    </row>
    <row r="19" spans="1:11" s="243" customFormat="1" x14ac:dyDescent="0.2">
      <c r="A19" s="147"/>
      <c r="B19" s="245">
        <v>41895</v>
      </c>
      <c r="C19" s="246">
        <v>41897</v>
      </c>
      <c r="D19" s="247">
        <v>0.5</v>
      </c>
      <c r="E19" s="247">
        <v>0.33333333333333331</v>
      </c>
      <c r="F19" s="81"/>
      <c r="G19" s="276"/>
      <c r="H19" s="436">
        <v>0.5</v>
      </c>
      <c r="I19" s="46"/>
      <c r="J19" s="30"/>
      <c r="K19" s="30"/>
    </row>
    <row r="20" spans="1:11" s="243" customFormat="1" x14ac:dyDescent="0.2">
      <c r="A20" s="147"/>
      <c r="B20" s="245">
        <v>42034</v>
      </c>
      <c r="C20" s="246">
        <v>42034</v>
      </c>
      <c r="D20" s="247">
        <v>0.33333333333333331</v>
      </c>
      <c r="E20" s="247">
        <v>0.5</v>
      </c>
      <c r="F20" s="81"/>
      <c r="G20" s="276"/>
      <c r="H20" s="436">
        <v>0.5</v>
      </c>
      <c r="I20" s="46"/>
      <c r="J20" s="30"/>
      <c r="K20" s="30"/>
    </row>
    <row r="21" spans="1:11" s="243" customFormat="1" x14ac:dyDescent="0.2">
      <c r="A21" s="147"/>
      <c r="B21" s="245">
        <v>42103</v>
      </c>
      <c r="C21" s="246">
        <v>42104</v>
      </c>
      <c r="D21" s="247">
        <v>0.45833333333333331</v>
      </c>
      <c r="E21" s="247">
        <v>0.33333333333333331</v>
      </c>
      <c r="F21" s="81"/>
      <c r="G21" s="276"/>
      <c r="H21" s="436">
        <v>0.5</v>
      </c>
      <c r="I21" s="40"/>
      <c r="J21" s="30"/>
      <c r="K21" s="30"/>
    </row>
    <row r="22" spans="1:11" s="243" customFormat="1" x14ac:dyDescent="0.2">
      <c r="A22" s="147"/>
      <c r="B22" s="245">
        <v>42156</v>
      </c>
      <c r="C22" s="246">
        <v>42158</v>
      </c>
      <c r="D22" s="247">
        <v>0.75</v>
      </c>
      <c r="E22" s="247">
        <v>0.33333333333333331</v>
      </c>
      <c r="F22" s="81"/>
      <c r="G22" s="276"/>
      <c r="H22" s="237">
        <v>1</v>
      </c>
      <c r="I22" s="40"/>
      <c r="J22" s="30"/>
      <c r="K22" s="30"/>
    </row>
    <row r="23" spans="1:11" s="243" customFormat="1" x14ac:dyDescent="0.2">
      <c r="A23" s="147"/>
      <c r="B23" s="142">
        <v>42164</v>
      </c>
      <c r="C23" s="143">
        <v>42165</v>
      </c>
      <c r="D23" s="247">
        <v>0.52708333333333335</v>
      </c>
      <c r="E23" s="144">
        <v>0.3125</v>
      </c>
      <c r="F23" s="81"/>
      <c r="G23" s="276"/>
      <c r="H23" s="436">
        <v>0.5</v>
      </c>
      <c r="I23" s="40"/>
      <c r="J23" s="41"/>
      <c r="K23" s="41"/>
    </row>
    <row r="24" spans="1:11" s="243" customFormat="1" x14ac:dyDescent="0.2">
      <c r="A24" s="51"/>
      <c r="B24" s="142">
        <v>42191</v>
      </c>
      <c r="C24" s="143">
        <v>42191</v>
      </c>
      <c r="D24" s="247">
        <v>0.33333333333333331</v>
      </c>
      <c r="E24" s="144">
        <v>0.52361111111111114</v>
      </c>
      <c r="F24" s="81"/>
      <c r="G24" s="276"/>
      <c r="H24" s="436">
        <v>0.5</v>
      </c>
      <c r="I24" s="49"/>
      <c r="J24" s="30"/>
      <c r="K24" s="30"/>
    </row>
    <row r="25" spans="1:11" s="243" customFormat="1" x14ac:dyDescent="0.2">
      <c r="A25" s="51"/>
      <c r="B25" s="245">
        <v>42408</v>
      </c>
      <c r="C25" s="246">
        <v>42409</v>
      </c>
      <c r="D25" s="247">
        <v>0.33333333333333331</v>
      </c>
      <c r="E25" s="247">
        <v>0.33333333333333331</v>
      </c>
      <c r="F25" s="81"/>
      <c r="G25" s="276"/>
      <c r="H25" s="237">
        <v>1</v>
      </c>
      <c r="I25" s="49"/>
      <c r="J25" s="30"/>
      <c r="K25" s="30"/>
    </row>
    <row r="26" spans="1:11" s="243" customFormat="1" x14ac:dyDescent="0.2">
      <c r="A26" s="55"/>
      <c r="B26" s="142">
        <v>42497</v>
      </c>
      <c r="C26" s="143">
        <v>42499</v>
      </c>
      <c r="D26" s="247">
        <v>0.53541666666666665</v>
      </c>
      <c r="E26" s="144">
        <v>0.3125</v>
      </c>
      <c r="F26" s="81"/>
      <c r="G26" s="276"/>
      <c r="H26" s="436">
        <v>0.5</v>
      </c>
      <c r="I26" s="49"/>
      <c r="J26" s="30"/>
      <c r="K26" s="30"/>
    </row>
    <row r="27" spans="1:11" s="243" customFormat="1" x14ac:dyDescent="0.2">
      <c r="A27" s="55"/>
      <c r="B27" s="142">
        <v>42538</v>
      </c>
      <c r="C27" s="143">
        <v>42539</v>
      </c>
      <c r="D27" s="247">
        <v>0.33333333333333331</v>
      </c>
      <c r="E27" s="247">
        <v>0.33333333333333331</v>
      </c>
      <c r="F27" s="81"/>
      <c r="G27" s="276"/>
      <c r="H27" s="237">
        <v>1</v>
      </c>
      <c r="I27" s="49"/>
      <c r="J27" s="30"/>
      <c r="K27" s="30"/>
    </row>
    <row r="28" spans="1:11" s="243" customFormat="1" x14ac:dyDescent="0.2">
      <c r="A28" s="55"/>
      <c r="B28" s="142">
        <v>42588</v>
      </c>
      <c r="C28" s="143">
        <v>42588</v>
      </c>
      <c r="D28" s="247">
        <v>0.33333333333333331</v>
      </c>
      <c r="E28" s="247">
        <v>0.33333333333333331</v>
      </c>
      <c r="F28" s="81"/>
      <c r="G28" s="276"/>
      <c r="H28" s="237">
        <v>1</v>
      </c>
      <c r="I28" s="49"/>
      <c r="J28" s="30"/>
      <c r="K28" s="30"/>
    </row>
    <row r="29" spans="1:11" s="243" customFormat="1" x14ac:dyDescent="0.2">
      <c r="A29" s="55"/>
      <c r="B29" s="142">
        <v>42611</v>
      </c>
      <c r="C29" s="143">
        <v>42614</v>
      </c>
      <c r="D29" s="144">
        <v>0.33333333333333331</v>
      </c>
      <c r="E29" s="144">
        <v>0.5</v>
      </c>
      <c r="F29" s="81"/>
      <c r="G29" s="276"/>
      <c r="H29" s="237">
        <v>3.5</v>
      </c>
      <c r="I29" s="49"/>
      <c r="J29" s="30"/>
      <c r="K29" s="30"/>
    </row>
    <row r="30" spans="1:11" s="243" customFormat="1" x14ac:dyDescent="0.2">
      <c r="A30" s="55"/>
      <c r="B30" s="142">
        <v>42658</v>
      </c>
      <c r="C30" s="143">
        <v>42658</v>
      </c>
      <c r="D30" s="144">
        <v>0.33333333333333331</v>
      </c>
      <c r="E30" s="144">
        <v>0.5</v>
      </c>
      <c r="F30" s="81"/>
      <c r="G30" s="276"/>
      <c r="H30" s="237">
        <v>0.5</v>
      </c>
      <c r="I30" s="49"/>
      <c r="J30" s="30"/>
      <c r="K30" s="30"/>
    </row>
    <row r="31" spans="1:11" s="243" customFormat="1" x14ac:dyDescent="0.2">
      <c r="A31" s="55"/>
      <c r="B31" s="142">
        <v>42668</v>
      </c>
      <c r="C31" s="143">
        <v>42669</v>
      </c>
      <c r="D31" s="144">
        <v>0.54166666666666663</v>
      </c>
      <c r="E31" s="144">
        <v>0.33333333333333331</v>
      </c>
      <c r="F31" s="81"/>
      <c r="G31" s="276"/>
      <c r="H31" s="237">
        <v>0.5</v>
      </c>
      <c r="I31" s="49"/>
      <c r="J31" s="30"/>
      <c r="K31" s="30"/>
    </row>
    <row r="32" spans="1:11" s="243" customFormat="1" x14ac:dyDescent="0.2">
      <c r="A32" s="55"/>
      <c r="B32" s="142">
        <v>42711</v>
      </c>
      <c r="C32" s="143">
        <v>39060</v>
      </c>
      <c r="D32" s="144">
        <v>0.33333333333333331</v>
      </c>
      <c r="E32" s="144">
        <v>0.33333333333333331</v>
      </c>
      <c r="F32" s="81"/>
      <c r="G32" s="276"/>
      <c r="H32" s="237">
        <v>2</v>
      </c>
      <c r="I32" s="49"/>
      <c r="J32" s="30"/>
      <c r="K32" s="30"/>
    </row>
    <row r="33" spans="1:11" s="243" customFormat="1" x14ac:dyDescent="0.2">
      <c r="A33" s="55"/>
      <c r="B33" s="142">
        <v>42781</v>
      </c>
      <c r="C33" s="143">
        <v>42782</v>
      </c>
      <c r="D33" s="144">
        <v>0.33333333333333331</v>
      </c>
      <c r="E33" s="144">
        <v>0.33333333333333331</v>
      </c>
      <c r="F33" s="81"/>
      <c r="G33" s="276"/>
      <c r="H33" s="237">
        <v>1</v>
      </c>
      <c r="I33" s="49"/>
      <c r="J33" s="30"/>
      <c r="K33" s="30"/>
    </row>
    <row r="34" spans="1:11" s="243" customFormat="1" x14ac:dyDescent="0.2">
      <c r="A34" s="55"/>
      <c r="B34" s="142">
        <v>42868</v>
      </c>
      <c r="C34" s="143">
        <v>42870</v>
      </c>
      <c r="D34" s="144">
        <v>0.33333333333333331</v>
      </c>
      <c r="E34" s="144">
        <v>0.33333333333333331</v>
      </c>
      <c r="F34" s="81"/>
      <c r="G34" s="276"/>
      <c r="H34" s="237">
        <v>1</v>
      </c>
      <c r="I34" s="49"/>
      <c r="J34" s="30"/>
      <c r="K34" s="30"/>
    </row>
    <row r="35" spans="1:11" s="243" customFormat="1" x14ac:dyDescent="0.2">
      <c r="A35" s="146"/>
      <c r="B35" s="142">
        <v>42923</v>
      </c>
      <c r="C35" s="143">
        <v>42925</v>
      </c>
      <c r="D35" s="144">
        <v>0.33333333333333331</v>
      </c>
      <c r="E35" s="144">
        <v>0.33333333333333331</v>
      </c>
      <c r="F35" s="78"/>
      <c r="G35" s="276"/>
      <c r="H35" s="237">
        <v>1</v>
      </c>
      <c r="I35" s="61"/>
      <c r="J35" s="30"/>
      <c r="K35" s="30"/>
    </row>
    <row r="36" spans="1:11" s="243" customFormat="1" x14ac:dyDescent="0.2">
      <c r="A36" s="236"/>
      <c r="B36" s="142">
        <v>42992</v>
      </c>
      <c r="C36" s="143">
        <v>42998</v>
      </c>
      <c r="D36" s="144">
        <v>0.33333333333333331</v>
      </c>
      <c r="E36" s="144">
        <v>0.33333333333333331</v>
      </c>
      <c r="F36" s="78"/>
      <c r="G36" s="276"/>
      <c r="H36" s="237">
        <v>5</v>
      </c>
      <c r="J36" s="30"/>
      <c r="K36" s="30"/>
    </row>
    <row r="37" spans="1:11" s="243" customFormat="1" x14ac:dyDescent="0.2">
      <c r="A37" s="236"/>
      <c r="B37" s="142">
        <v>43032</v>
      </c>
      <c r="C37" s="143">
        <v>43040</v>
      </c>
      <c r="D37" s="144">
        <v>0.33333333333333331</v>
      </c>
      <c r="E37" s="144">
        <v>0.33333333333333331</v>
      </c>
      <c r="F37" s="78"/>
      <c r="G37" s="276"/>
      <c r="H37" s="237">
        <v>4</v>
      </c>
      <c r="I37" s="63"/>
      <c r="J37" s="30"/>
      <c r="K37" s="30"/>
    </row>
    <row r="38" spans="1:11" s="243" customFormat="1" x14ac:dyDescent="0.2">
      <c r="A38" s="147"/>
      <c r="B38" s="142">
        <v>43144</v>
      </c>
      <c r="C38" s="143">
        <v>43145</v>
      </c>
      <c r="D38" s="144">
        <v>0.5</v>
      </c>
      <c r="E38" s="144">
        <v>0.33333333333333331</v>
      </c>
      <c r="F38" s="78"/>
      <c r="G38" s="276"/>
      <c r="H38" s="237">
        <v>0.5</v>
      </c>
      <c r="I38" s="63"/>
    </row>
    <row r="39" spans="1:11" s="243" customFormat="1" x14ac:dyDescent="0.2">
      <c r="A39" s="147"/>
      <c r="B39" s="142">
        <v>43150</v>
      </c>
      <c r="C39" s="143">
        <v>43152</v>
      </c>
      <c r="D39" s="144">
        <v>0.33333333333333331</v>
      </c>
      <c r="E39" s="144">
        <v>0.33333333333333331</v>
      </c>
      <c r="F39" s="78"/>
      <c r="G39" s="276"/>
      <c r="H39" s="237">
        <v>2</v>
      </c>
    </row>
    <row r="40" spans="1:11" s="243" customFormat="1" x14ac:dyDescent="0.2">
      <c r="A40" s="147"/>
      <c r="B40" s="142">
        <v>43269</v>
      </c>
      <c r="C40" s="143">
        <v>43270</v>
      </c>
      <c r="D40" s="144">
        <v>0.5</v>
      </c>
      <c r="E40" s="144">
        <v>0.33333333333333331</v>
      </c>
      <c r="F40" s="78"/>
      <c r="G40" s="276"/>
      <c r="H40" s="237">
        <v>0.5</v>
      </c>
    </row>
    <row r="41" spans="1:11" s="243" customFormat="1" x14ac:dyDescent="0.2">
      <c r="A41" s="147"/>
      <c r="B41" s="142">
        <v>43298</v>
      </c>
      <c r="C41" s="143">
        <v>43299</v>
      </c>
      <c r="D41" s="144">
        <v>0.33333333333333331</v>
      </c>
      <c r="E41" s="144">
        <v>0.33333333333333331</v>
      </c>
      <c r="F41" s="78"/>
      <c r="G41" s="276"/>
      <c r="H41" s="237">
        <v>1</v>
      </c>
    </row>
    <row r="42" spans="1:11" s="243" customFormat="1" x14ac:dyDescent="0.2">
      <c r="A42" s="147"/>
      <c r="B42" s="142">
        <v>43320</v>
      </c>
      <c r="C42" s="143">
        <v>43322</v>
      </c>
      <c r="D42" s="144">
        <v>0.33333333333333331</v>
      </c>
      <c r="E42" s="144">
        <v>0.33333333333333331</v>
      </c>
      <c r="F42" s="78"/>
      <c r="G42" s="276"/>
      <c r="H42" s="237">
        <v>2</v>
      </c>
    </row>
    <row r="43" spans="1:11" s="243" customFormat="1" x14ac:dyDescent="0.2">
      <c r="A43" s="147"/>
      <c r="B43" s="142">
        <v>43446</v>
      </c>
      <c r="C43" s="143">
        <v>43451</v>
      </c>
      <c r="D43" s="144">
        <v>0.33333333333333331</v>
      </c>
      <c r="E43" s="144">
        <v>0.33333333333333331</v>
      </c>
      <c r="F43" s="78"/>
      <c r="G43" s="276"/>
      <c r="H43" s="237">
        <v>4</v>
      </c>
    </row>
    <row r="44" spans="1:11" s="243" customFormat="1" x14ac:dyDescent="0.2">
      <c r="A44" s="147"/>
      <c r="B44" s="142">
        <v>43463</v>
      </c>
      <c r="C44" s="143">
        <v>43465</v>
      </c>
      <c r="D44" s="144">
        <v>0.33333333333333331</v>
      </c>
      <c r="E44" s="144">
        <v>0.33333333333333331</v>
      </c>
      <c r="F44" s="78"/>
      <c r="G44" s="276"/>
      <c r="H44" s="237">
        <v>1</v>
      </c>
    </row>
    <row r="45" spans="1:11" s="243" customFormat="1" x14ac:dyDescent="0.2">
      <c r="A45" s="147"/>
      <c r="B45" s="142">
        <v>43482</v>
      </c>
      <c r="C45" s="143">
        <v>43483</v>
      </c>
      <c r="D45" s="144">
        <v>0.33333333333333331</v>
      </c>
      <c r="E45" s="144">
        <v>0.33333333333333331</v>
      </c>
      <c r="F45" s="78"/>
      <c r="G45" s="276"/>
      <c r="H45" s="237">
        <v>1</v>
      </c>
    </row>
    <row r="46" spans="1:11" s="243" customFormat="1" x14ac:dyDescent="0.2">
      <c r="A46" s="147"/>
      <c r="B46" s="142">
        <v>43651</v>
      </c>
      <c r="C46" s="143">
        <v>43652</v>
      </c>
      <c r="D46" s="144">
        <v>0.33333333333333331</v>
      </c>
      <c r="E46" s="144">
        <v>0.33333333333333331</v>
      </c>
      <c r="F46" s="78"/>
      <c r="G46" s="276"/>
      <c r="H46" s="237">
        <v>1</v>
      </c>
    </row>
    <row r="47" spans="1:11" s="243" customFormat="1" x14ac:dyDescent="0.2">
      <c r="A47" s="51"/>
      <c r="B47" s="142">
        <v>43735</v>
      </c>
      <c r="C47" s="143">
        <v>43736</v>
      </c>
      <c r="D47" s="144">
        <v>0.5</v>
      </c>
      <c r="E47" s="144">
        <v>0.33333333333333331</v>
      </c>
      <c r="F47" s="78"/>
      <c r="G47" s="276"/>
      <c r="H47" s="237">
        <v>0.5</v>
      </c>
    </row>
    <row r="48" spans="1:11" s="243" customFormat="1" x14ac:dyDescent="0.2">
      <c r="A48" s="51"/>
      <c r="B48" s="142">
        <v>43746</v>
      </c>
      <c r="C48" s="143">
        <v>43747</v>
      </c>
      <c r="D48" s="144">
        <v>0.5</v>
      </c>
      <c r="E48" s="144">
        <v>0.33333333333333331</v>
      </c>
      <c r="F48" s="78"/>
      <c r="G48" s="276"/>
      <c r="H48" s="237">
        <v>0.5</v>
      </c>
    </row>
    <row r="49" spans="1:8" s="243" customFormat="1" x14ac:dyDescent="0.2">
      <c r="A49" s="55"/>
      <c r="B49" s="142">
        <v>43764</v>
      </c>
      <c r="C49" s="143">
        <v>43765</v>
      </c>
      <c r="D49" s="144">
        <v>0.33333333333333331</v>
      </c>
      <c r="E49" s="144">
        <v>0.33333333333333331</v>
      </c>
      <c r="F49" s="78"/>
      <c r="G49" s="276"/>
      <c r="H49" s="237">
        <v>1</v>
      </c>
    </row>
    <row r="50" spans="1:8" s="243" customFormat="1" x14ac:dyDescent="0.2">
      <c r="A50" s="55"/>
      <c r="B50" s="142">
        <v>43802</v>
      </c>
      <c r="C50" s="143">
        <v>43803</v>
      </c>
      <c r="D50" s="144">
        <v>0.5</v>
      </c>
      <c r="E50" s="144">
        <v>0.33333333333333331</v>
      </c>
      <c r="F50" s="78"/>
      <c r="G50" s="276"/>
      <c r="H50" s="237">
        <v>0.5</v>
      </c>
    </row>
    <row r="51" spans="1:8" s="243" customFormat="1" x14ac:dyDescent="0.2">
      <c r="A51" s="55"/>
      <c r="B51" s="142">
        <v>43822</v>
      </c>
      <c r="C51" s="143">
        <v>43831</v>
      </c>
      <c r="D51" s="144">
        <v>0.33333333333333331</v>
      </c>
      <c r="E51" s="144">
        <v>0.33333333333333331</v>
      </c>
      <c r="F51" s="78"/>
      <c r="G51" s="276"/>
      <c r="H51" s="237">
        <v>4</v>
      </c>
    </row>
    <row r="52" spans="1:8" s="243" customFormat="1" x14ac:dyDescent="0.2">
      <c r="A52" s="55"/>
      <c r="B52" s="142">
        <v>43834</v>
      </c>
      <c r="C52" s="143">
        <v>43835</v>
      </c>
      <c r="D52" s="144">
        <v>0.5</v>
      </c>
      <c r="E52" s="144">
        <v>0.33333333333333331</v>
      </c>
      <c r="F52" s="78"/>
      <c r="G52" s="276"/>
      <c r="H52" s="237">
        <v>0.5</v>
      </c>
    </row>
    <row r="53" spans="1:8" s="243" customFormat="1" x14ac:dyDescent="0.2">
      <c r="A53" s="55"/>
      <c r="B53" s="142">
        <v>43838</v>
      </c>
      <c r="C53" s="143">
        <v>43839</v>
      </c>
      <c r="D53" s="144">
        <v>0.33333333333333331</v>
      </c>
      <c r="E53" s="144">
        <v>0.33333333333333331</v>
      </c>
      <c r="F53" s="78"/>
      <c r="G53" s="276"/>
      <c r="H53" s="237">
        <v>1</v>
      </c>
    </row>
    <row r="54" spans="1:8" s="243" customFormat="1" x14ac:dyDescent="0.2">
      <c r="A54" s="55"/>
      <c r="B54" s="142">
        <v>43904</v>
      </c>
      <c r="C54" s="143">
        <v>43906</v>
      </c>
      <c r="D54" s="144">
        <v>0.5</v>
      </c>
      <c r="E54" s="144">
        <v>0.33333333333333331</v>
      </c>
      <c r="F54" s="78"/>
      <c r="G54" s="276"/>
      <c r="H54" s="237">
        <v>0.5</v>
      </c>
    </row>
    <row r="55" spans="1:8" s="243" customFormat="1" x14ac:dyDescent="0.2">
      <c r="A55" s="55"/>
      <c r="B55" s="142">
        <v>43907</v>
      </c>
      <c r="C55" s="143">
        <v>43908</v>
      </c>
      <c r="D55" s="144">
        <v>0.33333333333333331</v>
      </c>
      <c r="E55" s="144">
        <v>0.33333333333333331</v>
      </c>
      <c r="F55" s="78"/>
      <c r="G55" s="276"/>
      <c r="H55" s="237">
        <v>1</v>
      </c>
    </row>
    <row r="56" spans="1:8" s="243" customFormat="1" x14ac:dyDescent="0.2">
      <c r="A56" s="55"/>
      <c r="B56" s="142">
        <v>43916</v>
      </c>
      <c r="C56" s="143">
        <v>43928</v>
      </c>
      <c r="D56" s="144">
        <v>0.33333333333333331</v>
      </c>
      <c r="E56" s="144">
        <v>0.33333333333333331</v>
      </c>
      <c r="F56" s="48"/>
      <c r="G56" s="276"/>
      <c r="H56" s="237">
        <v>10</v>
      </c>
    </row>
    <row r="57" spans="1:8" s="243" customFormat="1" x14ac:dyDescent="0.2">
      <c r="A57" s="146"/>
      <c r="B57" s="142">
        <v>43985</v>
      </c>
      <c r="C57" s="143">
        <v>43986</v>
      </c>
      <c r="D57" s="144">
        <v>0.33333333333333331</v>
      </c>
      <c r="E57" s="144">
        <v>0.33333333333333331</v>
      </c>
      <c r="F57" s="48"/>
      <c r="G57" s="276"/>
      <c r="H57" s="237">
        <v>1</v>
      </c>
    </row>
    <row r="58" spans="1:8" s="243" customFormat="1" x14ac:dyDescent="0.2">
      <c r="A58" s="236"/>
      <c r="B58" s="142">
        <v>44011</v>
      </c>
      <c r="C58" s="143">
        <v>44012</v>
      </c>
      <c r="D58" s="144">
        <v>0.54166666666666663</v>
      </c>
      <c r="E58" s="144">
        <v>0.33333333333333331</v>
      </c>
      <c r="F58" s="48"/>
      <c r="G58" s="66"/>
      <c r="H58" s="237">
        <v>0.5</v>
      </c>
    </row>
    <row r="59" spans="1:8" s="243" customFormat="1" x14ac:dyDescent="0.2">
      <c r="A59" s="236"/>
      <c r="B59" s="142">
        <v>44015</v>
      </c>
      <c r="C59" s="143">
        <v>44016</v>
      </c>
      <c r="D59" s="144">
        <v>0.54166666666666663</v>
      </c>
      <c r="E59" s="144">
        <v>0.33333333333333331</v>
      </c>
      <c r="F59" s="48"/>
      <c r="G59" s="66"/>
      <c r="H59" s="237">
        <v>0.5</v>
      </c>
    </row>
    <row r="60" spans="1:8" s="243" customFormat="1" x14ac:dyDescent="0.2">
      <c r="A60" s="147"/>
      <c r="B60" s="142">
        <v>44041</v>
      </c>
      <c r="C60" s="143">
        <v>44047</v>
      </c>
      <c r="D60" s="144">
        <v>0.54166666666666663</v>
      </c>
      <c r="E60" s="144">
        <v>0.33333333333333331</v>
      </c>
      <c r="F60" s="48"/>
      <c r="G60" s="66"/>
      <c r="H60" s="237">
        <v>0.5</v>
      </c>
    </row>
    <row r="61" spans="1:8" s="243" customFormat="1" x14ac:dyDescent="0.2">
      <c r="A61" s="147"/>
      <c r="B61" s="142">
        <v>44054</v>
      </c>
      <c r="C61" s="143">
        <v>44055</v>
      </c>
      <c r="D61" s="144">
        <v>0.33333333333333331</v>
      </c>
      <c r="E61" s="144">
        <v>0.33333333333333331</v>
      </c>
      <c r="F61" s="48"/>
      <c r="G61" s="66"/>
      <c r="H61" s="237">
        <v>1</v>
      </c>
    </row>
    <row r="62" spans="1:8" s="243" customFormat="1" x14ac:dyDescent="0.2">
      <c r="A62" s="147"/>
      <c r="B62" s="142">
        <v>44088</v>
      </c>
      <c r="C62" s="143">
        <v>44095</v>
      </c>
      <c r="D62" s="144">
        <v>0.33333333333333331</v>
      </c>
      <c r="E62" s="144">
        <v>0.33333333333333331</v>
      </c>
      <c r="F62" s="48"/>
      <c r="G62" s="66"/>
      <c r="H62" s="237">
        <v>6</v>
      </c>
    </row>
    <row r="63" spans="1:8" s="243" customFormat="1" x14ac:dyDescent="0.2">
      <c r="A63" s="147"/>
      <c r="B63" s="142">
        <v>44179</v>
      </c>
      <c r="C63" s="143">
        <v>44150</v>
      </c>
      <c r="D63" s="144">
        <v>0.33333333333333331</v>
      </c>
      <c r="E63" s="144">
        <v>0.33333333333333331</v>
      </c>
      <c r="F63" s="48"/>
      <c r="G63" s="66"/>
      <c r="H63" s="237">
        <v>1</v>
      </c>
    </row>
    <row r="64" spans="1:8" s="243" customFormat="1" x14ac:dyDescent="0.2">
      <c r="A64" s="147"/>
      <c r="B64" s="142">
        <v>44209</v>
      </c>
      <c r="C64" s="143">
        <v>44209</v>
      </c>
      <c r="D64" s="144">
        <v>0.33333333333333331</v>
      </c>
      <c r="E64" s="144">
        <v>0.54166666666666663</v>
      </c>
      <c r="F64" s="48"/>
      <c r="G64" s="66"/>
      <c r="H64" s="237">
        <v>0.5</v>
      </c>
    </row>
    <row r="65" spans="1:8" s="243" customFormat="1" ht="12" customHeight="1" x14ac:dyDescent="0.2">
      <c r="A65" s="147"/>
      <c r="B65" s="142">
        <v>44223</v>
      </c>
      <c r="C65" s="143">
        <v>44225</v>
      </c>
      <c r="D65" s="144">
        <v>0.41666666666666669</v>
      </c>
      <c r="E65" s="144">
        <v>0.33333333333333331</v>
      </c>
      <c r="F65" s="48"/>
      <c r="G65" s="66"/>
      <c r="H65" s="237">
        <v>1</v>
      </c>
    </row>
    <row r="66" spans="1:8" s="243" customFormat="1" x14ac:dyDescent="0.2">
      <c r="A66" s="147"/>
      <c r="B66" s="142">
        <v>44278</v>
      </c>
      <c r="C66" s="143">
        <v>44284</v>
      </c>
      <c r="D66" s="144">
        <v>0.33333333333333331</v>
      </c>
      <c r="E66" s="144">
        <v>0.33333333333333331</v>
      </c>
      <c r="F66" s="48"/>
      <c r="G66" s="66"/>
      <c r="H66" s="237">
        <v>5</v>
      </c>
    </row>
    <row r="67" spans="1:8" s="243" customFormat="1" x14ac:dyDescent="0.2">
      <c r="A67" s="147"/>
      <c r="B67" s="142">
        <v>44419</v>
      </c>
      <c r="C67" s="143">
        <v>44420</v>
      </c>
      <c r="D67" s="144">
        <v>0.54166666666666663</v>
      </c>
      <c r="E67" s="144">
        <v>0.33333333333333331</v>
      </c>
      <c r="F67" s="48"/>
      <c r="G67" s="66"/>
      <c r="H67" s="237">
        <v>0.5</v>
      </c>
    </row>
    <row r="68" spans="1:8" s="243" customFormat="1" x14ac:dyDescent="0.2">
      <c r="A68" s="147"/>
      <c r="B68" s="142">
        <v>44440</v>
      </c>
      <c r="C68" s="143">
        <v>44441</v>
      </c>
      <c r="D68" s="144">
        <v>0.33333333333333331</v>
      </c>
      <c r="E68" s="144">
        <v>0.33333333333333331</v>
      </c>
      <c r="F68" s="48"/>
      <c r="G68" s="66"/>
      <c r="H68" s="237">
        <v>1</v>
      </c>
    </row>
    <row r="69" spans="1:8" s="243" customFormat="1" x14ac:dyDescent="0.2">
      <c r="A69" s="51"/>
      <c r="B69" s="142">
        <v>44454</v>
      </c>
      <c r="C69" s="288">
        <v>44457</v>
      </c>
      <c r="D69" s="144">
        <v>0.33333333333333331</v>
      </c>
      <c r="E69" s="144">
        <v>0.33333333333333331</v>
      </c>
      <c r="F69" s="48"/>
      <c r="G69" s="66"/>
      <c r="H69" s="237">
        <v>4</v>
      </c>
    </row>
    <row r="70" spans="1:8" s="243" customFormat="1" x14ac:dyDescent="0.2">
      <c r="A70" s="51"/>
      <c r="B70" s="142">
        <v>44509</v>
      </c>
      <c r="C70" s="288">
        <v>44510</v>
      </c>
      <c r="D70" s="144">
        <v>0.33333333333333331</v>
      </c>
      <c r="E70" s="144">
        <v>0.33333333333333331</v>
      </c>
      <c r="F70" s="48"/>
      <c r="G70" s="66"/>
      <c r="H70" s="237">
        <v>1</v>
      </c>
    </row>
    <row r="71" spans="1:8" s="243" customFormat="1" ht="12" customHeight="1" x14ac:dyDescent="0.2">
      <c r="A71" s="55"/>
      <c r="B71" s="142">
        <v>44552</v>
      </c>
      <c r="C71" s="288">
        <v>44553</v>
      </c>
      <c r="D71" s="144">
        <v>0.33333333333333331</v>
      </c>
      <c r="E71" s="144">
        <v>0.33333333333333331</v>
      </c>
      <c r="F71" s="48"/>
      <c r="G71" s="66"/>
      <c r="H71" s="237">
        <v>1</v>
      </c>
    </row>
    <row r="72" spans="1:8" s="243" customFormat="1" ht="12" customHeight="1" x14ac:dyDescent="0.2">
      <c r="A72" s="55"/>
      <c r="B72" s="142">
        <v>44610</v>
      </c>
      <c r="C72" s="288">
        <v>44611</v>
      </c>
      <c r="D72" s="144">
        <v>0.33333333333333331</v>
      </c>
      <c r="E72" s="144">
        <v>0.33333333333333331</v>
      </c>
      <c r="F72" s="48"/>
      <c r="G72" s="66"/>
      <c r="H72" s="237">
        <v>1</v>
      </c>
    </row>
    <row r="73" spans="1:8" s="243" customFormat="1" ht="12" customHeight="1" x14ac:dyDescent="0.2">
      <c r="A73" s="55"/>
      <c r="B73" s="142">
        <v>44691</v>
      </c>
      <c r="C73" s="288">
        <v>44692</v>
      </c>
      <c r="D73" s="144">
        <v>0.41666666666666669</v>
      </c>
      <c r="E73" s="144">
        <v>0.33333333333333331</v>
      </c>
      <c r="F73" s="48"/>
      <c r="G73" s="66"/>
      <c r="H73" s="237">
        <v>1</v>
      </c>
    </row>
    <row r="74" spans="1:8" s="243" customFormat="1" x14ac:dyDescent="0.2">
      <c r="A74" s="55"/>
      <c r="B74" s="142">
        <v>44722</v>
      </c>
      <c r="C74" s="288">
        <v>44728</v>
      </c>
      <c r="D74" s="144">
        <v>0.33333333333333331</v>
      </c>
      <c r="E74" s="144">
        <v>0.33333333333333331</v>
      </c>
      <c r="F74" s="48"/>
      <c r="G74" s="66"/>
      <c r="H74" s="237">
        <v>5</v>
      </c>
    </row>
    <row r="75" spans="1:8" s="243" customFormat="1" x14ac:dyDescent="0.2">
      <c r="A75" s="55"/>
      <c r="B75" s="142">
        <v>44768</v>
      </c>
      <c r="C75" s="288">
        <v>44768</v>
      </c>
      <c r="D75" s="144">
        <v>0.33333333333333331</v>
      </c>
      <c r="E75" s="144">
        <v>0.33333333333333331</v>
      </c>
      <c r="F75" s="48"/>
      <c r="G75" s="66"/>
      <c r="H75" s="80">
        <v>0.5</v>
      </c>
    </row>
    <row r="76" spans="1:8" s="243" customFormat="1" x14ac:dyDescent="0.2">
      <c r="A76" s="55"/>
      <c r="B76" s="142">
        <v>44807</v>
      </c>
      <c r="C76" s="142">
        <v>44808</v>
      </c>
      <c r="D76" s="144">
        <v>0.33333333333333331</v>
      </c>
      <c r="E76" s="144">
        <v>0.33333333333333331</v>
      </c>
      <c r="F76" s="48"/>
      <c r="G76" s="66"/>
      <c r="H76" s="237">
        <v>1</v>
      </c>
    </row>
    <row r="77" spans="1:8" s="243" customFormat="1" x14ac:dyDescent="0.2">
      <c r="A77" s="55"/>
      <c r="B77" s="396">
        <v>44833</v>
      </c>
      <c r="C77" s="288">
        <v>44834</v>
      </c>
      <c r="D77" s="144">
        <v>0.33333333333333331</v>
      </c>
      <c r="E77" s="144">
        <v>0.33333333333333331</v>
      </c>
      <c r="F77" s="48"/>
      <c r="G77" s="66"/>
      <c r="H77" s="237">
        <v>1</v>
      </c>
    </row>
    <row r="78" spans="1:8" s="243" customFormat="1" x14ac:dyDescent="0.2">
      <c r="A78" s="55"/>
      <c r="B78" s="397">
        <v>44866</v>
      </c>
      <c r="C78" s="397">
        <v>44867</v>
      </c>
      <c r="D78" s="144">
        <v>0.33333333333333331</v>
      </c>
      <c r="E78" s="144">
        <v>0.33333333333333331</v>
      </c>
      <c r="F78" s="48"/>
      <c r="G78" s="66"/>
      <c r="H78" s="237">
        <v>1</v>
      </c>
    </row>
    <row r="79" spans="1:8" s="243" customFormat="1" x14ac:dyDescent="0.2">
      <c r="A79" s="55"/>
      <c r="B79" s="142">
        <v>44917</v>
      </c>
      <c r="C79" s="288">
        <v>44918</v>
      </c>
      <c r="D79" s="144">
        <v>0.33333333333333331</v>
      </c>
      <c r="E79" s="144">
        <v>0.33333333333333331</v>
      </c>
      <c r="F79" s="48"/>
      <c r="G79" s="66"/>
      <c r="H79" s="237">
        <v>1</v>
      </c>
    </row>
    <row r="80" spans="1:8" s="243" customFormat="1" x14ac:dyDescent="0.2">
      <c r="A80" s="55"/>
      <c r="B80" s="142">
        <v>44953</v>
      </c>
      <c r="C80" s="288">
        <v>44954</v>
      </c>
      <c r="D80" s="144">
        <v>0.33333333333333331</v>
      </c>
      <c r="E80" s="144">
        <v>0.33333333333333331</v>
      </c>
      <c r="F80" s="48"/>
      <c r="G80" s="66"/>
      <c r="H80" s="80">
        <v>1</v>
      </c>
    </row>
    <row r="81" spans="1:8" s="243" customFormat="1" x14ac:dyDescent="0.2">
      <c r="A81" s="55"/>
      <c r="B81" s="142">
        <v>44970</v>
      </c>
      <c r="C81" s="288">
        <v>44971</v>
      </c>
      <c r="D81" s="144">
        <v>0.33333333333333331</v>
      </c>
      <c r="E81" s="144">
        <v>0.33333333333333331</v>
      </c>
      <c r="F81" s="48"/>
      <c r="G81" s="66"/>
      <c r="H81" s="80">
        <v>1</v>
      </c>
    </row>
    <row r="82" spans="1:8" s="243" customFormat="1" x14ac:dyDescent="0.2">
      <c r="A82" s="55"/>
      <c r="B82" s="142">
        <v>45073</v>
      </c>
      <c r="C82" s="288">
        <v>45075</v>
      </c>
      <c r="D82" s="144">
        <v>0.33333333333333331</v>
      </c>
      <c r="E82" s="144">
        <v>0.33333333333333331</v>
      </c>
      <c r="F82" s="48"/>
      <c r="G82" s="66"/>
      <c r="H82" s="80">
        <v>1</v>
      </c>
    </row>
    <row r="83" spans="1:8" s="243" customFormat="1" x14ac:dyDescent="0.2">
      <c r="A83" s="55"/>
      <c r="B83" s="142">
        <v>45082</v>
      </c>
      <c r="C83" s="288">
        <v>45085</v>
      </c>
      <c r="D83" s="144">
        <v>0.33333333333333331</v>
      </c>
      <c r="E83" s="144">
        <v>0.33333333333333331</v>
      </c>
      <c r="F83" s="48"/>
      <c r="G83" s="66"/>
      <c r="H83" s="80">
        <v>3</v>
      </c>
    </row>
    <row r="84" spans="1:8" s="243" customFormat="1" x14ac:dyDescent="0.2">
      <c r="A84" s="55"/>
      <c r="B84" s="142">
        <v>45092</v>
      </c>
      <c r="C84" s="288">
        <v>45093</v>
      </c>
      <c r="D84" s="144">
        <v>0.5</v>
      </c>
      <c r="E84" s="144">
        <v>0.33333333333333331</v>
      </c>
      <c r="F84" s="48"/>
      <c r="G84" s="66"/>
      <c r="H84" s="80">
        <v>0.5</v>
      </c>
    </row>
    <row r="85" spans="1:8" s="243" customFormat="1" x14ac:dyDescent="0.2">
      <c r="A85" s="55"/>
      <c r="B85" s="142">
        <v>45103</v>
      </c>
      <c r="C85" s="288">
        <v>45110</v>
      </c>
      <c r="D85" s="144">
        <v>0.33333333333333331</v>
      </c>
      <c r="E85" s="144">
        <v>0.33333333333333331</v>
      </c>
      <c r="F85" s="48"/>
      <c r="G85" s="66"/>
      <c r="H85" s="80">
        <v>1</v>
      </c>
    </row>
    <row r="86" spans="1:8" s="243" customFormat="1" x14ac:dyDescent="0.2">
      <c r="A86" s="55"/>
      <c r="B86" s="142">
        <v>45110</v>
      </c>
      <c r="C86" s="288">
        <v>45138</v>
      </c>
      <c r="D86" s="144">
        <v>0.33333333333333331</v>
      </c>
      <c r="E86" s="144">
        <v>0.33333333333333331</v>
      </c>
      <c r="F86" s="48"/>
      <c r="G86" s="66"/>
      <c r="H86" s="80">
        <v>24</v>
      </c>
    </row>
    <row r="87" spans="1:8" ht="13.15" customHeight="1" x14ac:dyDescent="0.2">
      <c r="A87" s="55"/>
      <c r="B87" s="142">
        <v>45153</v>
      </c>
      <c r="C87" s="142">
        <v>45154</v>
      </c>
      <c r="D87" s="144">
        <v>0.33333333333333331</v>
      </c>
      <c r="E87" s="144">
        <v>0.33333333333333331</v>
      </c>
      <c r="F87" s="48"/>
      <c r="G87" s="66"/>
      <c r="H87" s="80">
        <v>1</v>
      </c>
    </row>
    <row r="88" spans="1:8" ht="13.15" customHeight="1" x14ac:dyDescent="0.2">
      <c r="A88" s="55"/>
      <c r="B88" s="142">
        <v>45169</v>
      </c>
      <c r="C88" s="142">
        <v>45170</v>
      </c>
      <c r="D88" s="144">
        <v>0.33333333333333331</v>
      </c>
      <c r="E88" s="144">
        <v>0.33333333333333331</v>
      </c>
      <c r="F88" s="48"/>
      <c r="G88" s="66"/>
      <c r="H88" s="80">
        <v>1</v>
      </c>
    </row>
    <row r="89" spans="1:8" ht="13.15" customHeight="1" x14ac:dyDescent="0.2">
      <c r="A89" s="55"/>
      <c r="B89" s="142">
        <v>45191</v>
      </c>
      <c r="C89" s="142">
        <v>45192</v>
      </c>
      <c r="D89" s="144">
        <v>0.33333333333333331</v>
      </c>
      <c r="E89" s="144">
        <v>0.33333333333333331</v>
      </c>
      <c r="F89" s="48"/>
      <c r="G89" s="66"/>
      <c r="H89" s="80">
        <v>1</v>
      </c>
    </row>
    <row r="90" spans="1:8" ht="13.15" customHeight="1" x14ac:dyDescent="0.2">
      <c r="A90" s="55"/>
      <c r="B90" s="142">
        <v>45226</v>
      </c>
      <c r="C90" s="142">
        <v>45227</v>
      </c>
      <c r="D90" s="144">
        <v>0.54166666666666663</v>
      </c>
      <c r="E90" s="144">
        <v>0.33333333333333331</v>
      </c>
      <c r="F90" s="48"/>
      <c r="G90" s="66"/>
      <c r="H90" s="80">
        <v>0.5</v>
      </c>
    </row>
    <row r="91" spans="1:8" ht="13.15" customHeight="1" x14ac:dyDescent="0.2">
      <c r="A91" s="55"/>
      <c r="B91" s="142">
        <v>45247</v>
      </c>
      <c r="C91" s="142">
        <v>45248</v>
      </c>
      <c r="D91" s="144">
        <v>0.33333333333333331</v>
      </c>
      <c r="E91" s="144">
        <v>0.33333333333333331</v>
      </c>
      <c r="F91" s="48"/>
      <c r="G91" s="66"/>
      <c r="H91" s="80">
        <v>1</v>
      </c>
    </row>
    <row r="92" spans="1:8" ht="13.15" customHeight="1" x14ac:dyDescent="0.2">
      <c r="A92" s="55"/>
      <c r="B92" s="142">
        <v>45286</v>
      </c>
      <c r="C92" s="142">
        <v>45287</v>
      </c>
      <c r="D92" s="144">
        <v>0.33333333333333331</v>
      </c>
      <c r="E92" s="144">
        <v>0.33333333333333331</v>
      </c>
      <c r="F92" s="48"/>
      <c r="G92" s="66"/>
      <c r="H92" s="80">
        <v>1</v>
      </c>
    </row>
    <row r="93" spans="1:8" ht="13.15" customHeight="1" x14ac:dyDescent="0.2">
      <c r="A93" s="55"/>
      <c r="B93" s="142">
        <v>45343</v>
      </c>
      <c r="C93" s="142">
        <v>45348</v>
      </c>
      <c r="D93" s="144">
        <v>0.33333333333333331</v>
      </c>
      <c r="E93" s="144">
        <v>0.33333333333333331</v>
      </c>
      <c r="F93" s="48"/>
      <c r="G93" s="66"/>
      <c r="H93" s="80">
        <v>4</v>
      </c>
    </row>
    <row r="94" spans="1:8" ht="13.15" customHeight="1" x14ac:dyDescent="0.2">
      <c r="A94" s="55"/>
      <c r="B94" s="142" t="s">
        <v>492</v>
      </c>
      <c r="C94" s="142" t="s">
        <v>493</v>
      </c>
      <c r="D94" s="144">
        <v>0.33333333333333331</v>
      </c>
      <c r="E94" s="144">
        <v>0.33333333333333331</v>
      </c>
      <c r="F94" s="48"/>
      <c r="G94" s="66"/>
      <c r="H94" s="80">
        <v>2</v>
      </c>
    </row>
    <row r="95" spans="1:8" ht="13.15" customHeight="1" x14ac:dyDescent="0.2">
      <c r="A95" s="55"/>
      <c r="B95" s="142" t="s">
        <v>494</v>
      </c>
      <c r="C95" s="142" t="s">
        <v>494</v>
      </c>
      <c r="D95" s="144">
        <v>0.33333333333333331</v>
      </c>
      <c r="E95" s="144">
        <v>0.33333333333333331</v>
      </c>
      <c r="F95" s="48"/>
      <c r="G95" s="66"/>
      <c r="H95" s="80">
        <v>1</v>
      </c>
    </row>
    <row r="96" spans="1:8" s="699" customFormat="1" ht="13.15" customHeight="1" x14ac:dyDescent="0.2">
      <c r="A96" s="685"/>
      <c r="B96" s="720">
        <v>45801</v>
      </c>
      <c r="C96" s="720">
        <v>45801</v>
      </c>
      <c r="D96" s="722">
        <v>0.5</v>
      </c>
      <c r="E96" s="722">
        <v>0.33333333333333331</v>
      </c>
      <c r="F96" s="683"/>
      <c r="G96" s="691"/>
      <c r="H96" s="80">
        <v>0.5</v>
      </c>
    </row>
    <row r="97" spans="1:8" ht="13.15" customHeight="1" x14ac:dyDescent="0.2">
      <c r="A97" s="55"/>
      <c r="B97" s="142" t="s">
        <v>537</v>
      </c>
      <c r="C97" s="142" t="s">
        <v>538</v>
      </c>
      <c r="D97" s="722">
        <v>0.33333333333333331</v>
      </c>
      <c r="E97" s="722">
        <v>0.33333333333333331</v>
      </c>
      <c r="F97" s="48"/>
      <c r="G97" s="66"/>
      <c r="H97" s="80">
        <v>1</v>
      </c>
    </row>
    <row r="98" spans="1:8" ht="13.15" customHeight="1" x14ac:dyDescent="0.2">
      <c r="A98" s="55"/>
      <c r="B98" s="142">
        <v>45477</v>
      </c>
      <c r="C98" s="142">
        <v>45477</v>
      </c>
      <c r="D98" s="722">
        <v>0.33333333333333331</v>
      </c>
      <c r="E98" s="722">
        <v>0.33333333333333331</v>
      </c>
      <c r="F98" s="48"/>
      <c r="G98" s="66"/>
      <c r="H98" s="80">
        <v>1</v>
      </c>
    </row>
    <row r="99" spans="1:8" ht="13.15" customHeight="1" x14ac:dyDescent="0.2">
      <c r="A99" s="55"/>
      <c r="B99" s="142">
        <v>45500</v>
      </c>
      <c r="C99" s="142">
        <v>45500</v>
      </c>
      <c r="D99" s="722">
        <v>0.33333333333333331</v>
      </c>
      <c r="E99" s="722">
        <v>0.33333333333333331</v>
      </c>
      <c r="F99" s="48"/>
      <c r="G99" s="66"/>
      <c r="H99" s="80">
        <v>1</v>
      </c>
    </row>
    <row r="100" spans="1:8" ht="13.15" customHeight="1" x14ac:dyDescent="0.2">
      <c r="A100" s="55"/>
      <c r="B100" s="142">
        <v>45534</v>
      </c>
      <c r="C100" s="142">
        <v>45542</v>
      </c>
      <c r="D100" s="722">
        <v>0.33333333333333331</v>
      </c>
      <c r="E100" s="722">
        <v>0.33333333333333331</v>
      </c>
      <c r="F100" s="48"/>
      <c r="G100" s="66"/>
      <c r="H100" s="80">
        <v>8</v>
      </c>
    </row>
    <row r="101" spans="1:8" ht="13.15" customHeight="1" x14ac:dyDescent="0.2">
      <c r="A101" s="55"/>
      <c r="B101" s="142">
        <v>45544</v>
      </c>
      <c r="C101" s="142">
        <v>45544</v>
      </c>
      <c r="D101" s="722">
        <v>0.33333333333333331</v>
      </c>
      <c r="E101" s="722">
        <v>0.33333333333333331</v>
      </c>
      <c r="F101" s="48"/>
      <c r="G101" s="66"/>
      <c r="H101" s="80">
        <v>1</v>
      </c>
    </row>
    <row r="102" spans="1:8" ht="13.15" customHeight="1" x14ac:dyDescent="0.2">
      <c r="A102" s="55"/>
      <c r="B102" s="142">
        <v>45580</v>
      </c>
      <c r="C102" s="142">
        <v>45580</v>
      </c>
      <c r="D102" s="722">
        <v>0.33333333333333331</v>
      </c>
      <c r="E102" s="722">
        <v>0.33333333333333331</v>
      </c>
      <c r="F102" s="48"/>
      <c r="G102" s="66"/>
      <c r="H102" s="80">
        <v>1</v>
      </c>
    </row>
    <row r="103" spans="1:8" ht="13.15" customHeight="1" x14ac:dyDescent="0.2">
      <c r="A103" s="55"/>
      <c r="B103" s="142">
        <v>45603</v>
      </c>
      <c r="C103" s="142">
        <v>45623</v>
      </c>
      <c r="D103" s="722">
        <v>0.5</v>
      </c>
      <c r="E103" s="722">
        <v>0.33333333333333331</v>
      </c>
      <c r="F103" s="48"/>
      <c r="G103" s="66"/>
      <c r="H103" s="80">
        <v>0.5</v>
      </c>
    </row>
    <row r="104" spans="1:8" s="699" customFormat="1" ht="13.15" customHeight="1" x14ac:dyDescent="0.2">
      <c r="A104" s="685"/>
      <c r="B104" s="720">
        <v>45604</v>
      </c>
      <c r="C104" s="720">
        <v>45989</v>
      </c>
      <c r="D104" s="722">
        <v>0.5</v>
      </c>
      <c r="E104" s="722">
        <v>0.33333333333333331</v>
      </c>
      <c r="F104" s="683"/>
      <c r="G104" s="691"/>
      <c r="H104" s="80">
        <v>0.5</v>
      </c>
    </row>
    <row r="105" spans="1:8" s="699" customFormat="1" ht="13.15" customHeight="1" x14ac:dyDescent="0.2">
      <c r="A105" s="685"/>
      <c r="B105" s="720">
        <v>45621</v>
      </c>
      <c r="C105" s="720">
        <v>45621</v>
      </c>
      <c r="D105" s="722">
        <v>0.5</v>
      </c>
      <c r="E105" s="722">
        <v>0.33333333333333331</v>
      </c>
      <c r="F105" s="683"/>
      <c r="G105" s="691"/>
      <c r="H105" s="80">
        <v>0.5</v>
      </c>
    </row>
    <row r="106" spans="1:8" s="699" customFormat="1" ht="13.15" customHeight="1" x14ac:dyDescent="0.2">
      <c r="A106" s="685"/>
      <c r="B106" s="720">
        <v>45755</v>
      </c>
      <c r="C106" s="720">
        <v>45755</v>
      </c>
      <c r="D106" s="722">
        <v>0.33333333333333331</v>
      </c>
      <c r="E106" s="722">
        <v>0.33333333333333331</v>
      </c>
      <c r="F106" s="683"/>
      <c r="G106" s="691"/>
      <c r="H106" s="80">
        <v>1</v>
      </c>
    </row>
    <row r="107" spans="1:8" s="699" customFormat="1" ht="13.15" customHeight="1" x14ac:dyDescent="0.2">
      <c r="A107" s="685"/>
      <c r="B107" s="720" t="s">
        <v>774</v>
      </c>
      <c r="C107" s="720" t="s">
        <v>774</v>
      </c>
      <c r="D107" s="722">
        <v>0.54166666666666663</v>
      </c>
      <c r="E107" s="722">
        <v>0.75</v>
      </c>
      <c r="F107" s="683"/>
      <c r="G107" s="691"/>
      <c r="H107" s="80">
        <v>0.5</v>
      </c>
    </row>
    <row r="108" spans="1:8" s="699" customFormat="1" ht="13.15" customHeight="1" x14ac:dyDescent="0.2">
      <c r="A108" s="685"/>
      <c r="B108" s="720" t="s">
        <v>767</v>
      </c>
      <c r="C108" s="720" t="s">
        <v>768</v>
      </c>
      <c r="D108" s="722">
        <v>0.33333333333333331</v>
      </c>
      <c r="E108" s="722">
        <v>0.33333333333333331</v>
      </c>
      <c r="F108" s="683"/>
      <c r="G108" s="691"/>
      <c r="H108" s="80">
        <v>2</v>
      </c>
    </row>
    <row r="109" spans="1:8" s="699" customFormat="1" ht="13.15" customHeight="1" x14ac:dyDescent="0.2">
      <c r="A109" s="685"/>
      <c r="B109" s="720">
        <v>45854</v>
      </c>
      <c r="C109" s="720">
        <v>45854</v>
      </c>
      <c r="D109" s="722">
        <v>0.33333333333333331</v>
      </c>
      <c r="E109" s="722">
        <v>0.33333333333333331</v>
      </c>
      <c r="F109" s="683"/>
      <c r="G109" s="691"/>
      <c r="H109" s="80">
        <v>1</v>
      </c>
    </row>
    <row r="110" spans="1:8" s="699" customFormat="1" ht="13.15" customHeight="1" x14ac:dyDescent="0.2">
      <c r="A110" s="685"/>
      <c r="B110" s="720">
        <v>45866</v>
      </c>
      <c r="C110" s="720">
        <v>45866</v>
      </c>
      <c r="D110" s="722">
        <v>0.33333333333333331</v>
      </c>
      <c r="E110" s="722">
        <v>0.33333333333333331</v>
      </c>
      <c r="F110" s="683"/>
      <c r="G110" s="691"/>
      <c r="H110" s="80">
        <v>1</v>
      </c>
    </row>
    <row r="111" spans="1:8" s="699" customFormat="1" ht="13.15" customHeight="1" x14ac:dyDescent="0.2">
      <c r="A111" s="685"/>
      <c r="B111" s="720">
        <v>45874</v>
      </c>
      <c r="C111" s="720">
        <v>45876</v>
      </c>
      <c r="D111" s="722">
        <v>0.33333333333333331</v>
      </c>
      <c r="E111" s="722">
        <v>0.33333333333333331</v>
      </c>
      <c r="F111" s="683"/>
      <c r="G111" s="691"/>
      <c r="H111" s="80">
        <v>2</v>
      </c>
    </row>
    <row r="112" spans="1:8" s="699" customFormat="1" ht="13.15" customHeight="1" x14ac:dyDescent="0.2">
      <c r="A112" s="685"/>
      <c r="B112" s="720">
        <v>45894</v>
      </c>
      <c r="C112" s="720">
        <v>45908</v>
      </c>
      <c r="D112" s="722">
        <v>0.33333333333333331</v>
      </c>
      <c r="E112" s="722">
        <v>0.33333333333333331</v>
      </c>
      <c r="F112" s="683"/>
      <c r="G112" s="691"/>
      <c r="H112" s="80">
        <v>11</v>
      </c>
    </row>
    <row r="113" spans="1:8" s="699" customFormat="1" ht="13.15" customHeight="1" x14ac:dyDescent="0.2">
      <c r="A113" s="685"/>
      <c r="B113" s="720">
        <v>45978</v>
      </c>
      <c r="C113" s="720">
        <v>45979</v>
      </c>
      <c r="D113" s="722"/>
      <c r="E113" s="722"/>
      <c r="F113" s="683"/>
      <c r="G113" s="691"/>
      <c r="H113" s="80">
        <v>1</v>
      </c>
    </row>
    <row r="114" spans="1:8" ht="13.15" customHeight="1" x14ac:dyDescent="0.2">
      <c r="A114" s="685"/>
      <c r="B114" s="720">
        <v>46029</v>
      </c>
      <c r="C114" s="720">
        <v>46034</v>
      </c>
      <c r="D114" s="722"/>
      <c r="E114" s="722"/>
      <c r="F114" s="48"/>
      <c r="G114" s="66"/>
      <c r="H114" s="80">
        <v>4</v>
      </c>
    </row>
    <row r="115" spans="1:8" s="699" customFormat="1" ht="13.15" customHeight="1" x14ac:dyDescent="0.2">
      <c r="A115" s="685"/>
      <c r="B115" s="720">
        <v>46097</v>
      </c>
      <c r="C115" s="720">
        <v>46098</v>
      </c>
      <c r="D115" s="722"/>
      <c r="E115" s="722"/>
      <c r="F115" s="683"/>
      <c r="G115" s="691"/>
      <c r="H115" s="80">
        <v>1</v>
      </c>
    </row>
    <row r="116" spans="1:8" s="699" customFormat="1" ht="13.15" customHeight="1" x14ac:dyDescent="0.2">
      <c r="A116" s="685"/>
      <c r="B116" s="720">
        <v>46118</v>
      </c>
      <c r="C116" s="720">
        <v>46119</v>
      </c>
      <c r="D116" s="722"/>
      <c r="E116" s="722"/>
      <c r="F116" s="683"/>
      <c r="G116" s="691"/>
      <c r="H116" s="80">
        <v>1</v>
      </c>
    </row>
    <row r="117" spans="1:8" s="699" customFormat="1" ht="13.15" customHeight="1" x14ac:dyDescent="0.2">
      <c r="A117" s="685"/>
      <c r="B117" s="720">
        <v>46188</v>
      </c>
      <c r="C117" s="720">
        <v>46189</v>
      </c>
      <c r="D117" s="722"/>
      <c r="E117" s="722"/>
      <c r="F117" s="683"/>
      <c r="G117" s="691"/>
      <c r="H117" s="80">
        <v>1</v>
      </c>
    </row>
    <row r="118" spans="1:8" x14ac:dyDescent="0.2">
      <c r="F118" s="277" t="s">
        <v>123</v>
      </c>
      <c r="G118" s="77">
        <f>SUM(G7:G114)</f>
        <v>210</v>
      </c>
      <c r="H118" s="77">
        <f>SUM(H7:H117)</f>
        <v>198</v>
      </c>
    </row>
    <row r="119" spans="1:8" x14ac:dyDescent="0.2">
      <c r="F119" s="62"/>
      <c r="G119" s="63"/>
      <c r="H119" s="63"/>
    </row>
    <row r="120" spans="1:8" ht="14.25" x14ac:dyDescent="0.2">
      <c r="F120" s="1153" t="s">
        <v>8</v>
      </c>
      <c r="G120" s="1154"/>
      <c r="H120" s="84">
        <f>G118-H118</f>
        <v>12</v>
      </c>
    </row>
  </sheetData>
  <sortState ref="B9:I79">
    <sortCondition ref="B8"/>
  </sortState>
  <mergeCells count="3">
    <mergeCell ref="F120:G120"/>
    <mergeCell ref="J1:J3"/>
    <mergeCell ref="C1:H5"/>
  </mergeCells>
  <hyperlinks>
    <hyperlink ref="J1:J3" location="'ANA SAYFA'!A1" display="ANA SAYFA"/>
  </hyperlinks>
  <pageMargins left="0.7" right="0.12" top="0.12" bottom="0.12" header="0.12" footer="0.12"/>
  <pageSetup paperSize="9" scale="64" orientation="portrait" verticalDpi="30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9"/>
  <sheetViews>
    <sheetView zoomScaleNormal="100" workbookViewId="0">
      <selection activeCell="J1" sqref="J1:J3"/>
    </sheetView>
  </sheetViews>
  <sheetFormatPr defaultColWidth="9.140625" defaultRowHeight="12.75" x14ac:dyDescent="0.2"/>
  <cols>
    <col min="1" max="1" width="18.5703125" style="82" bestFit="1" customWidth="1"/>
    <col min="2" max="2" width="27.5703125" style="82" bestFit="1" customWidth="1"/>
    <col min="3" max="3" width="27.42578125" style="82" bestFit="1" customWidth="1"/>
    <col min="4" max="4" width="6.7109375" style="82" bestFit="1" customWidth="1"/>
    <col min="5" max="5" width="8.85546875" style="82" bestFit="1" customWidth="1"/>
    <col min="6" max="6" width="18.85546875" style="82" bestFit="1" customWidth="1"/>
    <col min="7" max="7" width="14.28515625" style="82" bestFit="1" customWidth="1"/>
    <col min="8" max="8" width="12.5703125" style="82" bestFit="1" customWidth="1"/>
    <col min="9" max="9" width="9.140625" style="82"/>
    <col min="10" max="10" width="10.140625" style="82" bestFit="1" customWidth="1"/>
    <col min="11" max="16384" width="9.140625" style="82"/>
  </cols>
  <sheetData>
    <row r="1" spans="1:11" ht="15" customHeight="1" x14ac:dyDescent="0.2">
      <c r="A1" s="29" t="s">
        <v>135</v>
      </c>
      <c r="B1" s="188" t="str">
        <f>'ANA SAYFA'!B56</f>
        <v>ŞEYHMUS ARMAĞAN</v>
      </c>
      <c r="C1" s="1166" t="s">
        <v>136</v>
      </c>
      <c r="D1" s="1166"/>
      <c r="E1" s="1166"/>
      <c r="F1" s="1166"/>
      <c r="G1" s="1166"/>
      <c r="H1" s="1166"/>
      <c r="I1" s="28"/>
      <c r="J1" s="1183" t="s">
        <v>712</v>
      </c>
      <c r="K1" s="30"/>
    </row>
    <row r="2" spans="1:11" ht="15" customHeight="1" x14ac:dyDescent="0.2">
      <c r="A2" s="29" t="s">
        <v>137</v>
      </c>
      <c r="B2" s="154">
        <f>'ANA SAYFA'!D56</f>
        <v>24184712290</v>
      </c>
      <c r="C2" s="1166"/>
      <c r="D2" s="1166"/>
      <c r="E2" s="1166"/>
      <c r="F2" s="1166"/>
      <c r="G2" s="1166"/>
      <c r="H2" s="1166"/>
      <c r="I2" s="28"/>
      <c r="J2" s="1184"/>
      <c r="K2" s="30"/>
    </row>
    <row r="3" spans="1:11" ht="15" customHeight="1" thickBot="1" x14ac:dyDescent="0.25">
      <c r="A3" s="29" t="s">
        <v>131</v>
      </c>
      <c r="B3" s="153" t="str">
        <f>'ANA SAYFA'!C56</f>
        <v>OPERATÖR</v>
      </c>
      <c r="C3" s="1166"/>
      <c r="D3" s="1166"/>
      <c r="E3" s="1166"/>
      <c r="F3" s="1166"/>
      <c r="G3" s="1166"/>
      <c r="H3" s="1166"/>
      <c r="I3" s="28"/>
      <c r="J3" s="1185"/>
      <c r="K3" s="30"/>
    </row>
    <row r="4" spans="1:11" ht="15" customHeight="1" x14ac:dyDescent="0.2">
      <c r="A4" s="29" t="s">
        <v>120</v>
      </c>
      <c r="B4" s="83">
        <f>'ANA SAYFA'!E56</f>
        <v>43126</v>
      </c>
      <c r="C4" s="1166"/>
      <c r="D4" s="1166"/>
      <c r="E4" s="1166"/>
      <c r="F4" s="1166"/>
      <c r="G4" s="1166"/>
      <c r="H4" s="1166"/>
      <c r="I4" s="28"/>
      <c r="J4" s="30"/>
      <c r="K4" s="30"/>
    </row>
    <row r="5" spans="1:11" ht="15" customHeight="1" x14ac:dyDescent="0.2">
      <c r="A5" s="29" t="s">
        <v>130</v>
      </c>
      <c r="B5" s="83">
        <f>'ANA SAYFA'!F56</f>
        <v>26816</v>
      </c>
      <c r="C5" s="1166"/>
      <c r="D5" s="1166"/>
      <c r="E5" s="1166"/>
      <c r="F5" s="1166"/>
      <c r="G5" s="1166"/>
      <c r="H5" s="1166"/>
      <c r="I5" s="28"/>
      <c r="J5" s="699"/>
      <c r="K5" s="699"/>
    </row>
    <row r="6" spans="1:11" ht="31.5" x14ac:dyDescent="0.2">
      <c r="A6" s="69" t="s">
        <v>0</v>
      </c>
      <c r="B6" s="70" t="s">
        <v>1</v>
      </c>
      <c r="C6" s="69" t="s">
        <v>2</v>
      </c>
      <c r="D6" s="71" t="s">
        <v>133</v>
      </c>
      <c r="E6" s="71" t="s">
        <v>4</v>
      </c>
      <c r="F6" s="71" t="s">
        <v>7</v>
      </c>
      <c r="G6" s="71" t="s">
        <v>6</v>
      </c>
      <c r="H6" s="71" t="s">
        <v>16</v>
      </c>
      <c r="I6" s="34"/>
      <c r="J6" s="699"/>
      <c r="K6" s="699"/>
    </row>
    <row r="7" spans="1:11" ht="13.5" customHeight="1" x14ac:dyDescent="0.2">
      <c r="A7" s="139"/>
      <c r="B7" s="155">
        <v>43445</v>
      </c>
      <c r="C7" s="156">
        <v>43452</v>
      </c>
      <c r="D7" s="168">
        <v>0.33333333333333331</v>
      </c>
      <c r="E7" s="168">
        <v>0.33333333333333331</v>
      </c>
      <c r="F7" s="262" t="s">
        <v>52</v>
      </c>
      <c r="G7" s="145">
        <v>14</v>
      </c>
      <c r="H7" s="755">
        <v>6</v>
      </c>
      <c r="I7" s="49"/>
      <c r="J7" s="699"/>
      <c r="K7" s="699"/>
    </row>
    <row r="8" spans="1:11" x14ac:dyDescent="0.2">
      <c r="A8" s="139"/>
      <c r="B8" s="155">
        <v>43577</v>
      </c>
      <c r="C8" s="156">
        <v>43579</v>
      </c>
      <c r="D8" s="168">
        <v>0.33333333333333331</v>
      </c>
      <c r="E8" s="168">
        <v>0.33333333333333331</v>
      </c>
      <c r="F8" s="262" t="s">
        <v>66</v>
      </c>
      <c r="G8" s="145">
        <v>14</v>
      </c>
      <c r="H8" s="755">
        <v>1</v>
      </c>
      <c r="I8" s="49"/>
      <c r="J8" s="30"/>
      <c r="K8" s="30"/>
    </row>
    <row r="9" spans="1:11" x14ac:dyDescent="0.2">
      <c r="A9" s="141"/>
      <c r="B9" s="155">
        <v>43679</v>
      </c>
      <c r="C9" s="158">
        <v>43686</v>
      </c>
      <c r="D9" s="168">
        <v>0.33333333333333331</v>
      </c>
      <c r="E9" s="168">
        <v>0.33333333333333331</v>
      </c>
      <c r="F9" s="262" t="s">
        <v>420</v>
      </c>
      <c r="G9" s="145">
        <v>14</v>
      </c>
      <c r="H9" s="755">
        <v>6</v>
      </c>
      <c r="I9" s="49"/>
      <c r="J9" s="30"/>
      <c r="K9" s="30"/>
    </row>
    <row r="10" spans="1:11" x14ac:dyDescent="0.2">
      <c r="A10" s="141"/>
      <c r="B10" s="245">
        <v>43768</v>
      </c>
      <c r="C10" s="246">
        <v>43779</v>
      </c>
      <c r="D10" s="168">
        <v>0.33333333333333331</v>
      </c>
      <c r="E10" s="168">
        <v>0.33333333333333331</v>
      </c>
      <c r="F10" s="262" t="s">
        <v>456</v>
      </c>
      <c r="G10" s="145">
        <v>14</v>
      </c>
      <c r="H10" s="237">
        <v>9</v>
      </c>
      <c r="I10" s="49"/>
      <c r="J10" s="30"/>
      <c r="K10" s="30"/>
    </row>
    <row r="11" spans="1:11" ht="16.149999999999999" customHeight="1" x14ac:dyDescent="0.2">
      <c r="A11" s="141"/>
      <c r="B11" s="405">
        <v>44088</v>
      </c>
      <c r="C11" s="246">
        <v>44089</v>
      </c>
      <c r="D11" s="168">
        <v>0.33333333333333331</v>
      </c>
      <c r="E11" s="168">
        <v>0.33333333333333331</v>
      </c>
      <c r="F11" s="262" t="s">
        <v>421</v>
      </c>
      <c r="G11" s="145">
        <v>20</v>
      </c>
      <c r="H11" s="436">
        <v>1</v>
      </c>
      <c r="I11" s="49"/>
      <c r="J11" s="30"/>
      <c r="K11" s="30"/>
    </row>
    <row r="12" spans="1:11" ht="16.149999999999999" customHeight="1" x14ac:dyDescent="0.2">
      <c r="A12" s="141"/>
      <c r="B12" s="405">
        <v>44260</v>
      </c>
      <c r="C12" s="246">
        <v>44261</v>
      </c>
      <c r="D12" s="168">
        <v>0.33333333333333331</v>
      </c>
      <c r="E12" s="168">
        <v>0.33333333333333331</v>
      </c>
      <c r="F12" s="262" t="s">
        <v>575</v>
      </c>
      <c r="G12" s="145">
        <v>20</v>
      </c>
      <c r="H12" s="436">
        <v>1</v>
      </c>
      <c r="I12" s="49"/>
      <c r="J12" s="30"/>
      <c r="K12" s="30"/>
    </row>
    <row r="13" spans="1:11" x14ac:dyDescent="0.2">
      <c r="A13" s="141"/>
      <c r="B13" s="142">
        <v>44442</v>
      </c>
      <c r="C13" s="143">
        <v>44443</v>
      </c>
      <c r="D13" s="168">
        <v>0.33333333333333331</v>
      </c>
      <c r="E13" s="168">
        <v>0.33333333333333331</v>
      </c>
      <c r="F13" s="262" t="s">
        <v>682</v>
      </c>
      <c r="G13" s="145">
        <v>20</v>
      </c>
      <c r="H13" s="237">
        <v>1</v>
      </c>
    </row>
    <row r="14" spans="1:11" x14ac:dyDescent="0.2">
      <c r="A14" s="141"/>
      <c r="B14" s="142">
        <v>44478</v>
      </c>
      <c r="C14" s="143">
        <v>44480</v>
      </c>
      <c r="D14" s="144">
        <v>0.54166666666666663</v>
      </c>
      <c r="E14" s="144">
        <v>0.33333333333333331</v>
      </c>
      <c r="F14" s="144"/>
      <c r="G14" s="145"/>
      <c r="H14" s="755">
        <v>0.5</v>
      </c>
    </row>
    <row r="15" spans="1:11" x14ac:dyDescent="0.2">
      <c r="A15" s="141"/>
      <c r="B15" s="142">
        <v>44622</v>
      </c>
      <c r="C15" s="143">
        <v>44622</v>
      </c>
      <c r="D15" s="144">
        <v>0.52083333333333337</v>
      </c>
      <c r="E15" s="144">
        <v>0.75</v>
      </c>
      <c r="F15" s="144"/>
      <c r="G15" s="145"/>
      <c r="H15" s="755">
        <v>0.5</v>
      </c>
    </row>
    <row r="16" spans="1:11" x14ac:dyDescent="0.2">
      <c r="A16" s="141"/>
      <c r="B16" s="142">
        <v>44687</v>
      </c>
      <c r="C16" s="143">
        <v>44687</v>
      </c>
      <c r="D16" s="144">
        <v>0.54166666666666663</v>
      </c>
      <c r="E16" s="144">
        <v>0.75</v>
      </c>
      <c r="F16" s="144"/>
      <c r="G16" s="145"/>
      <c r="H16" s="755">
        <v>0.5</v>
      </c>
    </row>
    <row r="17" spans="1:8" x14ac:dyDescent="0.2">
      <c r="A17" s="141"/>
      <c r="B17" s="142">
        <v>44750</v>
      </c>
      <c r="C17" s="143">
        <v>44760</v>
      </c>
      <c r="D17" s="168">
        <v>0.33333333333333331</v>
      </c>
      <c r="E17" s="168">
        <v>0.33333333333333331</v>
      </c>
      <c r="F17" s="253"/>
      <c r="G17" s="145"/>
      <c r="H17" s="237">
        <v>3</v>
      </c>
    </row>
    <row r="18" spans="1:8" x14ac:dyDescent="0.2">
      <c r="A18" s="141"/>
      <c r="B18" s="142">
        <v>44727</v>
      </c>
      <c r="C18" s="143">
        <v>44728</v>
      </c>
      <c r="D18" s="144">
        <v>0.54166666666666663</v>
      </c>
      <c r="E18" s="144">
        <v>0.33333333333333331</v>
      </c>
      <c r="F18" s="253"/>
      <c r="G18" s="145"/>
      <c r="H18" s="755">
        <v>0.5</v>
      </c>
    </row>
    <row r="19" spans="1:8" x14ac:dyDescent="0.2">
      <c r="A19" s="141"/>
      <c r="B19" s="142">
        <v>44538</v>
      </c>
      <c r="C19" s="143">
        <v>44539</v>
      </c>
      <c r="D19" s="168">
        <v>0.33333333333333331</v>
      </c>
      <c r="E19" s="168">
        <v>0.33333333333333331</v>
      </c>
      <c r="F19" s="263"/>
      <c r="G19" s="145"/>
      <c r="H19" s="237">
        <v>1</v>
      </c>
    </row>
    <row r="20" spans="1:8" x14ac:dyDescent="0.2">
      <c r="A20" s="141"/>
      <c r="B20" s="142">
        <v>44762</v>
      </c>
      <c r="C20" s="143">
        <v>44762</v>
      </c>
      <c r="D20" s="144">
        <v>0.54166666666666663</v>
      </c>
      <c r="E20" s="144">
        <v>0.75</v>
      </c>
      <c r="F20" s="263"/>
      <c r="G20" s="145"/>
      <c r="H20" s="755">
        <v>0.5</v>
      </c>
    </row>
    <row r="21" spans="1:8" x14ac:dyDescent="0.2">
      <c r="A21" s="146"/>
      <c r="B21" s="142">
        <v>44765</v>
      </c>
      <c r="C21" s="143">
        <v>44766</v>
      </c>
      <c r="D21" s="168">
        <v>0.33333333333333331</v>
      </c>
      <c r="E21" s="168">
        <v>0.33333333333333331</v>
      </c>
      <c r="F21" s="263"/>
      <c r="G21" s="145"/>
      <c r="H21" s="237">
        <v>1</v>
      </c>
    </row>
    <row r="22" spans="1:8" x14ac:dyDescent="0.2">
      <c r="A22" s="146"/>
      <c r="B22" s="142">
        <v>44825</v>
      </c>
      <c r="C22" s="142">
        <v>44831</v>
      </c>
      <c r="D22" s="168">
        <v>0.33333333333333331</v>
      </c>
      <c r="E22" s="168">
        <v>0.33333333333333331</v>
      </c>
      <c r="F22" s="263"/>
      <c r="G22" s="145"/>
      <c r="H22" s="237">
        <v>5</v>
      </c>
    </row>
    <row r="23" spans="1:8" x14ac:dyDescent="0.2">
      <c r="A23" s="55"/>
      <c r="B23" s="142">
        <v>45034</v>
      </c>
      <c r="C23" s="143">
        <v>45043</v>
      </c>
      <c r="D23" s="144">
        <v>0.33333333333333331</v>
      </c>
      <c r="E23" s="144">
        <v>0.33333333333333331</v>
      </c>
      <c r="F23" s="263"/>
      <c r="G23" s="145"/>
      <c r="H23" s="237">
        <v>5</v>
      </c>
    </row>
    <row r="24" spans="1:8" s="699" customFormat="1" x14ac:dyDescent="0.2">
      <c r="A24" s="685"/>
      <c r="B24" s="720"/>
      <c r="C24" s="721"/>
      <c r="D24" s="722"/>
      <c r="E24" s="722"/>
      <c r="F24" s="263"/>
      <c r="G24" s="723"/>
      <c r="H24" s="237"/>
    </row>
    <row r="25" spans="1:8" s="699" customFormat="1" x14ac:dyDescent="0.2">
      <c r="A25" s="685"/>
      <c r="B25" s="720"/>
      <c r="C25" s="721"/>
      <c r="D25" s="722"/>
      <c r="E25" s="722"/>
      <c r="F25" s="263"/>
      <c r="G25" s="723"/>
      <c r="H25" s="237"/>
    </row>
    <row r="26" spans="1:8" s="699" customFormat="1" x14ac:dyDescent="0.2">
      <c r="A26" s="685"/>
      <c r="B26" s="720"/>
      <c r="C26" s="721"/>
      <c r="D26" s="722"/>
      <c r="E26" s="722"/>
      <c r="F26" s="263"/>
      <c r="G26" s="723"/>
      <c r="H26" s="237"/>
    </row>
    <row r="27" spans="1:8" s="699" customFormat="1" x14ac:dyDescent="0.2">
      <c r="A27" s="685"/>
      <c r="B27" s="720"/>
      <c r="C27" s="721"/>
      <c r="D27" s="722"/>
      <c r="E27" s="722"/>
      <c r="F27" s="263"/>
      <c r="G27" s="723"/>
      <c r="H27" s="237"/>
    </row>
    <row r="28" spans="1:8" s="699" customFormat="1" x14ac:dyDescent="0.2">
      <c r="A28" s="685"/>
      <c r="B28" s="720"/>
      <c r="C28" s="721"/>
      <c r="D28" s="722"/>
      <c r="E28" s="722"/>
      <c r="F28" s="263"/>
      <c r="G28" s="723"/>
      <c r="H28" s="237"/>
    </row>
    <row r="29" spans="1:8" s="699" customFormat="1" x14ac:dyDescent="0.2">
      <c r="A29" s="685"/>
      <c r="B29" s="720"/>
      <c r="C29" s="721"/>
      <c r="D29" s="722"/>
      <c r="E29" s="722"/>
      <c r="F29" s="263"/>
      <c r="G29" s="723"/>
      <c r="H29" s="237"/>
    </row>
    <row r="30" spans="1:8" s="699" customFormat="1" x14ac:dyDescent="0.2">
      <c r="A30" s="685"/>
      <c r="B30" s="720"/>
      <c r="C30" s="721"/>
      <c r="D30" s="722"/>
      <c r="E30" s="722"/>
      <c r="F30" s="263"/>
      <c r="G30" s="723"/>
      <c r="H30" s="237"/>
    </row>
    <row r="31" spans="1:8" s="699" customFormat="1" x14ac:dyDescent="0.2">
      <c r="A31" s="685"/>
      <c r="B31" s="720"/>
      <c r="C31" s="721"/>
      <c r="D31" s="722"/>
      <c r="E31" s="722"/>
      <c r="F31" s="263"/>
      <c r="G31" s="723"/>
      <c r="H31" s="237"/>
    </row>
    <row r="32" spans="1:8" s="699" customFormat="1" x14ac:dyDescent="0.2">
      <c r="A32" s="685"/>
      <c r="B32" s="720"/>
      <c r="C32" s="721"/>
      <c r="D32" s="722"/>
      <c r="E32" s="722"/>
      <c r="F32" s="263"/>
      <c r="G32" s="723"/>
      <c r="H32" s="237"/>
    </row>
    <row r="33" spans="1:8" x14ac:dyDescent="0.2">
      <c r="A33" s="55"/>
      <c r="B33" s="142"/>
      <c r="C33" s="143"/>
      <c r="D33" s="144"/>
      <c r="E33" s="144"/>
      <c r="F33" s="263"/>
      <c r="G33" s="145"/>
      <c r="H33" s="237"/>
    </row>
    <row r="34" spans="1:8" x14ac:dyDescent="0.2">
      <c r="A34" s="55"/>
      <c r="B34" s="142"/>
      <c r="C34" s="143"/>
      <c r="D34" s="144"/>
      <c r="E34" s="144"/>
      <c r="F34" s="263"/>
      <c r="G34" s="145"/>
      <c r="H34" s="237"/>
    </row>
    <row r="35" spans="1:8" x14ac:dyDescent="0.2">
      <c r="A35" s="55"/>
      <c r="B35" s="142"/>
      <c r="C35" s="143"/>
      <c r="D35" s="144"/>
      <c r="E35" s="144"/>
      <c r="F35" s="263"/>
      <c r="G35" s="145"/>
      <c r="H35" s="237"/>
    </row>
    <row r="36" spans="1:8" x14ac:dyDescent="0.2">
      <c r="A36" s="55"/>
      <c r="B36" s="142"/>
      <c r="C36" s="143"/>
      <c r="D36" s="144"/>
      <c r="E36" s="144"/>
      <c r="F36" s="263"/>
      <c r="G36" s="145"/>
      <c r="H36" s="237"/>
    </row>
    <row r="37" spans="1:8" x14ac:dyDescent="0.2">
      <c r="F37" s="294" t="s">
        <v>123</v>
      </c>
      <c r="G37" s="77">
        <f>SUM(G7:G36)</f>
        <v>116</v>
      </c>
      <c r="H37" s="697">
        <f>SUM(H7:H36)</f>
        <v>42.5</v>
      </c>
    </row>
    <row r="38" spans="1:8" x14ac:dyDescent="0.2">
      <c r="F38" s="62"/>
      <c r="G38" s="63"/>
      <c r="H38" s="63"/>
    </row>
    <row r="39" spans="1:8" ht="14.25" x14ac:dyDescent="0.2">
      <c r="F39" s="1153" t="s">
        <v>8</v>
      </c>
      <c r="G39" s="1154"/>
      <c r="H39" s="84">
        <f>G37-H37</f>
        <v>73.5</v>
      </c>
    </row>
  </sheetData>
  <mergeCells count="3">
    <mergeCell ref="F39:G39"/>
    <mergeCell ref="J1:J3"/>
    <mergeCell ref="C1:H5"/>
  </mergeCells>
  <hyperlinks>
    <hyperlink ref="J1:J3" location="'ANA SAYFA'!A1" display="ANA SAYFA"/>
  </hyperlinks>
  <pageMargins left="0.7" right="0.12" top="0.12" bottom="0.75" header="0.13" footer="0.3"/>
  <pageSetup paperSize="9" scale="70" orientation="portrait" r:id="rId1"/>
  <colBreaks count="2" manualBreakCount="2">
    <brk id="8" max="38" man="1"/>
    <brk id="9" max="1048575" man="1"/>
  </col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1"/>
  <sheetViews>
    <sheetView zoomScaleNormal="100" workbookViewId="0">
      <pane ySplit="6" topLeftCell="A19" activePane="bottomLeft" state="frozen"/>
      <selection pane="bottomLeft" activeCell="J1" sqref="J1:J3"/>
    </sheetView>
  </sheetViews>
  <sheetFormatPr defaultColWidth="9.140625" defaultRowHeight="12.75" x14ac:dyDescent="0.2"/>
  <cols>
    <col min="1" max="1" width="18.140625" style="82" bestFit="1" customWidth="1"/>
    <col min="2" max="2" width="28" style="82" bestFit="1" customWidth="1"/>
    <col min="3" max="3" width="27" style="82" bestFit="1" customWidth="1"/>
    <col min="4" max="5" width="9.28515625" style="82" bestFit="1" customWidth="1"/>
    <col min="6" max="6" width="18.85546875" style="82" bestFit="1" customWidth="1"/>
    <col min="7" max="7" width="14.42578125" style="82" bestFit="1" customWidth="1"/>
    <col min="8" max="8" width="12.7109375" style="82" bestFit="1" customWidth="1"/>
    <col min="9" max="9" width="5.42578125" style="82" customWidth="1"/>
    <col min="10" max="10" width="10.85546875" style="82" customWidth="1"/>
    <col min="11" max="16384" width="9.140625" style="82"/>
  </cols>
  <sheetData>
    <row r="1" spans="1:11" ht="15" customHeight="1" x14ac:dyDescent="0.2">
      <c r="A1" s="29" t="s">
        <v>135</v>
      </c>
      <c r="B1" s="188" t="str">
        <f>'ANA SAYFA'!B57</f>
        <v>TALAT DOĞAN</v>
      </c>
      <c r="C1" s="1166" t="s">
        <v>136</v>
      </c>
      <c r="D1" s="1166"/>
      <c r="E1" s="1166"/>
      <c r="F1" s="1166"/>
      <c r="G1" s="1166"/>
      <c r="H1" s="1166"/>
      <c r="I1" s="28"/>
      <c r="J1" s="1183" t="s">
        <v>712</v>
      </c>
      <c r="K1" s="30"/>
    </row>
    <row r="2" spans="1:11" ht="15" customHeight="1" x14ac:dyDescent="0.2">
      <c r="A2" s="29" t="s">
        <v>137</v>
      </c>
      <c r="B2" s="154">
        <f>'ANA SAYFA'!D57</f>
        <v>52666707212</v>
      </c>
      <c r="C2" s="1166"/>
      <c r="D2" s="1166"/>
      <c r="E2" s="1166"/>
      <c r="F2" s="1166"/>
      <c r="G2" s="1166"/>
      <c r="H2" s="1166"/>
      <c r="I2" s="28"/>
      <c r="J2" s="1184"/>
      <c r="K2" s="30"/>
    </row>
    <row r="3" spans="1:11" ht="15" customHeight="1" thickBot="1" x14ac:dyDescent="0.25">
      <c r="A3" s="29" t="s">
        <v>131</v>
      </c>
      <c r="B3" s="153" t="str">
        <f>'ANA SAYFA'!C57</f>
        <v>KAMYON ŞOFÖRÜ</v>
      </c>
      <c r="C3" s="1166"/>
      <c r="D3" s="1166"/>
      <c r="E3" s="1166"/>
      <c r="F3" s="1166"/>
      <c r="G3" s="1166"/>
      <c r="H3" s="1166"/>
      <c r="I3" s="28"/>
      <c r="J3" s="1185"/>
      <c r="K3" s="30"/>
    </row>
    <row r="4" spans="1:11" ht="15" customHeight="1" x14ac:dyDescent="0.2">
      <c r="A4" s="29" t="s">
        <v>120</v>
      </c>
      <c r="B4" s="83">
        <f>'ANA SAYFA'!E57</f>
        <v>44454</v>
      </c>
      <c r="C4" s="1166"/>
      <c r="D4" s="1166"/>
      <c r="E4" s="1166"/>
      <c r="F4" s="1166"/>
      <c r="G4" s="1166"/>
      <c r="H4" s="1166"/>
      <c r="I4" s="28"/>
      <c r="J4" s="30"/>
      <c r="K4" s="30"/>
    </row>
    <row r="5" spans="1:11" ht="15" customHeight="1" x14ac:dyDescent="0.2">
      <c r="A5" s="29" t="s">
        <v>130</v>
      </c>
      <c r="B5" s="83">
        <f>'ANA SAYFA'!F57</f>
        <v>24770</v>
      </c>
      <c r="C5" s="1166"/>
      <c r="D5" s="1166"/>
      <c r="E5" s="1166"/>
      <c r="F5" s="1166"/>
      <c r="G5" s="1166"/>
      <c r="H5" s="1166"/>
      <c r="I5" s="28"/>
      <c r="J5" s="699"/>
      <c r="K5" s="699"/>
    </row>
    <row r="6" spans="1:11" ht="31.5" x14ac:dyDescent="0.2">
      <c r="A6" s="69" t="s">
        <v>0</v>
      </c>
      <c r="B6" s="70" t="s">
        <v>1</v>
      </c>
      <c r="C6" s="69" t="s">
        <v>2</v>
      </c>
      <c r="D6" s="71" t="s">
        <v>133</v>
      </c>
      <c r="E6" s="71" t="s">
        <v>4</v>
      </c>
      <c r="F6" s="71" t="s">
        <v>7</v>
      </c>
      <c r="G6" s="71" t="s">
        <v>6</v>
      </c>
      <c r="H6" s="71" t="s">
        <v>16</v>
      </c>
      <c r="I6" s="34"/>
      <c r="J6" s="699"/>
      <c r="K6" s="699"/>
    </row>
    <row r="7" spans="1:11" x14ac:dyDescent="0.2">
      <c r="A7" s="139"/>
      <c r="B7" s="155">
        <v>44637</v>
      </c>
      <c r="C7" s="156">
        <v>44648</v>
      </c>
      <c r="D7" s="168"/>
      <c r="E7" s="168"/>
      <c r="F7" s="244" t="s">
        <v>409</v>
      </c>
      <c r="G7" s="191">
        <v>20</v>
      </c>
      <c r="H7" s="191">
        <v>9</v>
      </c>
      <c r="I7" s="49"/>
      <c r="J7" s="30"/>
      <c r="K7" s="30"/>
    </row>
    <row r="8" spans="1:11" x14ac:dyDescent="0.2">
      <c r="A8" s="139"/>
      <c r="B8" s="155">
        <v>44680</v>
      </c>
      <c r="C8" s="156">
        <v>44690</v>
      </c>
      <c r="D8" s="168"/>
      <c r="E8" s="168"/>
      <c r="F8" s="244" t="s">
        <v>464</v>
      </c>
      <c r="G8" s="191">
        <v>20</v>
      </c>
      <c r="H8" s="191">
        <v>5</v>
      </c>
      <c r="I8" s="49"/>
      <c r="J8" s="30"/>
      <c r="K8" s="30"/>
    </row>
    <row r="9" spans="1:11" x14ac:dyDescent="0.2">
      <c r="A9" s="141"/>
      <c r="B9" s="155">
        <v>44713</v>
      </c>
      <c r="C9" s="158">
        <v>44718</v>
      </c>
      <c r="D9" s="159"/>
      <c r="E9" s="159"/>
      <c r="F9" s="244" t="s">
        <v>621</v>
      </c>
      <c r="G9" s="191">
        <v>20</v>
      </c>
      <c r="H9" s="191">
        <v>4</v>
      </c>
      <c r="I9" s="49"/>
      <c r="J9" s="30"/>
      <c r="K9" s="30"/>
    </row>
    <row r="10" spans="1:11" x14ac:dyDescent="0.2">
      <c r="A10" s="146"/>
      <c r="B10" s="155">
        <v>44736</v>
      </c>
      <c r="C10" s="158">
        <v>44736</v>
      </c>
      <c r="D10" s="159"/>
      <c r="E10" s="159"/>
      <c r="F10" s="244" t="s">
        <v>919</v>
      </c>
      <c r="G10" s="191">
        <v>20</v>
      </c>
      <c r="H10" s="191">
        <v>1</v>
      </c>
      <c r="I10" s="49"/>
      <c r="J10" s="30"/>
      <c r="K10" s="30"/>
    </row>
    <row r="11" spans="1:11" x14ac:dyDescent="0.2">
      <c r="A11" s="146"/>
      <c r="B11" s="155">
        <v>44830</v>
      </c>
      <c r="C11" s="158">
        <v>44832</v>
      </c>
      <c r="D11" s="159"/>
      <c r="E11" s="159"/>
      <c r="F11" s="244"/>
      <c r="G11" s="191"/>
      <c r="H11" s="191">
        <v>2</v>
      </c>
      <c r="I11" s="49"/>
      <c r="J11" s="30"/>
      <c r="K11" s="30"/>
    </row>
    <row r="12" spans="1:11" x14ac:dyDescent="0.2">
      <c r="A12" s="236"/>
      <c r="B12" s="245">
        <v>44905</v>
      </c>
      <c r="C12" s="246">
        <v>44907</v>
      </c>
      <c r="D12" s="247"/>
      <c r="E12" s="247"/>
      <c r="F12" s="244"/>
      <c r="G12" s="145"/>
      <c r="H12" s="145">
        <v>1</v>
      </c>
      <c r="I12" s="49"/>
      <c r="J12" s="30"/>
      <c r="K12" s="30"/>
    </row>
    <row r="13" spans="1:11" x14ac:dyDescent="0.2">
      <c r="A13" s="146"/>
      <c r="B13" s="245">
        <v>44919</v>
      </c>
      <c r="C13" s="246">
        <v>44920</v>
      </c>
      <c r="D13" s="159"/>
      <c r="E13" s="159"/>
      <c r="F13" s="244"/>
      <c r="G13" s="145"/>
      <c r="H13" s="191">
        <v>1</v>
      </c>
      <c r="I13" s="49"/>
      <c r="J13" s="30"/>
      <c r="K13" s="30"/>
    </row>
    <row r="14" spans="1:11" x14ac:dyDescent="0.2">
      <c r="A14" s="236"/>
      <c r="B14" s="245">
        <v>44979</v>
      </c>
      <c r="C14" s="246">
        <v>44982</v>
      </c>
      <c r="D14" s="159"/>
      <c r="E14" s="159"/>
      <c r="F14" s="244"/>
      <c r="G14" s="145"/>
      <c r="H14" s="191">
        <v>3</v>
      </c>
      <c r="I14" s="49"/>
      <c r="J14" s="30"/>
      <c r="K14" s="30"/>
    </row>
    <row r="15" spans="1:11" x14ac:dyDescent="0.2">
      <c r="A15" s="147"/>
      <c r="B15" s="142">
        <v>45020</v>
      </c>
      <c r="C15" s="143">
        <v>45021</v>
      </c>
      <c r="D15" s="168"/>
      <c r="E15" s="168"/>
      <c r="F15" s="244"/>
      <c r="G15" s="145"/>
      <c r="H15" s="145">
        <v>1</v>
      </c>
      <c r="I15" s="49"/>
      <c r="J15" s="30"/>
      <c r="K15" s="30"/>
    </row>
    <row r="16" spans="1:11" x14ac:dyDescent="0.2">
      <c r="A16" s="147"/>
      <c r="B16" s="142">
        <v>45059</v>
      </c>
      <c r="C16" s="143">
        <v>45060</v>
      </c>
      <c r="D16" s="144"/>
      <c r="E16" s="144"/>
      <c r="F16" s="253"/>
      <c r="G16" s="145"/>
      <c r="H16" s="145">
        <v>1</v>
      </c>
      <c r="I16" s="49"/>
      <c r="J16" s="30"/>
      <c r="K16" s="30"/>
    </row>
    <row r="17" spans="1:11" x14ac:dyDescent="0.2">
      <c r="A17" s="147"/>
      <c r="B17" s="142">
        <v>45101</v>
      </c>
      <c r="C17" s="143">
        <v>45110</v>
      </c>
      <c r="D17" s="144">
        <v>0.33333333333333331</v>
      </c>
      <c r="E17" s="144">
        <v>0.33333333333333331</v>
      </c>
      <c r="F17" s="253"/>
      <c r="G17" s="145"/>
      <c r="H17" s="145">
        <v>2</v>
      </c>
      <c r="I17" s="49"/>
      <c r="J17" s="30"/>
      <c r="K17" s="30"/>
    </row>
    <row r="18" spans="1:11" x14ac:dyDescent="0.2">
      <c r="A18" s="147"/>
      <c r="B18" s="142">
        <v>45203</v>
      </c>
      <c r="C18" s="143">
        <v>45209</v>
      </c>
      <c r="D18" s="144">
        <v>0.33333333333333331</v>
      </c>
      <c r="E18" s="144">
        <v>0.33333333333333331</v>
      </c>
      <c r="F18" s="81"/>
      <c r="G18" s="145"/>
      <c r="H18" s="145">
        <v>5</v>
      </c>
      <c r="I18" s="49"/>
      <c r="J18" s="30"/>
      <c r="K18" s="30"/>
    </row>
    <row r="19" spans="1:11" x14ac:dyDescent="0.2">
      <c r="A19" s="147"/>
      <c r="B19" s="142">
        <v>45257</v>
      </c>
      <c r="C19" s="143">
        <v>45258</v>
      </c>
      <c r="D19" s="144">
        <v>0.33333333333333331</v>
      </c>
      <c r="E19" s="144">
        <v>0.33333333333333331</v>
      </c>
      <c r="F19" s="81"/>
      <c r="G19" s="276"/>
      <c r="H19" s="145">
        <v>1</v>
      </c>
      <c r="I19" s="46"/>
      <c r="J19" s="30"/>
      <c r="K19" s="30"/>
    </row>
    <row r="20" spans="1:11" x14ac:dyDescent="0.2">
      <c r="A20" s="147"/>
      <c r="B20" s="142">
        <v>45287</v>
      </c>
      <c r="C20" s="143">
        <v>45288</v>
      </c>
      <c r="D20" s="144">
        <v>0.33333333333333331</v>
      </c>
      <c r="E20" s="144">
        <v>0.33333333333333331</v>
      </c>
      <c r="F20" s="81"/>
      <c r="G20" s="276"/>
      <c r="H20" s="145">
        <v>1</v>
      </c>
      <c r="I20" s="46"/>
      <c r="J20" s="30"/>
      <c r="K20" s="30"/>
    </row>
    <row r="21" spans="1:11" x14ac:dyDescent="0.2">
      <c r="A21" s="147"/>
      <c r="B21" s="142">
        <v>45351</v>
      </c>
      <c r="C21" s="143">
        <v>45353</v>
      </c>
      <c r="D21" s="144">
        <v>0.33333333333333331</v>
      </c>
      <c r="E21" s="144">
        <v>0.33333333333333331</v>
      </c>
      <c r="F21" s="78"/>
      <c r="G21" s="276"/>
      <c r="H21" s="145">
        <v>2</v>
      </c>
      <c r="I21" s="40"/>
      <c r="J21" s="30"/>
      <c r="K21" s="30"/>
    </row>
    <row r="22" spans="1:11" x14ac:dyDescent="0.2">
      <c r="A22" s="147"/>
      <c r="B22" s="142" t="s">
        <v>509</v>
      </c>
      <c r="C22" s="142" t="s">
        <v>509</v>
      </c>
      <c r="D22" s="144">
        <v>0.33333333333333331</v>
      </c>
      <c r="E22" s="144">
        <v>0.33333333333333331</v>
      </c>
      <c r="F22" s="78"/>
      <c r="G22" s="276"/>
      <c r="H22" s="145">
        <v>1</v>
      </c>
      <c r="I22" s="40"/>
      <c r="J22" s="30"/>
      <c r="K22" s="30"/>
    </row>
    <row r="23" spans="1:11" x14ac:dyDescent="0.2">
      <c r="A23" s="147"/>
      <c r="B23" s="142">
        <v>45525</v>
      </c>
      <c r="C23" s="143">
        <v>45530</v>
      </c>
      <c r="D23" s="144"/>
      <c r="E23" s="144"/>
      <c r="F23" s="78"/>
      <c r="G23" s="276"/>
      <c r="H23" s="145">
        <v>5</v>
      </c>
      <c r="I23" s="40"/>
      <c r="J23" s="41"/>
      <c r="K23" s="41"/>
    </row>
    <row r="24" spans="1:11" x14ac:dyDescent="0.2">
      <c r="A24" s="51"/>
      <c r="B24" s="52">
        <v>45554</v>
      </c>
      <c r="C24" s="53">
        <v>45554</v>
      </c>
      <c r="D24" s="54"/>
      <c r="E24" s="54"/>
      <c r="F24" s="81"/>
      <c r="G24" s="276"/>
      <c r="H24" s="276">
        <v>1</v>
      </c>
      <c r="I24" s="49"/>
      <c r="J24" s="30"/>
      <c r="K24" s="30"/>
    </row>
    <row r="25" spans="1:11" x14ac:dyDescent="0.2">
      <c r="A25" s="51"/>
      <c r="B25" s="52">
        <v>45595</v>
      </c>
      <c r="C25" s="53">
        <v>45595</v>
      </c>
      <c r="D25" s="54"/>
      <c r="E25" s="54"/>
      <c r="F25" s="81"/>
      <c r="G25" s="276"/>
      <c r="H25" s="276">
        <v>1</v>
      </c>
      <c r="I25" s="49"/>
      <c r="J25" s="30"/>
      <c r="K25" s="30"/>
    </row>
    <row r="26" spans="1:11" x14ac:dyDescent="0.2">
      <c r="A26" s="55"/>
      <c r="B26" s="58">
        <v>45608</v>
      </c>
      <c r="C26" s="56">
        <v>45608</v>
      </c>
      <c r="D26" s="57"/>
      <c r="E26" s="57"/>
      <c r="F26" s="81"/>
      <c r="G26" s="66"/>
      <c r="H26" s="66">
        <v>1</v>
      </c>
      <c r="I26" s="49"/>
      <c r="J26" s="30"/>
      <c r="K26" s="30" t="s">
        <v>807</v>
      </c>
    </row>
    <row r="27" spans="1:11" x14ac:dyDescent="0.2">
      <c r="A27" s="55"/>
      <c r="B27" s="58">
        <v>45637</v>
      </c>
      <c r="C27" s="56">
        <v>45637</v>
      </c>
      <c r="D27" s="57"/>
      <c r="E27" s="57"/>
      <c r="F27" s="81"/>
      <c r="G27" s="66"/>
      <c r="H27" s="68">
        <v>1</v>
      </c>
      <c r="I27" s="49"/>
      <c r="J27" s="30"/>
      <c r="K27" s="30" t="s">
        <v>808</v>
      </c>
    </row>
    <row r="28" spans="1:11" x14ac:dyDescent="0.2">
      <c r="A28" s="509"/>
      <c r="B28" s="525" t="s">
        <v>672</v>
      </c>
      <c r="C28" s="533"/>
      <c r="D28" s="57"/>
      <c r="E28" s="57"/>
      <c r="F28" s="81"/>
      <c r="G28" s="517">
        <v>1</v>
      </c>
      <c r="H28" s="68"/>
      <c r="I28" s="49"/>
      <c r="J28" s="30"/>
      <c r="K28" s="30"/>
    </row>
    <row r="29" spans="1:11" x14ac:dyDescent="0.2">
      <c r="A29" s="55"/>
      <c r="B29" s="58">
        <v>45673</v>
      </c>
      <c r="C29" s="56">
        <v>45674</v>
      </c>
      <c r="D29" s="57"/>
      <c r="E29" s="57"/>
      <c r="F29" s="81"/>
      <c r="G29" s="66"/>
      <c r="H29" s="68">
        <v>2</v>
      </c>
      <c r="I29" s="49"/>
      <c r="J29" s="30"/>
      <c r="K29" s="30"/>
    </row>
    <row r="30" spans="1:11" x14ac:dyDescent="0.2">
      <c r="A30" s="55"/>
      <c r="B30" s="58">
        <v>45692</v>
      </c>
      <c r="C30" s="56">
        <v>45693</v>
      </c>
      <c r="D30" s="57"/>
      <c r="E30" s="57"/>
      <c r="F30" s="81"/>
      <c r="G30" s="66"/>
      <c r="H30" s="68">
        <v>2</v>
      </c>
      <c r="I30" s="49"/>
      <c r="J30" s="30"/>
      <c r="K30" s="30"/>
    </row>
    <row r="31" spans="1:11" s="699" customFormat="1" x14ac:dyDescent="0.2">
      <c r="A31" s="685"/>
      <c r="B31" s="688">
        <v>45784</v>
      </c>
      <c r="C31" s="686">
        <v>45785</v>
      </c>
      <c r="D31" s="687"/>
      <c r="E31" s="687"/>
      <c r="F31" s="698"/>
      <c r="G31" s="691"/>
      <c r="H31" s="692">
        <v>2</v>
      </c>
      <c r="I31" s="684"/>
      <c r="J31" s="670"/>
      <c r="K31" s="670"/>
    </row>
    <row r="32" spans="1:11" s="699" customFormat="1" x14ac:dyDescent="0.2">
      <c r="A32" s="685"/>
      <c r="B32" s="688">
        <v>45854</v>
      </c>
      <c r="C32" s="686">
        <v>45856</v>
      </c>
      <c r="D32" s="687"/>
      <c r="E32" s="687"/>
      <c r="F32" s="698"/>
      <c r="G32" s="691"/>
      <c r="H32" s="692">
        <v>3</v>
      </c>
      <c r="I32" s="684"/>
      <c r="J32" s="670"/>
      <c r="K32" s="670"/>
    </row>
    <row r="33" spans="1:11" s="699" customFormat="1" x14ac:dyDescent="0.2">
      <c r="A33" s="685"/>
      <c r="B33" s="688">
        <v>45966</v>
      </c>
      <c r="C33" s="686">
        <v>45968</v>
      </c>
      <c r="D33" s="687"/>
      <c r="E33" s="687"/>
      <c r="F33" s="698"/>
      <c r="G33" s="691"/>
      <c r="H33" s="692">
        <v>2</v>
      </c>
      <c r="I33" s="684"/>
      <c r="J33" s="670"/>
      <c r="K33" s="670"/>
    </row>
    <row r="34" spans="1:11" s="699" customFormat="1" x14ac:dyDescent="0.2">
      <c r="A34" s="685"/>
      <c r="B34" s="688">
        <v>46001</v>
      </c>
      <c r="C34" s="686">
        <v>46002</v>
      </c>
      <c r="D34" s="687"/>
      <c r="E34" s="687"/>
      <c r="F34" s="698"/>
      <c r="G34" s="691"/>
      <c r="H34" s="692">
        <v>1</v>
      </c>
      <c r="I34" s="684"/>
      <c r="J34" s="670"/>
      <c r="K34" s="670"/>
    </row>
    <row r="35" spans="1:11" s="699" customFormat="1" x14ac:dyDescent="0.2">
      <c r="A35" s="685"/>
      <c r="B35" s="688">
        <v>46015</v>
      </c>
      <c r="C35" s="686">
        <v>46016</v>
      </c>
      <c r="D35" s="687"/>
      <c r="E35" s="687"/>
      <c r="F35" s="698"/>
      <c r="G35" s="691"/>
      <c r="H35" s="692">
        <v>2</v>
      </c>
      <c r="I35" s="684"/>
      <c r="J35" s="670"/>
      <c r="K35" s="670"/>
    </row>
    <row r="36" spans="1:11" s="699" customFormat="1" x14ac:dyDescent="0.2">
      <c r="A36" s="685"/>
      <c r="B36" s="688">
        <v>46043</v>
      </c>
      <c r="C36" s="686">
        <v>46045</v>
      </c>
      <c r="D36" s="687"/>
      <c r="E36" s="687"/>
      <c r="F36" s="698"/>
      <c r="G36" s="691"/>
      <c r="H36" s="692">
        <v>2</v>
      </c>
      <c r="I36" s="684"/>
      <c r="J36" s="670"/>
      <c r="K36" s="670"/>
    </row>
    <row r="37" spans="1:11" s="699" customFormat="1" x14ac:dyDescent="0.2">
      <c r="A37" s="685"/>
      <c r="B37" s="688">
        <v>46098</v>
      </c>
      <c r="C37" s="686">
        <v>46104</v>
      </c>
      <c r="D37" s="687"/>
      <c r="E37" s="687"/>
      <c r="F37" s="698"/>
      <c r="G37" s="691"/>
      <c r="H37" s="692">
        <v>2</v>
      </c>
      <c r="I37" s="684"/>
      <c r="J37" s="670"/>
      <c r="K37" s="670"/>
    </row>
    <row r="38" spans="1:11" s="699" customFormat="1" x14ac:dyDescent="0.2">
      <c r="A38" s="685"/>
      <c r="B38" s="688"/>
      <c r="C38" s="686"/>
      <c r="D38" s="687"/>
      <c r="E38" s="687"/>
      <c r="F38" s="698"/>
      <c r="G38" s="691"/>
      <c r="H38" s="692"/>
      <c r="I38" s="684"/>
      <c r="J38" s="670"/>
      <c r="K38" s="670"/>
    </row>
    <row r="39" spans="1:11" s="699" customFormat="1" x14ac:dyDescent="0.2">
      <c r="A39" s="685"/>
      <c r="B39" s="688"/>
      <c r="C39" s="686"/>
      <c r="D39" s="687"/>
      <c r="E39" s="687"/>
      <c r="F39" s="698"/>
      <c r="G39" s="691"/>
      <c r="H39" s="692"/>
      <c r="I39" s="684"/>
      <c r="J39" s="670"/>
      <c r="K39" s="670"/>
    </row>
    <row r="40" spans="1:11" s="699" customFormat="1" x14ac:dyDescent="0.2">
      <c r="A40" s="685"/>
      <c r="B40" s="688"/>
      <c r="C40" s="686"/>
      <c r="D40" s="687"/>
      <c r="E40" s="687"/>
      <c r="F40" s="698"/>
      <c r="G40" s="691"/>
      <c r="H40" s="692"/>
      <c r="I40" s="684"/>
      <c r="J40" s="670"/>
      <c r="K40" s="670"/>
    </row>
    <row r="41" spans="1:11" s="699" customFormat="1" x14ac:dyDescent="0.2">
      <c r="A41" s="685"/>
      <c r="B41" s="688"/>
      <c r="C41" s="686"/>
      <c r="D41" s="687"/>
      <c r="E41" s="687"/>
      <c r="F41" s="698"/>
      <c r="G41" s="691"/>
      <c r="H41" s="692"/>
      <c r="I41" s="684"/>
      <c r="J41" s="670"/>
      <c r="K41" s="670"/>
    </row>
    <row r="42" spans="1:11" s="699" customFormat="1" x14ac:dyDescent="0.2">
      <c r="A42" s="685"/>
      <c r="B42" s="688"/>
      <c r="C42" s="686"/>
      <c r="D42" s="687"/>
      <c r="E42" s="687"/>
      <c r="F42" s="698"/>
      <c r="G42" s="691"/>
      <c r="H42" s="692"/>
      <c r="I42" s="684"/>
      <c r="J42" s="670"/>
      <c r="K42" s="670"/>
    </row>
    <row r="43" spans="1:11" x14ac:dyDescent="0.2">
      <c r="A43" s="55"/>
      <c r="B43" s="58"/>
      <c r="C43" s="56"/>
      <c r="D43" s="57"/>
      <c r="E43" s="57"/>
      <c r="F43" s="81"/>
      <c r="G43" s="66"/>
      <c r="H43" s="68"/>
      <c r="I43" s="49"/>
      <c r="J43" s="30"/>
      <c r="K43" s="30"/>
    </row>
    <row r="44" spans="1:11" x14ac:dyDescent="0.2">
      <c r="A44" s="55"/>
      <c r="B44" s="58"/>
      <c r="C44" s="56"/>
      <c r="D44" s="57"/>
      <c r="E44" s="57"/>
      <c r="F44" s="66"/>
      <c r="G44" s="66"/>
      <c r="H44" s="68"/>
      <c r="I44" s="49"/>
      <c r="J44" s="30"/>
      <c r="K44" s="30"/>
    </row>
    <row r="45" spans="1:11" x14ac:dyDescent="0.2">
      <c r="A45" s="55"/>
      <c r="B45" s="58"/>
      <c r="C45" s="56"/>
      <c r="D45" s="57"/>
      <c r="E45" s="57"/>
      <c r="F45" s="66"/>
      <c r="G45" s="66"/>
      <c r="H45" s="66"/>
      <c r="I45" s="49"/>
      <c r="J45" s="30"/>
      <c r="K45" s="30"/>
    </row>
    <row r="46" spans="1:11" x14ac:dyDescent="0.2">
      <c r="A46" s="72"/>
      <c r="B46" s="73"/>
      <c r="C46" s="74"/>
      <c r="D46" s="75"/>
      <c r="E46" s="75"/>
      <c r="F46" s="277" t="s">
        <v>123</v>
      </c>
      <c r="G46" s="77">
        <f>SUM(G5:G45)</f>
        <v>81</v>
      </c>
      <c r="H46" s="77">
        <f>SUM(H7:H45)</f>
        <v>67</v>
      </c>
      <c r="I46" s="61"/>
      <c r="J46" s="30"/>
      <c r="K46" s="30"/>
    </row>
    <row r="47" spans="1:11" x14ac:dyDescent="0.2">
      <c r="A47" s="30"/>
      <c r="B47" s="30"/>
      <c r="C47" s="30"/>
      <c r="D47" s="62"/>
      <c r="E47" s="62"/>
      <c r="F47" s="62"/>
      <c r="G47" s="63"/>
      <c r="H47" s="63"/>
      <c r="I47" s="63"/>
      <c r="J47" s="30"/>
      <c r="K47" s="30"/>
    </row>
    <row r="48" spans="1:11" ht="14.25" x14ac:dyDescent="0.2">
      <c r="A48" s="30"/>
      <c r="B48" s="30"/>
      <c r="C48" s="30"/>
      <c r="D48" s="62"/>
      <c r="E48" s="62"/>
      <c r="F48" s="1153" t="s">
        <v>8</v>
      </c>
      <c r="G48" s="1154"/>
      <c r="H48" s="84">
        <f>G46-H46</f>
        <v>14</v>
      </c>
      <c r="I48" s="63"/>
      <c r="J48" s="30"/>
      <c r="K48" s="30"/>
    </row>
    <row r="50" spans="1:2" x14ac:dyDescent="0.2">
      <c r="A50" s="896">
        <v>45596</v>
      </c>
      <c r="B50" s="82" t="s">
        <v>660</v>
      </c>
    </row>
    <row r="51" spans="1:2" x14ac:dyDescent="0.2">
      <c r="A51" s="896">
        <v>45597</v>
      </c>
      <c r="B51" s="82" t="s">
        <v>645</v>
      </c>
    </row>
  </sheetData>
  <sortState ref="B8:K22">
    <sortCondition ref="B8"/>
  </sortState>
  <mergeCells count="3">
    <mergeCell ref="F48:G48"/>
    <mergeCell ref="J1:J3"/>
    <mergeCell ref="C1:H5"/>
  </mergeCells>
  <hyperlinks>
    <hyperlink ref="J1:J3" location="'ANA SAYFA'!A1" display="ANA SAYFA"/>
  </hyperlinks>
  <pageMargins left="0.7" right="0.12" top="0.12" bottom="0.75" header="0.12" footer="0.3"/>
  <pageSetup paperSize="9" scale="69" orientation="portrait" r:id="rId1"/>
  <colBreaks count="1" manualBreakCount="1">
    <brk id="8" max="1048575" man="1"/>
  </col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9"/>
  <sheetViews>
    <sheetView zoomScaleNormal="100" workbookViewId="0">
      <pane ySplit="6" topLeftCell="A17" activePane="bottomLeft" state="frozen"/>
      <selection pane="bottomLeft" activeCell="J1" sqref="J1:J3"/>
    </sheetView>
  </sheetViews>
  <sheetFormatPr defaultColWidth="9.140625" defaultRowHeight="12.75" x14ac:dyDescent="0.2"/>
  <cols>
    <col min="1" max="1" width="18.140625" style="82" bestFit="1" customWidth="1"/>
    <col min="2" max="2" width="26.85546875" style="82" bestFit="1" customWidth="1"/>
    <col min="3" max="3" width="27.28515625" style="82" bestFit="1" customWidth="1"/>
    <col min="4" max="4" width="6.7109375" style="82" bestFit="1" customWidth="1"/>
    <col min="5" max="5" width="8.85546875" style="82" bestFit="1" customWidth="1"/>
    <col min="6" max="6" width="20.85546875" style="82" bestFit="1" customWidth="1"/>
    <col min="7" max="7" width="14.28515625" style="82" bestFit="1" customWidth="1"/>
    <col min="8" max="8" width="12.5703125" style="82" bestFit="1" customWidth="1"/>
    <col min="9" max="9" width="4.85546875" style="82" customWidth="1"/>
    <col min="10" max="10" width="11" style="82" customWidth="1"/>
    <col min="11" max="16384" width="9.140625" style="82"/>
  </cols>
  <sheetData>
    <row r="1" spans="1:11" ht="14.25" customHeight="1" x14ac:dyDescent="0.2">
      <c r="A1" s="29" t="s">
        <v>936</v>
      </c>
      <c r="B1" s="188" t="str">
        <f>'ANA SAYFA'!B58</f>
        <v>TUNCAY ELİÇİN</v>
      </c>
      <c r="C1" s="1166" t="s">
        <v>136</v>
      </c>
      <c r="D1" s="1166"/>
      <c r="E1" s="1166"/>
      <c r="F1" s="1166"/>
      <c r="G1" s="1166"/>
      <c r="H1" s="1166"/>
      <c r="I1" s="28"/>
      <c r="J1" s="1183" t="s">
        <v>712</v>
      </c>
      <c r="K1" s="30"/>
    </row>
    <row r="2" spans="1:11" ht="14.25" customHeight="1" x14ac:dyDescent="0.2">
      <c r="A2" s="29" t="s">
        <v>137</v>
      </c>
      <c r="B2" s="154">
        <f>'ANA SAYFA'!D58</f>
        <v>46114287272</v>
      </c>
      <c r="C2" s="1166"/>
      <c r="D2" s="1166"/>
      <c r="E2" s="1166"/>
      <c r="F2" s="1166"/>
      <c r="G2" s="1166"/>
      <c r="H2" s="1166"/>
      <c r="I2" s="28"/>
      <c r="J2" s="1184"/>
      <c r="K2" s="30"/>
    </row>
    <row r="3" spans="1:11" ht="14.25" customHeight="1" thickBot="1" x14ac:dyDescent="0.25">
      <c r="A3" s="29" t="s">
        <v>131</v>
      </c>
      <c r="B3" s="153" t="str">
        <f>'ANA SAYFA'!C58</f>
        <v>GREYDER OPERATÖRÜ</v>
      </c>
      <c r="C3" s="1166"/>
      <c r="D3" s="1166"/>
      <c r="E3" s="1166"/>
      <c r="F3" s="1166"/>
      <c r="G3" s="1166"/>
      <c r="H3" s="1166"/>
      <c r="I3" s="28"/>
      <c r="J3" s="1185"/>
      <c r="K3" s="30"/>
    </row>
    <row r="4" spans="1:11" ht="14.25" customHeight="1" x14ac:dyDescent="0.2">
      <c r="A4" s="29" t="s">
        <v>120</v>
      </c>
      <c r="B4" s="83">
        <f>'ANA SAYFA'!E58</f>
        <v>44860</v>
      </c>
      <c r="C4" s="1166"/>
      <c r="D4" s="1166"/>
      <c r="E4" s="1166"/>
      <c r="F4" s="1166"/>
      <c r="G4" s="1166"/>
      <c r="H4" s="1166"/>
      <c r="I4" s="28"/>
      <c r="J4" s="30"/>
      <c r="K4" s="30"/>
    </row>
    <row r="5" spans="1:11" ht="14.25" customHeight="1" x14ac:dyDescent="0.2">
      <c r="A5" s="29" t="s">
        <v>130</v>
      </c>
      <c r="B5" s="83">
        <f>'ANA SAYFA'!F58</f>
        <v>22556</v>
      </c>
      <c r="C5" s="1166"/>
      <c r="D5" s="1166"/>
      <c r="E5" s="1166"/>
      <c r="F5" s="1166"/>
      <c r="G5" s="1166"/>
      <c r="H5" s="1166"/>
      <c r="I5" s="28"/>
      <c r="J5" s="699"/>
      <c r="K5" s="699"/>
    </row>
    <row r="6" spans="1:11" ht="31.5" x14ac:dyDescent="0.2">
      <c r="A6" s="69" t="s">
        <v>0</v>
      </c>
      <c r="B6" s="70" t="s">
        <v>1</v>
      </c>
      <c r="C6" s="69" t="s">
        <v>2</v>
      </c>
      <c r="D6" s="71" t="s">
        <v>133</v>
      </c>
      <c r="E6" s="71" t="s">
        <v>4</v>
      </c>
      <c r="F6" s="71" t="s">
        <v>7</v>
      </c>
      <c r="G6" s="71" t="s">
        <v>6</v>
      </c>
      <c r="H6" s="71" t="s">
        <v>16</v>
      </c>
      <c r="I6" s="34"/>
      <c r="J6" s="699"/>
      <c r="K6" s="699"/>
    </row>
    <row r="7" spans="1:11" x14ac:dyDescent="0.2">
      <c r="A7" s="139"/>
      <c r="B7" s="155">
        <v>44879</v>
      </c>
      <c r="C7" s="156">
        <v>44880</v>
      </c>
      <c r="D7" s="168">
        <v>0.33333333333333331</v>
      </c>
      <c r="E7" s="168">
        <v>0.33333333333333331</v>
      </c>
      <c r="F7" s="83" t="s">
        <v>465</v>
      </c>
      <c r="G7" s="191">
        <v>20</v>
      </c>
      <c r="H7" s="191">
        <v>1</v>
      </c>
      <c r="I7" s="49"/>
      <c r="J7" s="30"/>
      <c r="K7" s="30"/>
    </row>
    <row r="8" spans="1:11" x14ac:dyDescent="0.2">
      <c r="A8" s="139"/>
      <c r="B8" s="155">
        <v>44967</v>
      </c>
      <c r="C8" s="156">
        <v>44971</v>
      </c>
      <c r="D8" s="168">
        <v>0.5</v>
      </c>
      <c r="E8" s="168">
        <v>0.33333333333333331</v>
      </c>
      <c r="F8" s="83" t="s">
        <v>648</v>
      </c>
      <c r="G8" s="191">
        <v>20</v>
      </c>
      <c r="H8" s="191">
        <v>2.5</v>
      </c>
      <c r="I8" s="49"/>
      <c r="J8" s="30"/>
      <c r="K8" s="30"/>
    </row>
    <row r="9" spans="1:11" x14ac:dyDescent="0.2">
      <c r="A9" s="141"/>
      <c r="B9" s="155">
        <v>45026</v>
      </c>
      <c r="C9" s="158">
        <v>45027</v>
      </c>
      <c r="D9" s="159">
        <v>0.33333333333333331</v>
      </c>
      <c r="E9" s="159">
        <v>0.33333333333333331</v>
      </c>
      <c r="F9" s="700" t="s">
        <v>863</v>
      </c>
      <c r="G9" s="748">
        <v>20</v>
      </c>
      <c r="H9" s="191">
        <v>1</v>
      </c>
      <c r="I9" s="49"/>
      <c r="J9" s="30"/>
      <c r="K9" s="30"/>
    </row>
    <row r="10" spans="1:11" x14ac:dyDescent="0.2">
      <c r="A10" s="141"/>
      <c r="B10" s="155">
        <v>45040</v>
      </c>
      <c r="C10" s="158">
        <v>45043</v>
      </c>
      <c r="D10" s="159">
        <v>0.33333333333333331</v>
      </c>
      <c r="E10" s="159">
        <v>0.33333333333333331</v>
      </c>
      <c r="F10" s="83"/>
      <c r="G10" s="191"/>
      <c r="H10" s="191">
        <v>3</v>
      </c>
      <c r="I10" s="49"/>
      <c r="J10" s="30"/>
      <c r="K10" s="30"/>
    </row>
    <row r="11" spans="1:11" x14ac:dyDescent="0.2">
      <c r="A11" s="146"/>
      <c r="B11" s="245">
        <v>45100</v>
      </c>
      <c r="C11" s="246">
        <v>45110</v>
      </c>
      <c r="D11" s="159">
        <v>0.33333333333333331</v>
      </c>
      <c r="E11" s="159">
        <v>0.33333333333333331</v>
      </c>
      <c r="F11" s="83"/>
      <c r="G11" s="145"/>
      <c r="H11" s="191">
        <v>3</v>
      </c>
      <c r="I11" s="49"/>
      <c r="J11" s="30"/>
      <c r="K11" s="30"/>
    </row>
    <row r="12" spans="1:11" x14ac:dyDescent="0.2">
      <c r="A12" s="146"/>
      <c r="B12" s="245">
        <v>45110</v>
      </c>
      <c r="C12" s="246">
        <v>45111</v>
      </c>
      <c r="D12" s="159">
        <v>0.33333333333333331</v>
      </c>
      <c r="E12" s="159">
        <v>0.33333333333333331</v>
      </c>
      <c r="F12" s="83"/>
      <c r="G12" s="145"/>
      <c r="H12" s="191">
        <v>1</v>
      </c>
      <c r="I12" s="49"/>
      <c r="J12" s="30"/>
      <c r="K12" s="30"/>
    </row>
    <row r="13" spans="1:11" x14ac:dyDescent="0.2">
      <c r="A13" s="236" t="s">
        <v>448</v>
      </c>
      <c r="B13" s="245">
        <v>45124</v>
      </c>
      <c r="C13" s="246">
        <v>45140</v>
      </c>
      <c r="D13" s="247">
        <v>0.33333333333333331</v>
      </c>
      <c r="E13" s="247">
        <v>0.33333333333333331</v>
      </c>
      <c r="F13" s="83"/>
      <c r="G13" s="145"/>
      <c r="H13" s="145">
        <v>14</v>
      </c>
      <c r="I13" s="49"/>
      <c r="J13" s="30"/>
      <c r="K13" s="30"/>
    </row>
    <row r="14" spans="1:11" x14ac:dyDescent="0.2">
      <c r="A14" s="236"/>
      <c r="B14" s="245">
        <v>45195</v>
      </c>
      <c r="C14" s="246">
        <v>45198</v>
      </c>
      <c r="D14" s="247">
        <v>0.33333333333333331</v>
      </c>
      <c r="E14" s="247">
        <v>0.33333333333333331</v>
      </c>
      <c r="F14" s="83"/>
      <c r="G14" s="145"/>
      <c r="H14" s="145">
        <v>3</v>
      </c>
      <c r="I14" s="49"/>
      <c r="J14" s="30"/>
      <c r="K14" s="30"/>
    </row>
    <row r="15" spans="1:11" x14ac:dyDescent="0.2">
      <c r="A15" s="147"/>
      <c r="B15" s="142">
        <v>45210</v>
      </c>
      <c r="C15" s="143">
        <v>45218</v>
      </c>
      <c r="D15" s="168">
        <v>0.33333333333333331</v>
      </c>
      <c r="E15" s="168">
        <v>0.33333333333333331</v>
      </c>
      <c r="F15" s="83"/>
      <c r="G15" s="145"/>
      <c r="H15" s="145">
        <v>7</v>
      </c>
      <c r="I15" s="49"/>
      <c r="J15" s="30"/>
      <c r="K15" s="30"/>
    </row>
    <row r="16" spans="1:11" x14ac:dyDescent="0.2">
      <c r="A16" s="147"/>
      <c r="B16" s="142">
        <v>45243</v>
      </c>
      <c r="C16" s="143">
        <v>45244</v>
      </c>
      <c r="D16" s="168">
        <v>0.33333333333333331</v>
      </c>
      <c r="E16" s="168">
        <v>0.33333333333333331</v>
      </c>
      <c r="F16" s="145"/>
      <c r="G16" s="145"/>
      <c r="H16" s="145">
        <v>1</v>
      </c>
      <c r="I16" s="49"/>
      <c r="J16" s="30"/>
      <c r="K16" s="30"/>
    </row>
    <row r="17" spans="1:11" x14ac:dyDescent="0.2">
      <c r="A17" s="147"/>
      <c r="B17" s="142">
        <v>45268</v>
      </c>
      <c r="C17" s="143">
        <v>45271</v>
      </c>
      <c r="D17" s="168">
        <v>0.33333333333333331</v>
      </c>
      <c r="E17" s="168">
        <v>0.33333333333333331</v>
      </c>
      <c r="F17" s="145"/>
      <c r="G17" s="145"/>
      <c r="H17" s="145">
        <v>2</v>
      </c>
      <c r="I17" s="49"/>
      <c r="J17" s="30"/>
      <c r="K17" s="30"/>
    </row>
    <row r="18" spans="1:11" x14ac:dyDescent="0.2">
      <c r="A18" s="147"/>
      <c r="B18" s="142">
        <v>45288</v>
      </c>
      <c r="C18" s="143">
        <v>44929</v>
      </c>
      <c r="D18" s="144">
        <v>0.33333333333333331</v>
      </c>
      <c r="E18" s="144">
        <v>0.33333333333333331</v>
      </c>
      <c r="F18" s="81"/>
      <c r="G18" s="145"/>
      <c r="H18" s="145">
        <v>3</v>
      </c>
      <c r="I18" s="49"/>
      <c r="J18" s="30"/>
      <c r="K18" s="30"/>
    </row>
    <row r="19" spans="1:11" x14ac:dyDescent="0.2">
      <c r="A19" s="147"/>
      <c r="B19" s="142">
        <v>45311</v>
      </c>
      <c r="C19" s="143">
        <v>45313</v>
      </c>
      <c r="D19" s="144">
        <v>0.33333333333333331</v>
      </c>
      <c r="E19" s="144">
        <v>0.33333333333333331</v>
      </c>
      <c r="F19" s="81"/>
      <c r="G19" s="681"/>
      <c r="H19" s="145">
        <v>1</v>
      </c>
      <c r="I19" s="46"/>
      <c r="J19" s="30"/>
      <c r="K19" s="30"/>
    </row>
    <row r="20" spans="1:11" x14ac:dyDescent="0.2">
      <c r="A20" s="147"/>
      <c r="B20" s="142">
        <v>45324</v>
      </c>
      <c r="C20" s="143">
        <v>45327</v>
      </c>
      <c r="D20" s="144">
        <v>0.33333333333333331</v>
      </c>
      <c r="E20" s="144">
        <v>0.33333333333333331</v>
      </c>
      <c r="F20" s="81"/>
      <c r="G20" s="681"/>
      <c r="H20" s="145">
        <v>2</v>
      </c>
      <c r="I20" s="46"/>
      <c r="J20" s="30"/>
      <c r="K20" s="30"/>
    </row>
    <row r="21" spans="1:11" x14ac:dyDescent="0.2">
      <c r="A21" s="1238" t="s">
        <v>484</v>
      </c>
      <c r="B21" s="1240"/>
      <c r="C21" s="143"/>
      <c r="D21" s="144"/>
      <c r="E21" s="144"/>
      <c r="F21" s="78"/>
      <c r="G21" s="681"/>
      <c r="H21" s="822">
        <v>-3</v>
      </c>
      <c r="I21" s="40"/>
      <c r="J21" s="30"/>
      <c r="K21" s="30"/>
    </row>
    <row r="22" spans="1:11" x14ac:dyDescent="0.2">
      <c r="A22" s="147"/>
      <c r="B22" s="142" t="s">
        <v>506</v>
      </c>
      <c r="C22" s="142" t="s">
        <v>506</v>
      </c>
      <c r="D22" s="144">
        <v>0.33333333333333331</v>
      </c>
      <c r="E22" s="144">
        <v>0.33333333333333331</v>
      </c>
      <c r="F22" s="78"/>
      <c r="G22" s="681"/>
      <c r="H22" s="145">
        <v>1</v>
      </c>
      <c r="I22" s="40"/>
      <c r="J22" s="30"/>
      <c r="K22" s="30"/>
    </row>
    <row r="23" spans="1:11" x14ac:dyDescent="0.2">
      <c r="A23" s="147"/>
      <c r="B23" s="142" t="s">
        <v>532</v>
      </c>
      <c r="C23" s="143" t="s">
        <v>529</v>
      </c>
      <c r="D23" s="144"/>
      <c r="E23" s="144"/>
      <c r="F23" s="78"/>
      <c r="G23" s="681"/>
      <c r="H23" s="145">
        <v>4</v>
      </c>
      <c r="I23" s="40"/>
      <c r="J23" s="41"/>
      <c r="K23" s="41"/>
    </row>
    <row r="24" spans="1:11" x14ac:dyDescent="0.2">
      <c r="A24" s="51"/>
      <c r="B24" s="52">
        <v>45463</v>
      </c>
      <c r="C24" s="53">
        <v>45465</v>
      </c>
      <c r="D24" s="54"/>
      <c r="E24" s="54"/>
      <c r="F24" s="48"/>
      <c r="G24" s="681"/>
      <c r="H24" s="276">
        <v>3</v>
      </c>
      <c r="I24" s="49"/>
      <c r="J24" s="30"/>
      <c r="K24" s="30"/>
    </row>
    <row r="25" spans="1:11" x14ac:dyDescent="0.2">
      <c r="A25" s="51"/>
      <c r="B25" s="52">
        <v>45534</v>
      </c>
      <c r="C25" s="53">
        <v>45535</v>
      </c>
      <c r="D25" s="54"/>
      <c r="E25" s="54"/>
      <c r="F25" s="48"/>
      <c r="G25" s="681"/>
      <c r="H25" s="276">
        <v>2</v>
      </c>
      <c r="I25" s="49"/>
      <c r="J25" s="30"/>
      <c r="K25" s="30"/>
    </row>
    <row r="26" spans="1:11" x14ac:dyDescent="0.2">
      <c r="A26" s="55"/>
      <c r="B26" s="58">
        <v>45556</v>
      </c>
      <c r="C26" s="56">
        <v>45556</v>
      </c>
      <c r="D26" s="57"/>
      <c r="E26" s="57"/>
      <c r="F26" s="48"/>
      <c r="G26" s="691"/>
      <c r="H26" s="66">
        <v>1</v>
      </c>
      <c r="I26" s="49"/>
      <c r="J26" s="30"/>
      <c r="K26" s="30"/>
    </row>
    <row r="27" spans="1:11" x14ac:dyDescent="0.2">
      <c r="A27" s="1261" t="s">
        <v>642</v>
      </c>
      <c r="B27" s="1261"/>
      <c r="C27" s="686"/>
      <c r="D27" s="687"/>
      <c r="E27" s="687"/>
      <c r="F27" s="683"/>
      <c r="G27" s="691"/>
      <c r="H27" s="848">
        <v>-5</v>
      </c>
      <c r="I27" s="49"/>
      <c r="J27" s="30"/>
      <c r="K27" s="30"/>
    </row>
    <row r="28" spans="1:11" x14ac:dyDescent="0.2">
      <c r="A28" s="1262" t="s">
        <v>654</v>
      </c>
      <c r="B28" s="1262"/>
      <c r="C28" s="686"/>
      <c r="D28" s="687"/>
      <c r="E28" s="687"/>
      <c r="F28" s="683"/>
      <c r="G28" s="691"/>
      <c r="H28" s="848">
        <v>-3</v>
      </c>
      <c r="I28" s="49"/>
      <c r="J28" s="30"/>
      <c r="K28" s="30"/>
    </row>
    <row r="29" spans="1:11" x14ac:dyDescent="0.2">
      <c r="A29" s="1262" t="s">
        <v>671</v>
      </c>
      <c r="B29" s="1262"/>
      <c r="C29" s="686"/>
      <c r="D29" s="687"/>
      <c r="E29" s="687"/>
      <c r="F29" s="683"/>
      <c r="G29" s="691"/>
      <c r="H29" s="848">
        <v>-2</v>
      </c>
      <c r="I29" s="49"/>
      <c r="J29" s="30"/>
      <c r="K29" s="30"/>
    </row>
    <row r="30" spans="1:11" x14ac:dyDescent="0.2">
      <c r="A30" s="685"/>
      <c r="B30" s="688">
        <v>45686</v>
      </c>
      <c r="C30" s="686">
        <v>45689</v>
      </c>
      <c r="D30" s="687"/>
      <c r="E30" s="687"/>
      <c r="F30" s="683"/>
      <c r="G30" s="691"/>
      <c r="H30" s="692">
        <v>4</v>
      </c>
      <c r="I30" s="49"/>
      <c r="J30" s="30"/>
      <c r="K30" s="30"/>
    </row>
    <row r="31" spans="1:11" x14ac:dyDescent="0.2">
      <c r="A31" s="1262" t="s">
        <v>678</v>
      </c>
      <c r="B31" s="1262"/>
      <c r="C31" s="686"/>
      <c r="D31" s="687"/>
      <c r="E31" s="687"/>
      <c r="F31" s="683"/>
      <c r="G31" s="691"/>
      <c r="H31" s="848">
        <v>-2</v>
      </c>
      <c r="I31" s="49"/>
      <c r="J31" s="30"/>
      <c r="K31" s="30"/>
    </row>
    <row r="32" spans="1:11" x14ac:dyDescent="0.2">
      <c r="A32" s="1262" t="s">
        <v>684</v>
      </c>
      <c r="B32" s="1262"/>
      <c r="C32" s="686"/>
      <c r="D32" s="687"/>
      <c r="E32" s="687"/>
      <c r="F32" s="683"/>
      <c r="G32" s="691"/>
      <c r="H32" s="848">
        <v>-2</v>
      </c>
      <c r="I32" s="49"/>
      <c r="J32" s="30"/>
      <c r="K32" s="30"/>
    </row>
    <row r="33" spans="1:11" s="699" customFormat="1" x14ac:dyDescent="0.2">
      <c r="A33" s="1262" t="s">
        <v>706</v>
      </c>
      <c r="B33" s="1262"/>
      <c r="C33" s="686"/>
      <c r="D33" s="687"/>
      <c r="E33" s="687"/>
      <c r="F33" s="683"/>
      <c r="G33" s="691"/>
      <c r="H33" s="848">
        <v>-2</v>
      </c>
      <c r="I33" s="684"/>
      <c r="J33" s="670"/>
      <c r="K33" s="670"/>
    </row>
    <row r="34" spans="1:11" s="759" customFormat="1" x14ac:dyDescent="0.2">
      <c r="A34" s="850"/>
      <c r="B34" s="850">
        <v>45793</v>
      </c>
      <c r="C34" s="686">
        <v>45794</v>
      </c>
      <c r="D34" s="687"/>
      <c r="E34" s="687"/>
      <c r="F34" s="683"/>
      <c r="G34" s="691"/>
      <c r="H34" s="692">
        <v>1</v>
      </c>
      <c r="I34" s="684"/>
      <c r="J34" s="670"/>
      <c r="K34" s="670"/>
    </row>
    <row r="35" spans="1:11" s="699" customFormat="1" x14ac:dyDescent="0.2">
      <c r="A35" s="1262" t="s">
        <v>794</v>
      </c>
      <c r="B35" s="1262"/>
      <c r="C35" s="686"/>
      <c r="D35" s="733"/>
      <c r="E35" s="733"/>
      <c r="F35" s="723"/>
      <c r="G35" s="723"/>
      <c r="H35" s="929">
        <v>-1</v>
      </c>
      <c r="I35" s="684"/>
      <c r="J35" s="670"/>
    </row>
    <row r="36" spans="1:11" s="759" customFormat="1" x14ac:dyDescent="0.2">
      <c r="A36" s="850"/>
      <c r="B36" s="850">
        <v>45852</v>
      </c>
      <c r="C36" s="686">
        <v>45866</v>
      </c>
      <c r="D36" s="687">
        <v>0.33333333333333331</v>
      </c>
      <c r="E36" s="687">
        <v>0.33333333333333331</v>
      </c>
      <c r="F36" s="683"/>
      <c r="G36" s="691"/>
      <c r="H36" s="692">
        <v>11</v>
      </c>
      <c r="I36" s="684"/>
      <c r="J36" s="670"/>
      <c r="K36" s="670"/>
    </row>
    <row r="37" spans="1:11" s="759" customFormat="1" x14ac:dyDescent="0.2">
      <c r="A37" s="850"/>
      <c r="B37" s="850">
        <v>45961</v>
      </c>
      <c r="C37" s="686">
        <v>45964</v>
      </c>
      <c r="D37" s="687"/>
      <c r="E37" s="687"/>
      <c r="F37" s="683"/>
      <c r="G37" s="691"/>
      <c r="H37" s="692">
        <v>2</v>
      </c>
      <c r="I37" s="684"/>
      <c r="J37" s="670"/>
      <c r="K37" s="670"/>
    </row>
    <row r="38" spans="1:11" s="759" customFormat="1" x14ac:dyDescent="0.2">
      <c r="A38" s="850"/>
      <c r="B38" s="850">
        <v>45981</v>
      </c>
      <c r="C38" s="686">
        <v>45986</v>
      </c>
      <c r="D38" s="687"/>
      <c r="E38" s="687"/>
      <c r="F38" s="683"/>
      <c r="G38" s="691"/>
      <c r="H38" s="692">
        <v>4</v>
      </c>
      <c r="I38" s="684"/>
      <c r="J38" s="670"/>
      <c r="K38" s="670"/>
    </row>
    <row r="39" spans="1:11" s="759" customFormat="1" x14ac:dyDescent="0.2">
      <c r="A39" s="850"/>
      <c r="B39" s="850">
        <v>46008</v>
      </c>
      <c r="C39" s="686">
        <v>46013</v>
      </c>
      <c r="D39" s="687"/>
      <c r="E39" s="687"/>
      <c r="F39" s="683"/>
      <c r="G39" s="691"/>
      <c r="H39" s="692">
        <v>4</v>
      </c>
      <c r="I39" s="684"/>
      <c r="J39" s="670"/>
      <c r="K39" s="670"/>
    </row>
    <row r="40" spans="1:11" s="759" customFormat="1" x14ac:dyDescent="0.2">
      <c r="A40" s="850"/>
      <c r="B40" s="850">
        <v>46036</v>
      </c>
      <c r="C40" s="686">
        <v>46037</v>
      </c>
      <c r="D40" s="687"/>
      <c r="E40" s="687"/>
      <c r="F40" s="683"/>
      <c r="G40" s="691"/>
      <c r="H40" s="692">
        <v>1</v>
      </c>
      <c r="I40" s="684"/>
      <c r="J40" s="670"/>
      <c r="K40" s="670"/>
    </row>
    <row r="41" spans="1:11" s="759" customFormat="1" x14ac:dyDescent="0.2">
      <c r="A41" s="850"/>
      <c r="B41" s="850">
        <v>46104</v>
      </c>
      <c r="C41" s="686">
        <v>46105</v>
      </c>
      <c r="D41" s="687"/>
      <c r="E41" s="687"/>
      <c r="F41" s="683"/>
      <c r="G41" s="691"/>
      <c r="H41" s="692">
        <v>1</v>
      </c>
      <c r="I41" s="684"/>
      <c r="J41" s="670"/>
      <c r="K41" s="670"/>
    </row>
    <row r="42" spans="1:11" s="759" customFormat="1" x14ac:dyDescent="0.2">
      <c r="A42" s="850"/>
      <c r="B42" s="850">
        <v>46174</v>
      </c>
      <c r="C42" s="686">
        <v>46175</v>
      </c>
      <c r="D42" s="687"/>
      <c r="E42" s="687"/>
      <c r="F42" s="683"/>
      <c r="G42" s="691"/>
      <c r="H42" s="692">
        <v>1</v>
      </c>
      <c r="I42" s="684"/>
      <c r="J42" s="670"/>
      <c r="K42" s="670"/>
    </row>
    <row r="43" spans="1:11" s="759" customFormat="1" x14ac:dyDescent="0.2">
      <c r="A43" s="850"/>
      <c r="B43" s="850"/>
      <c r="C43" s="686"/>
      <c r="D43" s="687"/>
      <c r="E43" s="687"/>
      <c r="F43" s="683"/>
      <c r="G43" s="691"/>
      <c r="H43" s="692"/>
      <c r="I43" s="684"/>
      <c r="J43" s="670"/>
      <c r="K43" s="670"/>
    </row>
    <row r="44" spans="1:11" s="759" customFormat="1" x14ac:dyDescent="0.2">
      <c r="A44" s="850"/>
      <c r="B44" s="850"/>
      <c r="C44" s="686"/>
      <c r="D44" s="687"/>
      <c r="E44" s="687"/>
      <c r="F44" s="683"/>
      <c r="G44" s="691"/>
      <c r="H44" s="692"/>
      <c r="I44" s="684"/>
      <c r="J44" s="670"/>
      <c r="K44" s="670"/>
    </row>
    <row r="45" spans="1:11" s="759" customFormat="1" x14ac:dyDescent="0.2">
      <c r="A45" s="850"/>
      <c r="B45" s="850"/>
      <c r="C45" s="686"/>
      <c r="D45" s="687"/>
      <c r="E45" s="687"/>
      <c r="F45" s="683"/>
      <c r="G45" s="691"/>
      <c r="H45" s="692"/>
      <c r="I45" s="684"/>
      <c r="J45" s="670"/>
      <c r="K45" s="670"/>
    </row>
    <row r="46" spans="1:11" x14ac:dyDescent="0.2">
      <c r="A46" s="685"/>
      <c r="B46" s="688"/>
      <c r="C46" s="686"/>
      <c r="D46" s="687"/>
      <c r="E46" s="687"/>
      <c r="F46" s="683"/>
      <c r="G46" s="691"/>
      <c r="H46" s="691"/>
      <c r="I46" s="49"/>
      <c r="J46" s="30"/>
      <c r="K46" s="30"/>
    </row>
    <row r="47" spans="1:11" x14ac:dyDescent="0.2">
      <c r="A47" s="72"/>
      <c r="B47" s="73"/>
      <c r="C47" s="74"/>
      <c r="D47" s="75"/>
      <c r="E47" s="75"/>
      <c r="F47" s="277" t="s">
        <v>123</v>
      </c>
      <c r="G47" s="77">
        <f>SUM(G5:G46)</f>
        <v>60</v>
      </c>
      <c r="H47" s="77">
        <f>SUM(H7:H46)</f>
        <v>64.5</v>
      </c>
      <c r="I47" s="61"/>
      <c r="J47" s="30"/>
      <c r="K47" s="30"/>
    </row>
    <row r="48" spans="1:11" x14ac:dyDescent="0.2">
      <c r="A48" s="30"/>
      <c r="B48" s="30"/>
      <c r="C48" s="30"/>
      <c r="D48" s="62"/>
      <c r="E48" s="62"/>
      <c r="F48" s="62"/>
      <c r="G48" s="63"/>
      <c r="H48" s="63"/>
      <c r="I48" s="63"/>
      <c r="J48" s="30"/>
      <c r="K48" s="30"/>
    </row>
    <row r="49" spans="1:11" ht="14.25" x14ac:dyDescent="0.2">
      <c r="A49" s="30"/>
      <c r="B49" s="30"/>
      <c r="C49" s="30"/>
      <c r="D49" s="62"/>
      <c r="E49" s="62"/>
      <c r="F49" s="1153" t="s">
        <v>8</v>
      </c>
      <c r="G49" s="1154"/>
      <c r="H49" s="84">
        <f>G47-H47</f>
        <v>-4.5</v>
      </c>
      <c r="I49" s="63"/>
      <c r="J49" s="30"/>
      <c r="K49" s="30"/>
    </row>
  </sheetData>
  <mergeCells count="11">
    <mergeCell ref="F49:G49"/>
    <mergeCell ref="J1:J3"/>
    <mergeCell ref="A21:B21"/>
    <mergeCell ref="A27:B27"/>
    <mergeCell ref="A28:B28"/>
    <mergeCell ref="A29:B29"/>
    <mergeCell ref="A31:B31"/>
    <mergeCell ref="A32:B32"/>
    <mergeCell ref="C1:H5"/>
    <mergeCell ref="A33:B33"/>
    <mergeCell ref="A35:B35"/>
  </mergeCells>
  <hyperlinks>
    <hyperlink ref="J1:J3" location="'ANA SAYFA'!A1" display="ANA SAYFA"/>
  </hyperlinks>
  <pageMargins left="0.7" right="0.12" top="0.12" bottom="0.75" header="0.12" footer="0.3"/>
  <pageSetup paperSize="9" scale="70" fitToHeight="0" orientation="portrait" horizontalDpi="300" verticalDpi="300" r:id="rId1"/>
  <colBreaks count="1" manualBreakCount="1">
    <brk id="9" max="1048575" man="1"/>
  </col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zoomScaleNormal="100" workbookViewId="0">
      <pane ySplit="6" topLeftCell="A7" activePane="bottomLeft" state="frozen"/>
      <selection pane="bottomLeft" activeCell="A18" sqref="A18"/>
    </sheetView>
  </sheetViews>
  <sheetFormatPr defaultColWidth="9.140625" defaultRowHeight="12.75" x14ac:dyDescent="0.2"/>
  <cols>
    <col min="1" max="1" width="18.140625" style="82" bestFit="1" customWidth="1"/>
    <col min="2" max="2" width="26.7109375" style="82" bestFit="1" customWidth="1"/>
    <col min="3" max="3" width="27.5703125" style="82" bestFit="1" customWidth="1"/>
    <col min="4" max="5" width="9.28515625" style="82" bestFit="1" customWidth="1"/>
    <col min="6" max="6" width="18.85546875" style="82" bestFit="1" customWidth="1"/>
    <col min="7" max="7" width="15.28515625" style="82" customWidth="1"/>
    <col min="8" max="8" width="12.7109375" style="82" bestFit="1" customWidth="1"/>
    <col min="9" max="9" width="3.7109375" style="82" customWidth="1"/>
    <col min="10" max="10" width="10.140625" style="82" bestFit="1" customWidth="1"/>
    <col min="11" max="16384" width="9.140625" style="82"/>
  </cols>
  <sheetData>
    <row r="1" spans="1:11" ht="15.75" customHeight="1" x14ac:dyDescent="0.2">
      <c r="A1" s="29" t="s">
        <v>135</v>
      </c>
      <c r="B1" s="289" t="str">
        <f>'ANA SAYFA'!B59</f>
        <v>VURAL PAPAKÇI</v>
      </c>
      <c r="C1" s="1166" t="s">
        <v>136</v>
      </c>
      <c r="D1" s="1166"/>
      <c r="E1" s="1166"/>
      <c r="F1" s="1166"/>
      <c r="G1" s="1166"/>
      <c r="H1" s="1166"/>
      <c r="I1" s="28"/>
      <c r="J1" s="1183" t="s">
        <v>712</v>
      </c>
      <c r="K1" s="30"/>
    </row>
    <row r="2" spans="1:11" ht="15.75" customHeight="1" x14ac:dyDescent="0.2">
      <c r="A2" s="29" t="s">
        <v>137</v>
      </c>
      <c r="B2" s="154">
        <f>'ANA SAYFA'!D59</f>
        <v>14822550636</v>
      </c>
      <c r="C2" s="1166"/>
      <c r="D2" s="1166"/>
      <c r="E2" s="1166"/>
      <c r="F2" s="1166"/>
      <c r="G2" s="1166"/>
      <c r="H2" s="1166"/>
      <c r="I2" s="28"/>
      <c r="J2" s="1184"/>
      <c r="K2" s="30"/>
    </row>
    <row r="3" spans="1:11" ht="15.75" customHeight="1" thickBot="1" x14ac:dyDescent="0.25">
      <c r="A3" s="29" t="s">
        <v>131</v>
      </c>
      <c r="B3" s="153" t="str">
        <f>'ANA SAYFA'!C59</f>
        <v>SİLİNDİR OPERATÖR</v>
      </c>
      <c r="C3" s="1166"/>
      <c r="D3" s="1166"/>
      <c r="E3" s="1166"/>
      <c r="F3" s="1166"/>
      <c r="G3" s="1166"/>
      <c r="H3" s="1166"/>
      <c r="I3" s="28"/>
      <c r="J3" s="1185"/>
      <c r="K3" s="30"/>
    </row>
    <row r="4" spans="1:11" ht="15.75" customHeight="1" x14ac:dyDescent="0.2">
      <c r="A4" s="29" t="s">
        <v>120</v>
      </c>
      <c r="B4" s="83">
        <f>'ANA SAYFA'!E59</f>
        <v>44648</v>
      </c>
      <c r="C4" s="1166"/>
      <c r="D4" s="1166"/>
      <c r="E4" s="1166"/>
      <c r="F4" s="1166"/>
      <c r="G4" s="1166"/>
      <c r="H4" s="1166"/>
      <c r="I4" s="28"/>
      <c r="J4" s="30"/>
      <c r="K4" s="30"/>
    </row>
    <row r="5" spans="1:11" ht="15.75" customHeight="1" x14ac:dyDescent="0.2">
      <c r="A5" s="29" t="s">
        <v>130</v>
      </c>
      <c r="B5" s="83">
        <f>'ANA SAYFA'!F59</f>
        <v>33336</v>
      </c>
      <c r="C5" s="1166"/>
      <c r="D5" s="1166"/>
      <c r="E5" s="1166"/>
      <c r="F5" s="1166"/>
      <c r="G5" s="1166"/>
      <c r="H5" s="1166"/>
      <c r="I5" s="28"/>
      <c r="J5" s="699"/>
      <c r="K5" s="699"/>
    </row>
    <row r="6" spans="1:11" ht="31.5" x14ac:dyDescent="0.2">
      <c r="A6" s="69" t="s">
        <v>0</v>
      </c>
      <c r="B6" s="70" t="s">
        <v>1</v>
      </c>
      <c r="C6" s="69" t="s">
        <v>2</v>
      </c>
      <c r="D6" s="71" t="s">
        <v>133</v>
      </c>
      <c r="E6" s="71" t="s">
        <v>4</v>
      </c>
      <c r="F6" s="71" t="s">
        <v>7</v>
      </c>
      <c r="G6" s="71" t="s">
        <v>6</v>
      </c>
      <c r="H6" s="71" t="s">
        <v>16</v>
      </c>
      <c r="I6" s="34"/>
      <c r="J6" s="699"/>
      <c r="K6" s="699"/>
    </row>
    <row r="7" spans="1:11" x14ac:dyDescent="0.2">
      <c r="A7" s="139"/>
      <c r="B7" s="155">
        <v>44723</v>
      </c>
      <c r="C7" s="156">
        <v>44723</v>
      </c>
      <c r="D7" s="168">
        <v>0.33333333333333331</v>
      </c>
      <c r="E7" s="168">
        <v>0.33333333333333331</v>
      </c>
      <c r="F7" s="244" t="s">
        <v>411</v>
      </c>
      <c r="G7" s="145">
        <v>14</v>
      </c>
      <c r="H7" s="755">
        <v>1</v>
      </c>
      <c r="I7" s="49"/>
      <c r="J7" s="30"/>
      <c r="K7" s="30"/>
    </row>
    <row r="8" spans="1:11" x14ac:dyDescent="0.2">
      <c r="A8" s="139"/>
      <c r="B8" s="155">
        <v>45103</v>
      </c>
      <c r="C8" s="156">
        <v>45110</v>
      </c>
      <c r="D8" s="168">
        <v>0.33333333333333331</v>
      </c>
      <c r="E8" s="168">
        <v>0.33333333333333331</v>
      </c>
      <c r="F8" s="244" t="s">
        <v>743</v>
      </c>
      <c r="G8" s="145">
        <v>14</v>
      </c>
      <c r="H8" s="755">
        <v>1</v>
      </c>
      <c r="I8" s="49"/>
      <c r="J8" s="30"/>
      <c r="K8" s="30"/>
    </row>
    <row r="9" spans="1:11" x14ac:dyDescent="0.2">
      <c r="A9" s="141"/>
      <c r="B9" s="155">
        <v>45185</v>
      </c>
      <c r="C9" s="158">
        <v>45187</v>
      </c>
      <c r="D9" s="168">
        <v>0.33333333333333331</v>
      </c>
      <c r="E9" s="168">
        <v>0.33333333333333331</v>
      </c>
      <c r="F9" s="244" t="s">
        <v>744</v>
      </c>
      <c r="G9" s="145">
        <v>14</v>
      </c>
      <c r="H9" s="755">
        <v>1</v>
      </c>
      <c r="I9" s="49"/>
      <c r="J9" s="30"/>
      <c r="K9" s="30"/>
    </row>
    <row r="10" spans="1:11" x14ac:dyDescent="0.2">
      <c r="A10" s="141"/>
      <c r="B10" s="245">
        <v>45234</v>
      </c>
      <c r="C10" s="246">
        <v>45236</v>
      </c>
      <c r="D10" s="168">
        <v>0.33333333333333331</v>
      </c>
      <c r="E10" s="168">
        <v>0.33333333333333331</v>
      </c>
      <c r="F10" s="244" t="s">
        <v>965</v>
      </c>
      <c r="G10" s="145">
        <v>14</v>
      </c>
      <c r="H10" s="755">
        <v>1</v>
      </c>
      <c r="I10" s="49"/>
      <c r="J10" s="30"/>
      <c r="K10" s="30"/>
    </row>
    <row r="11" spans="1:11" x14ac:dyDescent="0.2">
      <c r="A11" s="141"/>
      <c r="B11" s="245">
        <v>45283</v>
      </c>
      <c r="C11" s="246">
        <v>45285</v>
      </c>
      <c r="D11" s="168">
        <v>0.33333333333333331</v>
      </c>
      <c r="E11" s="168">
        <v>0.33333333333333331</v>
      </c>
      <c r="F11" s="144"/>
      <c r="G11" s="145"/>
      <c r="H11" s="436">
        <v>1</v>
      </c>
      <c r="I11" s="49"/>
      <c r="J11" s="30"/>
      <c r="K11" s="30"/>
    </row>
    <row r="12" spans="1:11" x14ac:dyDescent="0.2">
      <c r="A12" s="141"/>
      <c r="B12" s="142">
        <v>45303</v>
      </c>
      <c r="C12" s="143">
        <v>45307</v>
      </c>
      <c r="D12" s="144">
        <v>800</v>
      </c>
      <c r="E12" s="144">
        <v>0.33333333333333331</v>
      </c>
      <c r="F12" s="144"/>
      <c r="G12" s="145"/>
      <c r="H12" s="237">
        <v>3</v>
      </c>
    </row>
    <row r="13" spans="1:11" x14ac:dyDescent="0.2">
      <c r="A13" s="141"/>
      <c r="B13" s="142">
        <v>45332</v>
      </c>
      <c r="C13" s="143">
        <v>45334</v>
      </c>
      <c r="D13" s="144">
        <v>0.33333333333333331</v>
      </c>
      <c r="E13" s="144">
        <v>0.33333333333333331</v>
      </c>
      <c r="F13" s="144"/>
      <c r="G13" s="145"/>
      <c r="H13" s="237">
        <v>1</v>
      </c>
    </row>
    <row r="14" spans="1:11" x14ac:dyDescent="0.2">
      <c r="A14" s="141"/>
      <c r="B14" s="142">
        <v>45358</v>
      </c>
      <c r="C14" s="143">
        <v>45364</v>
      </c>
      <c r="D14" s="144">
        <v>0.33333333333333331</v>
      </c>
      <c r="E14" s="144">
        <v>0.33333333333333331</v>
      </c>
      <c r="F14" s="144"/>
      <c r="G14" s="145"/>
      <c r="H14" s="237">
        <v>5</v>
      </c>
    </row>
    <row r="15" spans="1:11" x14ac:dyDescent="0.2">
      <c r="A15" s="141"/>
      <c r="B15" s="142" t="s">
        <v>526</v>
      </c>
      <c r="C15" s="143" t="s">
        <v>527</v>
      </c>
      <c r="D15" s="144">
        <v>0.33333333333333331</v>
      </c>
      <c r="E15" s="144">
        <v>0.33333333333333331</v>
      </c>
      <c r="F15" s="144"/>
      <c r="G15" s="145"/>
      <c r="H15" s="237">
        <v>1</v>
      </c>
    </row>
    <row r="16" spans="1:11" x14ac:dyDescent="0.2">
      <c r="A16" s="141"/>
      <c r="B16" s="142">
        <v>45457</v>
      </c>
      <c r="C16" s="143">
        <v>45457</v>
      </c>
      <c r="D16" s="722">
        <v>0.33333333333333331</v>
      </c>
      <c r="E16" s="722">
        <v>0.33333333333333331</v>
      </c>
      <c r="F16" s="144"/>
      <c r="G16" s="145"/>
      <c r="H16" s="237">
        <v>1</v>
      </c>
    </row>
    <row r="17" spans="1:8" x14ac:dyDescent="0.2">
      <c r="A17" s="141"/>
      <c r="B17" s="142">
        <v>45562</v>
      </c>
      <c r="C17" s="143">
        <v>45563</v>
      </c>
      <c r="D17" s="722">
        <v>0.33333333333333331</v>
      </c>
      <c r="E17" s="722">
        <v>0.33333333333333331</v>
      </c>
      <c r="F17" s="253"/>
      <c r="G17" s="145"/>
      <c r="H17" s="237">
        <v>2</v>
      </c>
    </row>
    <row r="18" spans="1:8" x14ac:dyDescent="0.2">
      <c r="A18" s="141"/>
      <c r="B18" s="142">
        <v>45626</v>
      </c>
      <c r="C18" s="143">
        <v>45626</v>
      </c>
      <c r="D18" s="722">
        <v>0.33333333333333331</v>
      </c>
      <c r="E18" s="722">
        <v>0.33333333333333331</v>
      </c>
      <c r="F18" s="253"/>
      <c r="G18" s="145"/>
      <c r="H18" s="237">
        <v>1</v>
      </c>
    </row>
    <row r="19" spans="1:8" x14ac:dyDescent="0.2">
      <c r="A19" s="141"/>
      <c r="B19" s="142">
        <v>45640</v>
      </c>
      <c r="C19" s="143">
        <v>45640</v>
      </c>
      <c r="D19" s="722">
        <v>0.33333333333333331</v>
      </c>
      <c r="E19" s="722">
        <v>0.33333333333333331</v>
      </c>
      <c r="F19" s="253"/>
      <c r="G19" s="145"/>
      <c r="H19" s="237">
        <v>1</v>
      </c>
    </row>
    <row r="20" spans="1:8" x14ac:dyDescent="0.2">
      <c r="A20" s="141"/>
      <c r="B20" s="142">
        <v>45730</v>
      </c>
      <c r="C20" s="143">
        <v>45731</v>
      </c>
      <c r="D20" s="722">
        <v>0.33333333333333331</v>
      </c>
      <c r="E20" s="722">
        <v>0.33333333333333331</v>
      </c>
      <c r="F20" s="253"/>
      <c r="G20" s="145"/>
      <c r="H20" s="237">
        <v>2</v>
      </c>
    </row>
    <row r="21" spans="1:8" s="699" customFormat="1" x14ac:dyDescent="0.2">
      <c r="A21" s="719"/>
      <c r="B21" s="720">
        <v>45812</v>
      </c>
      <c r="C21" s="721">
        <v>45813</v>
      </c>
      <c r="D21" s="722">
        <v>0.33333333333333331</v>
      </c>
      <c r="E21" s="722">
        <v>0.33333333333333331</v>
      </c>
      <c r="F21" s="253"/>
      <c r="G21" s="723"/>
      <c r="H21" s="237">
        <v>1</v>
      </c>
    </row>
    <row r="22" spans="1:8" s="699" customFormat="1" x14ac:dyDescent="0.2">
      <c r="A22" s="719"/>
      <c r="B22" s="720">
        <v>45831</v>
      </c>
      <c r="C22" s="721">
        <v>45833</v>
      </c>
      <c r="D22" s="722">
        <v>0.33333333333333331</v>
      </c>
      <c r="E22" s="722">
        <v>0.33333333333333331</v>
      </c>
      <c r="F22" s="253"/>
      <c r="G22" s="723"/>
      <c r="H22" s="237">
        <v>3</v>
      </c>
    </row>
    <row r="23" spans="1:8" s="699" customFormat="1" x14ac:dyDescent="0.2">
      <c r="A23" s="719"/>
      <c r="B23" s="720">
        <v>45948</v>
      </c>
      <c r="C23" s="721">
        <v>45949</v>
      </c>
      <c r="D23" s="722">
        <v>0.33333333333333331</v>
      </c>
      <c r="E23" s="722">
        <v>0.33333333333333331</v>
      </c>
      <c r="F23" s="253"/>
      <c r="G23" s="723"/>
      <c r="H23" s="237">
        <v>1</v>
      </c>
    </row>
    <row r="24" spans="1:8" s="699" customFormat="1" x14ac:dyDescent="0.2">
      <c r="A24" s="719"/>
      <c r="B24" s="720">
        <v>45981</v>
      </c>
      <c r="C24" s="721">
        <v>45982</v>
      </c>
      <c r="D24" s="722">
        <v>0.33333333333333331</v>
      </c>
      <c r="E24" s="722">
        <v>0.33333333333333331</v>
      </c>
      <c r="F24" s="253"/>
      <c r="G24" s="723"/>
      <c r="H24" s="237">
        <v>1</v>
      </c>
    </row>
    <row r="25" spans="1:8" s="699" customFormat="1" x14ac:dyDescent="0.2">
      <c r="A25" s="719"/>
      <c r="B25" s="720">
        <v>46165</v>
      </c>
      <c r="C25" s="721">
        <v>46174</v>
      </c>
      <c r="D25" s="722"/>
      <c r="E25" s="722"/>
      <c r="F25" s="253"/>
      <c r="G25" s="723"/>
      <c r="H25" s="237">
        <v>2</v>
      </c>
    </row>
    <row r="26" spans="1:8" s="699" customFormat="1" x14ac:dyDescent="0.2">
      <c r="A26" s="719"/>
      <c r="B26" s="720"/>
      <c r="C26" s="721"/>
      <c r="D26" s="722"/>
      <c r="E26" s="722"/>
      <c r="F26" s="253"/>
      <c r="G26" s="723"/>
      <c r="H26" s="237"/>
    </row>
    <row r="27" spans="1:8" s="699" customFormat="1" x14ac:dyDescent="0.2">
      <c r="A27" s="719"/>
      <c r="B27" s="720"/>
      <c r="C27" s="721"/>
      <c r="D27" s="722"/>
      <c r="E27" s="722"/>
      <c r="F27" s="253"/>
      <c r="G27" s="723"/>
      <c r="H27" s="237"/>
    </row>
    <row r="28" spans="1:8" x14ac:dyDescent="0.2">
      <c r="A28" s="146"/>
      <c r="B28" s="142"/>
      <c r="C28" s="143"/>
      <c r="D28" s="144"/>
      <c r="E28" s="144"/>
      <c r="F28" s="253"/>
      <c r="G28" s="145"/>
      <c r="H28" s="237"/>
    </row>
    <row r="29" spans="1:8" x14ac:dyDescent="0.2">
      <c r="A29" s="55"/>
      <c r="B29" s="142"/>
      <c r="C29" s="143"/>
      <c r="D29" s="144"/>
      <c r="E29" s="144"/>
      <c r="F29" s="253"/>
      <c r="G29" s="145"/>
      <c r="H29" s="237"/>
    </row>
    <row r="30" spans="1:8" x14ac:dyDescent="0.2">
      <c r="A30" s="55"/>
      <c r="B30" s="142"/>
      <c r="C30" s="143"/>
      <c r="D30" s="144"/>
      <c r="E30" s="144"/>
      <c r="F30" s="253"/>
      <c r="G30" s="145"/>
      <c r="H30" s="237"/>
    </row>
    <row r="31" spans="1:8" x14ac:dyDescent="0.2">
      <c r="A31" s="55"/>
      <c r="B31" s="142"/>
      <c r="C31" s="143"/>
      <c r="D31" s="144"/>
      <c r="E31" s="144"/>
      <c r="F31" s="253"/>
      <c r="G31" s="145"/>
      <c r="H31" s="237"/>
    </row>
    <row r="32" spans="1:8" x14ac:dyDescent="0.2">
      <c r="A32" s="55"/>
      <c r="B32" s="142"/>
      <c r="C32" s="143"/>
      <c r="D32" s="144"/>
      <c r="E32" s="144"/>
      <c r="F32" s="253"/>
      <c r="G32" s="145"/>
      <c r="H32" s="237"/>
    </row>
    <row r="33" spans="1:8" x14ac:dyDescent="0.2">
      <c r="A33" s="55"/>
      <c r="B33" s="142"/>
      <c r="C33" s="143"/>
      <c r="D33" s="144"/>
      <c r="E33" s="144"/>
      <c r="F33" s="253"/>
      <c r="G33" s="145"/>
      <c r="H33" s="237"/>
    </row>
    <row r="34" spans="1:8" x14ac:dyDescent="0.2">
      <c r="A34" s="55"/>
      <c r="B34" s="142"/>
      <c r="C34" s="143"/>
      <c r="D34" s="144"/>
      <c r="E34" s="144"/>
      <c r="F34" s="253"/>
      <c r="G34" s="145"/>
      <c r="H34" s="237"/>
    </row>
    <row r="35" spans="1:8" x14ac:dyDescent="0.2">
      <c r="A35" s="55"/>
      <c r="B35" s="142"/>
      <c r="C35" s="143"/>
      <c r="D35" s="144"/>
      <c r="E35" s="144"/>
      <c r="F35" s="253"/>
      <c r="G35" s="145"/>
      <c r="H35" s="237"/>
    </row>
    <row r="36" spans="1:8" x14ac:dyDescent="0.2">
      <c r="A36" s="55"/>
      <c r="B36" s="142"/>
      <c r="C36" s="143"/>
      <c r="D36" s="144"/>
      <c r="E36" s="144"/>
      <c r="F36" s="253"/>
      <c r="G36" s="145"/>
      <c r="H36" s="237"/>
    </row>
    <row r="37" spans="1:8" x14ac:dyDescent="0.2">
      <c r="A37" s="147"/>
      <c r="B37" s="142"/>
      <c r="C37" s="143"/>
      <c r="D37" s="144"/>
      <c r="E37" s="144"/>
      <c r="F37" s="81"/>
      <c r="G37" s="66"/>
      <c r="H37" s="237"/>
    </row>
    <row r="38" spans="1:8" x14ac:dyDescent="0.2">
      <c r="A38" s="147"/>
      <c r="B38" s="142"/>
      <c r="C38" s="143"/>
      <c r="D38" s="144"/>
      <c r="E38" s="144"/>
      <c r="F38" s="81"/>
      <c r="G38" s="66"/>
      <c r="H38" s="237"/>
    </row>
    <row r="39" spans="1:8" x14ac:dyDescent="0.2">
      <c r="A39" s="147"/>
      <c r="B39" s="142"/>
      <c r="C39" s="143"/>
      <c r="D39" s="144"/>
      <c r="E39" s="144"/>
      <c r="F39" s="81"/>
      <c r="G39" s="66"/>
      <c r="H39" s="80"/>
    </row>
    <row r="40" spans="1:8" x14ac:dyDescent="0.2">
      <c r="A40" s="147"/>
      <c r="B40" s="142"/>
      <c r="C40" s="143"/>
      <c r="D40" s="144"/>
      <c r="E40" s="144"/>
      <c r="F40" s="81"/>
      <c r="G40" s="66"/>
      <c r="H40" s="66"/>
    </row>
    <row r="41" spans="1:8" x14ac:dyDescent="0.2">
      <c r="F41" s="277" t="s">
        <v>123</v>
      </c>
      <c r="G41" s="77">
        <f>SUM(G5:G40)</f>
        <v>56</v>
      </c>
      <c r="H41" s="77">
        <f>SUM(H7:H40)</f>
        <v>30</v>
      </c>
    </row>
    <row r="42" spans="1:8" x14ac:dyDescent="0.2">
      <c r="F42" s="62"/>
      <c r="G42" s="63"/>
      <c r="H42" s="63"/>
    </row>
    <row r="43" spans="1:8" ht="14.25" x14ac:dyDescent="0.2">
      <c r="F43" s="1153" t="s">
        <v>8</v>
      </c>
      <c r="G43" s="1154"/>
      <c r="H43" s="84">
        <f>G41-H41</f>
        <v>26</v>
      </c>
    </row>
  </sheetData>
  <mergeCells count="3">
    <mergeCell ref="F43:G43"/>
    <mergeCell ref="J1:J3"/>
    <mergeCell ref="C1:H5"/>
  </mergeCells>
  <hyperlinks>
    <hyperlink ref="J1:J3" location="'ANA SAYFA'!A1" display="ANA SAYFA"/>
  </hyperlinks>
  <pageMargins left="0.12" right="0.14000000000000001" top="0.31" bottom="0.23" header="0.3" footer="0.21"/>
  <pageSetup paperSize="9" scale="74" orientation="portrait" r:id="rId1"/>
  <colBreaks count="1" manualBreakCount="1">
    <brk id="8" max="36" man="1"/>
  </colBreaks>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47"/>
  <sheetViews>
    <sheetView zoomScaleNormal="100" workbookViewId="0">
      <pane ySplit="6" topLeftCell="A19" activePane="bottomLeft" state="frozen"/>
      <selection pane="bottomLeft" activeCell="J1" sqref="J1:J3"/>
    </sheetView>
  </sheetViews>
  <sheetFormatPr defaultColWidth="9.140625" defaultRowHeight="12.75" x14ac:dyDescent="0.2"/>
  <cols>
    <col min="1" max="1" width="18.140625" style="82" bestFit="1" customWidth="1"/>
    <col min="2" max="2" width="26.7109375" style="82" bestFit="1" customWidth="1"/>
    <col min="3" max="3" width="27.42578125" style="82" bestFit="1" customWidth="1"/>
    <col min="4" max="5" width="9.28515625" style="82" bestFit="1" customWidth="1"/>
    <col min="6" max="6" width="18.85546875" style="82" bestFit="1" customWidth="1"/>
    <col min="7" max="7" width="14.28515625" style="82" bestFit="1" customWidth="1"/>
    <col min="8" max="8" width="12.5703125" style="82" bestFit="1" customWidth="1"/>
    <col min="9" max="9" width="3.140625" style="82" customWidth="1"/>
    <col min="10" max="10" width="11.28515625" style="82" customWidth="1"/>
    <col min="11" max="11" width="11.28515625" style="82" bestFit="1" customWidth="1"/>
    <col min="12" max="12" width="13.7109375" style="82" bestFit="1" customWidth="1"/>
    <col min="13" max="16384" width="9.140625" style="82"/>
  </cols>
  <sheetData>
    <row r="1" spans="1:12" x14ac:dyDescent="0.2">
      <c r="A1" s="29" t="s">
        <v>135</v>
      </c>
      <c r="B1" s="188" t="str">
        <f>'ANA SAYFA'!B60</f>
        <v>YAŞAR SEZGİN</v>
      </c>
      <c r="C1" s="1166" t="s">
        <v>136</v>
      </c>
      <c r="D1" s="1166"/>
      <c r="E1" s="1166"/>
      <c r="F1" s="1166"/>
      <c r="G1" s="1166"/>
      <c r="H1" s="1166"/>
      <c r="I1" s="28"/>
      <c r="J1" s="1183" t="s">
        <v>712</v>
      </c>
      <c r="K1" s="30"/>
    </row>
    <row r="2" spans="1:12" x14ac:dyDescent="0.2">
      <c r="A2" s="29" t="s">
        <v>137</v>
      </c>
      <c r="B2" s="154">
        <f>'ANA SAYFA'!D60</f>
        <v>14789073346</v>
      </c>
      <c r="C2" s="1166"/>
      <c r="D2" s="1166"/>
      <c r="E2" s="1166"/>
      <c r="F2" s="1166"/>
      <c r="G2" s="1166"/>
      <c r="H2" s="1166"/>
      <c r="I2" s="28"/>
      <c r="J2" s="1184"/>
      <c r="K2" s="30"/>
    </row>
    <row r="3" spans="1:12" ht="13.5" thickBot="1" x14ac:dyDescent="0.25">
      <c r="A3" s="29" t="s">
        <v>131</v>
      </c>
      <c r="B3" s="153" t="str">
        <f>'ANA SAYFA'!C60</f>
        <v>KAMYON ŞOFÖRÜ</v>
      </c>
      <c r="C3" s="1166"/>
      <c r="D3" s="1166"/>
      <c r="E3" s="1166"/>
      <c r="F3" s="1166"/>
      <c r="G3" s="1166"/>
      <c r="H3" s="1166"/>
      <c r="I3" s="28"/>
      <c r="J3" s="1185"/>
      <c r="K3" s="30"/>
    </row>
    <row r="4" spans="1:12" x14ac:dyDescent="0.2">
      <c r="A4" s="29" t="s">
        <v>120</v>
      </c>
      <c r="B4" s="83">
        <f>'ANA SAYFA'!E60</f>
        <v>43986</v>
      </c>
      <c r="C4" s="1166"/>
      <c r="D4" s="1166"/>
      <c r="E4" s="1166"/>
      <c r="F4" s="1166"/>
      <c r="G4" s="1166"/>
      <c r="H4" s="1166"/>
      <c r="I4" s="28"/>
      <c r="J4" s="30"/>
      <c r="K4" s="30"/>
    </row>
    <row r="5" spans="1:12" x14ac:dyDescent="0.2">
      <c r="A5" s="29" t="s">
        <v>130</v>
      </c>
      <c r="B5" s="83">
        <f>'ANA SAYFA'!F60</f>
        <v>27369</v>
      </c>
      <c r="C5" s="1166"/>
      <c r="D5" s="1166"/>
      <c r="E5" s="1166"/>
      <c r="F5" s="1166"/>
      <c r="G5" s="1166"/>
      <c r="H5" s="1166"/>
      <c r="I5" s="28"/>
      <c r="J5" s="699"/>
      <c r="K5" s="699"/>
    </row>
    <row r="6" spans="1:12" ht="31.5" x14ac:dyDescent="0.2">
      <c r="A6" s="69" t="s">
        <v>0</v>
      </c>
      <c r="B6" s="70" t="s">
        <v>1</v>
      </c>
      <c r="C6" s="69" t="s">
        <v>2</v>
      </c>
      <c r="D6" s="71" t="s">
        <v>133</v>
      </c>
      <c r="E6" s="71" t="s">
        <v>4</v>
      </c>
      <c r="F6" s="71" t="s">
        <v>7</v>
      </c>
      <c r="G6" s="71" t="s">
        <v>6</v>
      </c>
      <c r="H6" s="71" t="s">
        <v>16</v>
      </c>
      <c r="I6" s="34"/>
      <c r="J6" s="699"/>
      <c r="K6" s="699"/>
    </row>
    <row r="7" spans="1:12" s="243" customFormat="1" x14ac:dyDescent="0.2">
      <c r="A7" s="139"/>
      <c r="B7" s="142">
        <v>44040</v>
      </c>
      <c r="C7" s="143">
        <v>44047</v>
      </c>
      <c r="D7" s="144">
        <v>0.33333333333333331</v>
      </c>
      <c r="E7" s="144">
        <v>0.33333333333333331</v>
      </c>
      <c r="F7" s="455" t="s">
        <v>89</v>
      </c>
      <c r="G7" s="145">
        <v>14</v>
      </c>
      <c r="H7" s="237">
        <v>2</v>
      </c>
      <c r="J7" s="30"/>
      <c r="K7" s="30"/>
    </row>
    <row r="8" spans="1:12" s="243" customFormat="1" x14ac:dyDescent="0.2">
      <c r="A8" s="139"/>
      <c r="B8" s="155">
        <v>44100</v>
      </c>
      <c r="C8" s="158">
        <v>44104</v>
      </c>
      <c r="D8" s="168">
        <v>0.33333333333333331</v>
      </c>
      <c r="E8" s="168">
        <v>0.33333333333333331</v>
      </c>
      <c r="F8" s="455" t="s">
        <v>412</v>
      </c>
      <c r="G8" s="145">
        <v>14</v>
      </c>
      <c r="H8" s="436">
        <v>2.5</v>
      </c>
      <c r="I8" s="49"/>
      <c r="J8" s="30"/>
      <c r="K8" s="30"/>
    </row>
    <row r="9" spans="1:12" s="243" customFormat="1" x14ac:dyDescent="0.2">
      <c r="A9" s="139"/>
      <c r="B9" s="155">
        <v>44182</v>
      </c>
      <c r="C9" s="158">
        <v>44187</v>
      </c>
      <c r="D9" s="168">
        <v>0.54166666666666663</v>
      </c>
      <c r="E9" s="168">
        <v>0.33333333333333331</v>
      </c>
      <c r="F9" s="253" t="s">
        <v>417</v>
      </c>
      <c r="G9" s="145">
        <v>14</v>
      </c>
      <c r="H9" s="436">
        <v>4.5</v>
      </c>
      <c r="I9" s="49"/>
      <c r="J9" s="30"/>
      <c r="K9" s="503">
        <v>45504</v>
      </c>
      <c r="L9" s="243" t="s">
        <v>900</v>
      </c>
    </row>
    <row r="10" spans="1:12" s="243" customFormat="1" x14ac:dyDescent="0.2">
      <c r="A10" s="141"/>
      <c r="B10" s="155">
        <v>44207</v>
      </c>
      <c r="C10" s="156">
        <v>44210</v>
      </c>
      <c r="D10" s="168">
        <v>0.33333333333333331</v>
      </c>
      <c r="E10" s="168" t="s">
        <v>72</v>
      </c>
      <c r="F10" s="253" t="s">
        <v>576</v>
      </c>
      <c r="G10" s="145">
        <v>14</v>
      </c>
      <c r="H10" s="755">
        <v>4</v>
      </c>
      <c r="I10" s="49"/>
      <c r="J10" s="30"/>
      <c r="K10" s="30"/>
    </row>
    <row r="11" spans="1:12" s="243" customFormat="1" x14ac:dyDescent="0.2">
      <c r="A11" s="141"/>
      <c r="B11" s="155">
        <v>44242</v>
      </c>
      <c r="C11" s="156">
        <v>44245</v>
      </c>
      <c r="D11" s="168">
        <v>0.33333333333333331</v>
      </c>
      <c r="E11" s="168">
        <v>0.33333333333333331</v>
      </c>
      <c r="F11" s="253" t="s">
        <v>798</v>
      </c>
      <c r="G11" s="723">
        <v>20</v>
      </c>
      <c r="H11" s="755">
        <v>3</v>
      </c>
      <c r="I11" s="49"/>
      <c r="J11" s="30"/>
      <c r="K11" s="30"/>
    </row>
    <row r="12" spans="1:12" s="243" customFormat="1" x14ac:dyDescent="0.2">
      <c r="A12" s="141"/>
      <c r="B12" s="155">
        <v>44326</v>
      </c>
      <c r="C12" s="158">
        <v>44327</v>
      </c>
      <c r="D12" s="144">
        <v>0.33333333333333331</v>
      </c>
      <c r="E12" s="144">
        <v>0.33333333333333331</v>
      </c>
      <c r="F12" s="253" t="s">
        <v>1032</v>
      </c>
      <c r="G12" s="145">
        <v>20</v>
      </c>
      <c r="H12" s="436">
        <v>2</v>
      </c>
      <c r="I12" s="49"/>
      <c r="J12" s="30"/>
      <c r="K12" s="30"/>
    </row>
    <row r="13" spans="1:12" s="243" customFormat="1" x14ac:dyDescent="0.2">
      <c r="A13" s="141"/>
      <c r="B13" s="155">
        <v>44395</v>
      </c>
      <c r="C13" s="246">
        <v>44405</v>
      </c>
      <c r="D13" s="144">
        <v>0.33333333333333331</v>
      </c>
      <c r="E13" s="144">
        <v>0.33333333333333331</v>
      </c>
      <c r="F13" s="144"/>
      <c r="G13" s="145"/>
      <c r="H13" s="755">
        <v>2</v>
      </c>
      <c r="I13" s="49"/>
    </row>
    <row r="14" spans="1:12" s="243" customFormat="1" x14ac:dyDescent="0.2">
      <c r="A14" s="141"/>
      <c r="B14" s="155">
        <v>44445</v>
      </c>
      <c r="C14" s="143">
        <v>44448</v>
      </c>
      <c r="D14" s="144">
        <v>0.33333333333333331</v>
      </c>
      <c r="E14" s="144">
        <v>0.33333333333333331</v>
      </c>
      <c r="F14" s="144"/>
      <c r="G14" s="145"/>
      <c r="H14" s="237">
        <v>3</v>
      </c>
    </row>
    <row r="15" spans="1:12" s="243" customFormat="1" x14ac:dyDescent="0.2">
      <c r="A15" s="141"/>
      <c r="B15" s="155">
        <v>44470</v>
      </c>
      <c r="C15" s="143">
        <v>44474</v>
      </c>
      <c r="D15" s="144">
        <v>0.33333333333333331</v>
      </c>
      <c r="E15" s="144">
        <v>0.33333333333333331</v>
      </c>
      <c r="F15" s="144"/>
      <c r="G15" s="145"/>
      <c r="H15" s="237">
        <v>3</v>
      </c>
    </row>
    <row r="16" spans="1:12" s="243" customFormat="1" x14ac:dyDescent="0.2">
      <c r="A16" s="141"/>
      <c r="B16" s="142">
        <v>44520</v>
      </c>
      <c r="C16" s="143">
        <v>44520</v>
      </c>
      <c r="D16" s="144">
        <v>0.33333333333333331</v>
      </c>
      <c r="E16" s="144">
        <v>0.75</v>
      </c>
      <c r="F16" s="144"/>
      <c r="G16" s="145"/>
      <c r="H16" s="237">
        <v>1</v>
      </c>
      <c r="J16" s="357"/>
    </row>
    <row r="17" spans="1:12" s="243" customFormat="1" x14ac:dyDescent="0.2">
      <c r="A17" s="141"/>
      <c r="B17" s="142">
        <v>44747</v>
      </c>
      <c r="C17" s="143">
        <v>44760</v>
      </c>
      <c r="D17" s="144">
        <v>0.33333333333333331</v>
      </c>
      <c r="E17" s="144">
        <v>0.33333333333333331</v>
      </c>
      <c r="F17" s="144"/>
      <c r="G17" s="145"/>
      <c r="H17" s="237">
        <v>6</v>
      </c>
    </row>
    <row r="18" spans="1:12" s="243" customFormat="1" x14ac:dyDescent="0.2">
      <c r="A18" s="141"/>
      <c r="B18" s="142">
        <v>45045</v>
      </c>
      <c r="C18" s="143">
        <v>45047</v>
      </c>
      <c r="D18" s="144">
        <v>0.33333333333333331</v>
      </c>
      <c r="E18" s="144">
        <v>0.33333333333333331</v>
      </c>
      <c r="F18" s="253"/>
      <c r="G18" s="253"/>
      <c r="H18" s="237">
        <v>1</v>
      </c>
      <c r="L18" s="504"/>
    </row>
    <row r="19" spans="1:12" s="243" customFormat="1" x14ac:dyDescent="0.2">
      <c r="A19" s="141"/>
      <c r="B19" s="142">
        <v>45100</v>
      </c>
      <c r="C19" s="143">
        <v>45110</v>
      </c>
      <c r="D19" s="144">
        <v>0.33333333333333331</v>
      </c>
      <c r="E19" s="144">
        <v>0.33333333333333331</v>
      </c>
      <c r="F19" s="253"/>
      <c r="G19" s="145"/>
      <c r="H19" s="237">
        <v>3</v>
      </c>
      <c r="L19" s="504"/>
    </row>
    <row r="20" spans="1:12" s="243" customFormat="1" x14ac:dyDescent="0.2">
      <c r="A20" s="141"/>
      <c r="B20" s="142">
        <v>45159</v>
      </c>
      <c r="C20" s="143">
        <v>45161</v>
      </c>
      <c r="D20" s="144">
        <v>0.33333333333333331</v>
      </c>
      <c r="E20" s="144">
        <v>0.33333333333333331</v>
      </c>
      <c r="F20" s="253"/>
      <c r="G20" s="145"/>
      <c r="H20" s="237">
        <v>2</v>
      </c>
    </row>
    <row r="21" spans="1:12" s="243" customFormat="1" x14ac:dyDescent="0.2">
      <c r="A21" s="146"/>
      <c r="B21" s="142">
        <v>45269</v>
      </c>
      <c r="C21" s="142">
        <v>45271</v>
      </c>
      <c r="D21" s="144">
        <v>0.33333333333333331</v>
      </c>
      <c r="E21" s="144">
        <v>0.33333333333333331</v>
      </c>
      <c r="F21" s="253"/>
      <c r="G21" s="145"/>
      <c r="H21" s="237">
        <v>1</v>
      </c>
    </row>
    <row r="22" spans="1:12" s="243" customFormat="1" x14ac:dyDescent="0.2">
      <c r="A22" s="55"/>
      <c r="B22" s="142" t="s">
        <v>521</v>
      </c>
      <c r="C22" s="142" t="s">
        <v>521</v>
      </c>
      <c r="D22" s="722">
        <v>0.33333333333333331</v>
      </c>
      <c r="E22" s="722">
        <v>0.33333333333333331</v>
      </c>
      <c r="F22" s="253"/>
      <c r="G22" s="145"/>
      <c r="H22" s="237">
        <v>1</v>
      </c>
    </row>
    <row r="23" spans="1:12" s="243" customFormat="1" x14ac:dyDescent="0.2">
      <c r="A23" s="55"/>
      <c r="B23" s="142" t="s">
        <v>501</v>
      </c>
      <c r="C23" s="142" t="s">
        <v>501</v>
      </c>
      <c r="D23" s="722">
        <v>0.33333333333333331</v>
      </c>
      <c r="E23" s="722">
        <v>0.33333333333333331</v>
      </c>
      <c r="F23" s="253"/>
      <c r="G23" s="145"/>
      <c r="H23" s="237">
        <v>1</v>
      </c>
    </row>
    <row r="24" spans="1:12" s="243" customFormat="1" x14ac:dyDescent="0.2">
      <c r="A24" s="55"/>
      <c r="B24" s="142">
        <v>45677</v>
      </c>
      <c r="C24" s="143">
        <v>45682</v>
      </c>
      <c r="D24" s="722">
        <v>0.33333333333333331</v>
      </c>
      <c r="E24" s="722">
        <v>0.33333333333333331</v>
      </c>
      <c r="F24" s="253"/>
      <c r="G24" s="145"/>
      <c r="H24" s="237">
        <v>6</v>
      </c>
    </row>
    <row r="25" spans="1:12" s="759" customFormat="1" x14ac:dyDescent="0.2">
      <c r="A25" s="685"/>
      <c r="B25" s="720">
        <v>45744</v>
      </c>
      <c r="C25" s="721">
        <v>45744</v>
      </c>
      <c r="D25" s="722">
        <v>0.5</v>
      </c>
      <c r="E25" s="722">
        <v>0.33333333333333331</v>
      </c>
      <c r="F25" s="253"/>
      <c r="G25" s="723"/>
      <c r="H25" s="237">
        <v>0.5</v>
      </c>
    </row>
    <row r="26" spans="1:12" s="759" customFormat="1" x14ac:dyDescent="0.2">
      <c r="A26" s="685"/>
      <c r="B26" s="720">
        <v>45810</v>
      </c>
      <c r="C26" s="721">
        <v>45812</v>
      </c>
      <c r="D26" s="722">
        <v>0.33333333333333331</v>
      </c>
      <c r="E26" s="722">
        <v>0.33333333333333331</v>
      </c>
      <c r="F26" s="253"/>
      <c r="G26" s="723"/>
      <c r="H26" s="237">
        <v>3</v>
      </c>
      <c r="K26" s="759" t="s">
        <v>9</v>
      </c>
    </row>
    <row r="27" spans="1:12" s="759" customFormat="1" x14ac:dyDescent="0.2">
      <c r="A27" s="685"/>
      <c r="B27" s="720">
        <v>45875</v>
      </c>
      <c r="C27" s="721">
        <v>45876</v>
      </c>
      <c r="D27" s="722">
        <v>0.33333333333333331</v>
      </c>
      <c r="E27" s="722">
        <v>0.33333333333333331</v>
      </c>
      <c r="F27" s="253"/>
      <c r="G27" s="723"/>
      <c r="H27" s="237">
        <v>1</v>
      </c>
    </row>
    <row r="28" spans="1:12" s="759" customFormat="1" x14ac:dyDescent="0.2">
      <c r="A28" s="685"/>
      <c r="B28" s="720">
        <v>45989</v>
      </c>
      <c r="C28" s="721">
        <v>45992</v>
      </c>
      <c r="D28" s="722">
        <v>0.33333333333333331</v>
      </c>
      <c r="E28" s="722">
        <v>0.33333333333333331</v>
      </c>
      <c r="F28" s="253"/>
      <c r="G28" s="723"/>
      <c r="H28" s="237">
        <v>2</v>
      </c>
    </row>
    <row r="29" spans="1:12" s="759" customFormat="1" x14ac:dyDescent="0.2">
      <c r="A29" s="685"/>
      <c r="B29" s="720">
        <v>46002</v>
      </c>
      <c r="C29" s="721">
        <v>46003</v>
      </c>
      <c r="D29" s="722">
        <v>0.33333333333333298</v>
      </c>
      <c r="E29" s="722">
        <v>0.33333333333333298</v>
      </c>
      <c r="F29" s="253"/>
      <c r="G29" s="723"/>
      <c r="H29" s="237">
        <v>1</v>
      </c>
    </row>
    <row r="30" spans="1:12" s="759" customFormat="1" x14ac:dyDescent="0.2">
      <c r="A30" s="685"/>
      <c r="B30" s="720">
        <v>46097</v>
      </c>
      <c r="C30" s="721">
        <v>46098</v>
      </c>
      <c r="D30" s="722">
        <v>0.33333333333333298</v>
      </c>
      <c r="E30" s="722">
        <v>0.33333333333333298</v>
      </c>
      <c r="F30" s="253"/>
      <c r="G30" s="723"/>
      <c r="H30" s="237">
        <v>1</v>
      </c>
    </row>
    <row r="31" spans="1:12" s="759" customFormat="1" x14ac:dyDescent="0.2">
      <c r="A31" s="685"/>
      <c r="B31" s="720">
        <v>46099</v>
      </c>
      <c r="C31" s="721">
        <v>46100</v>
      </c>
      <c r="D31" s="722">
        <v>0.33333333333333298</v>
      </c>
      <c r="E31" s="722">
        <v>0.33333333333333298</v>
      </c>
      <c r="F31" s="253"/>
      <c r="G31" s="723"/>
      <c r="H31" s="237">
        <v>1</v>
      </c>
    </row>
    <row r="32" spans="1:12" s="759" customFormat="1" ht="15" customHeight="1" x14ac:dyDescent="0.2">
      <c r="A32" s="685"/>
      <c r="B32" s="720">
        <v>46150</v>
      </c>
      <c r="C32" s="721">
        <v>46181</v>
      </c>
      <c r="D32" s="722">
        <v>0.33333333333333298</v>
      </c>
      <c r="E32" s="722">
        <v>0.33333333333333298</v>
      </c>
      <c r="F32" s="253"/>
      <c r="G32" s="723"/>
      <c r="H32" s="237">
        <v>20</v>
      </c>
      <c r="J32" s="759" t="s">
        <v>1033</v>
      </c>
    </row>
    <row r="33" spans="1:12" s="759" customFormat="1" ht="15" customHeight="1" x14ac:dyDescent="0.2">
      <c r="A33" s="685"/>
      <c r="B33" s="720"/>
      <c r="C33" s="721"/>
      <c r="D33" s="722"/>
      <c r="E33" s="722"/>
      <c r="F33" s="253"/>
      <c r="G33" s="723"/>
      <c r="H33" s="237"/>
    </row>
    <row r="34" spans="1:12" s="243" customFormat="1" ht="15" customHeight="1" x14ac:dyDescent="0.2">
      <c r="A34" s="55"/>
      <c r="B34" s="142"/>
      <c r="C34" s="143"/>
      <c r="D34" s="722"/>
      <c r="E34" s="722"/>
      <c r="F34" s="253"/>
      <c r="G34" s="145"/>
      <c r="H34" s="237"/>
    </row>
    <row r="35" spans="1:12" s="243" customFormat="1" x14ac:dyDescent="0.2">
      <c r="A35" s="55"/>
      <c r="B35" s="142"/>
      <c r="C35" s="143"/>
      <c r="D35" s="144"/>
      <c r="E35" s="144"/>
      <c r="F35" s="253"/>
      <c r="G35" s="145"/>
      <c r="H35" s="237"/>
    </row>
    <row r="36" spans="1:12" s="243" customFormat="1" x14ac:dyDescent="0.2">
      <c r="A36" s="55"/>
      <c r="B36" s="142"/>
      <c r="C36" s="143"/>
      <c r="D36" s="144"/>
      <c r="E36" s="144"/>
      <c r="F36" s="253"/>
      <c r="G36" s="145"/>
      <c r="H36" s="237"/>
    </row>
    <row r="37" spans="1:12" s="243" customFormat="1" x14ac:dyDescent="0.2">
      <c r="A37" s="55"/>
      <c r="B37" s="142"/>
      <c r="C37" s="143"/>
      <c r="D37" s="144"/>
      <c r="E37" s="144"/>
      <c r="F37" s="253"/>
      <c r="G37" s="145"/>
      <c r="H37" s="237"/>
    </row>
    <row r="38" spans="1:12" s="243" customFormat="1" x14ac:dyDescent="0.2">
      <c r="A38" s="55"/>
      <c r="B38" s="142"/>
      <c r="C38" s="143"/>
      <c r="D38" s="144"/>
      <c r="E38" s="144"/>
      <c r="F38" s="253"/>
      <c r="G38" s="145"/>
      <c r="H38" s="237"/>
    </row>
    <row r="39" spans="1:12" s="243" customFormat="1" x14ac:dyDescent="0.2">
      <c r="A39" s="147"/>
      <c r="B39" s="142"/>
      <c r="C39" s="143"/>
      <c r="D39" s="144"/>
      <c r="E39" s="144"/>
      <c r="F39" s="81"/>
      <c r="G39" s="66"/>
      <c r="H39" s="237"/>
    </row>
    <row r="40" spans="1:12" s="243" customFormat="1" x14ac:dyDescent="0.2">
      <c r="A40" s="147"/>
      <c r="B40" s="142"/>
      <c r="C40" s="143"/>
      <c r="D40" s="144"/>
      <c r="E40" s="144"/>
      <c r="F40" s="81"/>
      <c r="G40" s="66"/>
      <c r="H40" s="237"/>
    </row>
    <row r="41" spans="1:12" s="243" customFormat="1" x14ac:dyDescent="0.2">
      <c r="A41" s="147"/>
      <c r="B41" s="142"/>
      <c r="C41" s="143"/>
      <c r="D41" s="144"/>
      <c r="E41" s="144"/>
      <c r="F41" s="81"/>
      <c r="G41" s="66"/>
      <c r="H41" s="80"/>
    </row>
    <row r="42" spans="1:12" s="243" customFormat="1" x14ac:dyDescent="0.2">
      <c r="A42" s="147"/>
      <c r="B42" s="142"/>
      <c r="C42" s="143"/>
      <c r="D42" s="144"/>
      <c r="E42" s="144"/>
      <c r="F42" s="81"/>
      <c r="G42" s="66"/>
      <c r="H42" s="80"/>
    </row>
    <row r="43" spans="1:12" x14ac:dyDescent="0.2">
      <c r="F43" s="277" t="s">
        <v>123</v>
      </c>
      <c r="G43" s="77">
        <f>SUM(G7:G42)</f>
        <v>96</v>
      </c>
      <c r="H43" s="697">
        <f>SUM(H7:H42)</f>
        <v>77.5</v>
      </c>
    </row>
    <row r="44" spans="1:12" x14ac:dyDescent="0.2">
      <c r="F44" s="62"/>
      <c r="G44" s="63"/>
      <c r="H44" s="63"/>
    </row>
    <row r="45" spans="1:12" ht="14.25" x14ac:dyDescent="0.2">
      <c r="F45" s="1153" t="s">
        <v>8</v>
      </c>
      <c r="G45" s="1154"/>
      <c r="H45" s="84">
        <f>G43-H43</f>
        <v>18.5</v>
      </c>
      <c r="J45" s="82">
        <v>18.5</v>
      </c>
      <c r="K45" s="82" t="s">
        <v>1031</v>
      </c>
      <c r="L45" s="1089">
        <f>+J45*L46</f>
        <v>41933.333333333328</v>
      </c>
    </row>
    <row r="46" spans="1:12" x14ac:dyDescent="0.2">
      <c r="J46" s="82">
        <v>1</v>
      </c>
      <c r="K46" s="82" t="s">
        <v>1031</v>
      </c>
      <c r="L46" s="1088">
        <f>68000/30</f>
        <v>2266.6666666666665</v>
      </c>
    </row>
    <row r="47" spans="1:12" x14ac:dyDescent="0.2">
      <c r="J47" s="82">
        <v>8</v>
      </c>
      <c r="K47" s="82" t="s">
        <v>1031</v>
      </c>
      <c r="L47" s="82">
        <f>+L46*8</f>
        <v>18133.333333333332</v>
      </c>
    </row>
  </sheetData>
  <sortState ref="F8:G10">
    <sortCondition ref="F8"/>
  </sortState>
  <mergeCells count="3">
    <mergeCell ref="F45:G45"/>
    <mergeCell ref="J1:J3"/>
    <mergeCell ref="C1:H5"/>
  </mergeCells>
  <hyperlinks>
    <hyperlink ref="J1:J3" location="'ANA SAYFA'!A1" display="ANA SAYFA"/>
  </hyperlinks>
  <pageMargins left="0.7" right="0.12" top="0.12" bottom="0.75" header="0.12" footer="0.3"/>
  <pageSetup paperSize="9" scale="69" orientation="portrait" horizontalDpi="300" verticalDpi="300" r:id="rId1"/>
  <legacy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workbookViewId="0">
      <selection activeCell="J1" sqref="J1:J3"/>
    </sheetView>
  </sheetViews>
  <sheetFormatPr defaultColWidth="9.140625" defaultRowHeight="12.75" x14ac:dyDescent="0.2"/>
  <cols>
    <col min="1" max="1" width="18.140625" style="82" bestFit="1" customWidth="1"/>
    <col min="2" max="3" width="27.7109375" style="82" bestFit="1" customWidth="1"/>
    <col min="4" max="5" width="9.28515625" style="82" bestFit="1" customWidth="1"/>
    <col min="6" max="6" width="20.85546875" style="82" bestFit="1" customWidth="1"/>
    <col min="7" max="7" width="14.28515625" style="82" customWidth="1"/>
    <col min="8" max="8" width="12.5703125" style="82" bestFit="1" customWidth="1"/>
    <col min="9" max="9" width="3.5703125" style="82" customWidth="1"/>
    <col min="10" max="10" width="11.7109375" style="82" customWidth="1"/>
    <col min="11" max="16384" width="9.140625" style="82"/>
  </cols>
  <sheetData>
    <row r="1" spans="1:11" ht="14.25" customHeight="1" x14ac:dyDescent="0.2">
      <c r="A1" s="29" t="s">
        <v>135</v>
      </c>
      <c r="B1" s="188" t="str">
        <f>'ANA SAYFA'!B61</f>
        <v>MUSTAFA KIRCA</v>
      </c>
      <c r="C1" s="1166" t="s">
        <v>136</v>
      </c>
      <c r="D1" s="1166"/>
      <c r="E1" s="1166"/>
      <c r="F1" s="1166"/>
      <c r="G1" s="1166"/>
      <c r="H1" s="1166"/>
      <c r="I1" s="28"/>
      <c r="J1" s="1183" t="s">
        <v>712</v>
      </c>
      <c r="K1" s="30"/>
    </row>
    <row r="2" spans="1:11" ht="14.25" customHeight="1" x14ac:dyDescent="0.2">
      <c r="A2" s="29" t="s">
        <v>137</v>
      </c>
      <c r="B2" s="154">
        <f>'ANA SAYFA'!D61</f>
        <v>43642203026</v>
      </c>
      <c r="C2" s="1166"/>
      <c r="D2" s="1166"/>
      <c r="E2" s="1166"/>
      <c r="F2" s="1166"/>
      <c r="G2" s="1166"/>
      <c r="H2" s="1166"/>
      <c r="I2" s="28"/>
      <c r="J2" s="1184"/>
      <c r="K2" s="30"/>
    </row>
    <row r="3" spans="1:11" ht="14.25" customHeight="1" thickBot="1" x14ac:dyDescent="0.25">
      <c r="A3" s="29" t="s">
        <v>131</v>
      </c>
      <c r="B3" s="153" t="str">
        <f>'ANA SAYFA'!C61</f>
        <v>EKSKAVATÖR OPERATÖR</v>
      </c>
      <c r="C3" s="1166"/>
      <c r="D3" s="1166"/>
      <c r="E3" s="1166"/>
      <c r="F3" s="1166"/>
      <c r="G3" s="1166"/>
      <c r="H3" s="1166"/>
      <c r="I3" s="28"/>
      <c r="J3" s="1185"/>
      <c r="K3" s="30"/>
    </row>
    <row r="4" spans="1:11" ht="14.25" customHeight="1" x14ac:dyDescent="0.2">
      <c r="A4" s="29" t="s">
        <v>120</v>
      </c>
      <c r="B4" s="83">
        <f>'ANA SAYFA'!E61</f>
        <v>45208</v>
      </c>
      <c r="C4" s="1166"/>
      <c r="D4" s="1166"/>
      <c r="E4" s="1166"/>
      <c r="F4" s="1166"/>
      <c r="G4" s="1166"/>
      <c r="H4" s="1166"/>
      <c r="I4" s="28"/>
      <c r="J4" s="30"/>
      <c r="K4" s="30"/>
    </row>
    <row r="5" spans="1:11" ht="14.25" customHeight="1" x14ac:dyDescent="0.2">
      <c r="A5" s="29" t="s">
        <v>130</v>
      </c>
      <c r="B5" s="83">
        <f>'ANA SAYFA'!F61</f>
        <v>26359</v>
      </c>
      <c r="C5" s="1166"/>
      <c r="D5" s="1166"/>
      <c r="E5" s="1166"/>
      <c r="F5" s="1166"/>
      <c r="G5" s="1166"/>
      <c r="H5" s="1166"/>
      <c r="I5" s="28"/>
      <c r="J5" s="699"/>
      <c r="K5" s="699"/>
    </row>
    <row r="6" spans="1:11" ht="31.5" x14ac:dyDescent="0.2">
      <c r="A6" s="69" t="s">
        <v>0</v>
      </c>
      <c r="B6" s="70" t="s">
        <v>1</v>
      </c>
      <c r="C6" s="69" t="s">
        <v>2</v>
      </c>
      <c r="D6" s="71" t="s">
        <v>133</v>
      </c>
      <c r="E6" s="71" t="s">
        <v>4</v>
      </c>
      <c r="F6" s="71" t="s">
        <v>7</v>
      </c>
      <c r="G6" s="71" t="s">
        <v>6</v>
      </c>
      <c r="H6" s="71" t="s">
        <v>16</v>
      </c>
      <c r="I6" s="34"/>
      <c r="J6" s="699"/>
      <c r="K6" s="699"/>
    </row>
    <row r="7" spans="1:11" x14ac:dyDescent="0.2">
      <c r="A7" s="139"/>
      <c r="B7" s="155">
        <v>45218</v>
      </c>
      <c r="C7" s="156">
        <v>45219</v>
      </c>
      <c r="D7" s="168">
        <v>0.33333333333333331</v>
      </c>
      <c r="E7" s="168">
        <v>0.33333333333333331</v>
      </c>
      <c r="F7" s="752" t="s">
        <v>739</v>
      </c>
      <c r="G7" s="191">
        <v>20</v>
      </c>
      <c r="H7" s="292">
        <v>1</v>
      </c>
      <c r="I7" s="49"/>
      <c r="J7" s="30"/>
      <c r="K7" s="30"/>
    </row>
    <row r="8" spans="1:11" x14ac:dyDescent="0.2">
      <c r="A8" s="139"/>
      <c r="B8" s="155">
        <v>45258</v>
      </c>
      <c r="C8" s="156">
        <v>45259</v>
      </c>
      <c r="D8" s="168">
        <v>0.54166666666666663</v>
      </c>
      <c r="E8" s="168">
        <v>0.33333333333333331</v>
      </c>
      <c r="F8" s="752" t="s">
        <v>920</v>
      </c>
      <c r="G8" s="191">
        <v>20</v>
      </c>
      <c r="H8" s="343">
        <v>0.5</v>
      </c>
      <c r="I8" s="49"/>
      <c r="J8" s="30"/>
      <c r="K8" s="30"/>
    </row>
    <row r="9" spans="1:11" x14ac:dyDescent="0.2">
      <c r="A9" s="141"/>
      <c r="B9" s="1206" t="s">
        <v>484</v>
      </c>
      <c r="C9" s="1207"/>
      <c r="D9" s="168"/>
      <c r="E9" s="168"/>
      <c r="F9" s="752"/>
      <c r="G9" s="191"/>
      <c r="H9" s="826">
        <v>-1</v>
      </c>
      <c r="I9" s="49"/>
      <c r="J9" s="30"/>
      <c r="K9" s="30"/>
    </row>
    <row r="10" spans="1:11" x14ac:dyDescent="0.2">
      <c r="A10" s="141"/>
      <c r="B10" s="155" t="s">
        <v>505</v>
      </c>
      <c r="C10" s="155" t="s">
        <v>505</v>
      </c>
      <c r="D10" s="168">
        <v>0.33333333333333331</v>
      </c>
      <c r="E10" s="168">
        <v>0.33333333333333331</v>
      </c>
      <c r="F10" s="752"/>
      <c r="G10" s="191"/>
      <c r="H10" s="292">
        <v>1</v>
      </c>
      <c r="I10" s="49"/>
      <c r="J10" s="407"/>
      <c r="K10" s="30"/>
    </row>
    <row r="11" spans="1:11" ht="14.25" x14ac:dyDescent="0.2">
      <c r="A11" s="146"/>
      <c r="B11" s="142" t="s">
        <v>540</v>
      </c>
      <c r="C11" s="143" t="s">
        <v>541</v>
      </c>
      <c r="D11" s="168"/>
      <c r="E11" s="168"/>
      <c r="F11" s="847"/>
      <c r="G11" s="145"/>
      <c r="H11" s="287">
        <v>2</v>
      </c>
      <c r="I11" s="49"/>
      <c r="J11" s="30"/>
      <c r="K11" s="30"/>
    </row>
    <row r="12" spans="1:11" ht="14.25" x14ac:dyDescent="0.2">
      <c r="A12" s="146"/>
      <c r="B12" s="142">
        <v>45495</v>
      </c>
      <c r="C12" s="143">
        <v>45495</v>
      </c>
      <c r="D12" s="168"/>
      <c r="E12" s="168"/>
      <c r="F12" s="847"/>
      <c r="G12" s="145"/>
      <c r="H12" s="287">
        <v>1</v>
      </c>
      <c r="I12" s="49"/>
      <c r="J12" s="30"/>
      <c r="K12" s="30"/>
    </row>
    <row r="13" spans="1:11" ht="14.25" x14ac:dyDescent="0.2">
      <c r="A13" s="236"/>
      <c r="B13" s="142">
        <v>45510</v>
      </c>
      <c r="C13" s="143">
        <v>45512</v>
      </c>
      <c r="D13" s="144"/>
      <c r="E13" s="144"/>
      <c r="F13" s="847"/>
      <c r="G13" s="145"/>
      <c r="H13" s="287">
        <v>3</v>
      </c>
      <c r="I13" s="49"/>
      <c r="J13" s="30"/>
      <c r="K13" s="30"/>
    </row>
    <row r="14" spans="1:11" x14ac:dyDescent="0.2">
      <c r="A14" s="236"/>
      <c r="B14" s="142">
        <v>45513</v>
      </c>
      <c r="C14" s="143">
        <v>45513</v>
      </c>
      <c r="D14" s="144"/>
      <c r="E14" s="144"/>
      <c r="F14" s="752"/>
      <c r="G14" s="145"/>
      <c r="H14" s="287">
        <v>1</v>
      </c>
      <c r="I14" s="49"/>
      <c r="J14" s="30"/>
      <c r="K14" s="30"/>
    </row>
    <row r="15" spans="1:11" x14ac:dyDescent="0.2">
      <c r="A15" s="147"/>
      <c r="B15" s="142">
        <v>45759</v>
      </c>
      <c r="C15" s="720">
        <v>45759</v>
      </c>
      <c r="D15" s="144"/>
      <c r="E15" s="144"/>
      <c r="F15" s="752"/>
      <c r="G15" s="145"/>
      <c r="H15" s="287">
        <v>1</v>
      </c>
      <c r="I15" s="49"/>
      <c r="J15" s="30"/>
      <c r="K15" s="30"/>
    </row>
    <row r="16" spans="1:11" x14ac:dyDescent="0.2">
      <c r="A16" s="147"/>
      <c r="B16" s="290">
        <v>45768</v>
      </c>
      <c r="C16" s="291">
        <v>45768</v>
      </c>
      <c r="D16" s="257"/>
      <c r="E16" s="257"/>
      <c r="F16" s="723"/>
      <c r="G16" s="145"/>
      <c r="H16" s="287">
        <v>1</v>
      </c>
      <c r="I16" s="49"/>
      <c r="J16" s="30"/>
      <c r="K16" s="30"/>
    </row>
    <row r="17" spans="1:11" x14ac:dyDescent="0.2">
      <c r="A17" s="147"/>
      <c r="B17" s="290">
        <v>45822</v>
      </c>
      <c r="C17" s="291">
        <v>45822</v>
      </c>
      <c r="D17" s="257"/>
      <c r="E17" s="257"/>
      <c r="F17" s="723"/>
      <c r="G17" s="145"/>
      <c r="H17" s="287">
        <v>1</v>
      </c>
      <c r="I17" s="49"/>
      <c r="J17" s="30"/>
      <c r="K17" s="30"/>
    </row>
    <row r="18" spans="1:11" ht="12" customHeight="1" x14ac:dyDescent="0.2">
      <c r="A18" s="147"/>
      <c r="B18" s="290">
        <v>45825</v>
      </c>
      <c r="C18" s="291">
        <v>45825</v>
      </c>
      <c r="D18" s="257"/>
      <c r="E18" s="257"/>
      <c r="F18" s="691"/>
      <c r="G18" s="145"/>
      <c r="H18" s="287">
        <v>1</v>
      </c>
      <c r="I18" s="49"/>
      <c r="J18" s="30"/>
      <c r="K18" s="30"/>
    </row>
    <row r="19" spans="1:11" x14ac:dyDescent="0.2">
      <c r="A19" s="147"/>
      <c r="B19" s="290">
        <v>45826</v>
      </c>
      <c r="C19" s="291">
        <v>45829</v>
      </c>
      <c r="D19" s="257"/>
      <c r="E19" s="257"/>
      <c r="F19" s="691"/>
      <c r="G19" s="276"/>
      <c r="H19" s="287">
        <v>4</v>
      </c>
      <c r="I19" s="46"/>
      <c r="J19" s="30"/>
      <c r="K19" s="30"/>
    </row>
    <row r="20" spans="1:11" x14ac:dyDescent="0.2">
      <c r="A20" s="147"/>
      <c r="B20" s="290">
        <v>45832</v>
      </c>
      <c r="C20" s="291">
        <v>45832</v>
      </c>
      <c r="D20" s="257"/>
      <c r="E20" s="257"/>
      <c r="F20" s="691"/>
      <c r="G20" s="276"/>
      <c r="H20" s="287">
        <v>1</v>
      </c>
      <c r="I20" s="46"/>
      <c r="J20" s="30"/>
      <c r="K20" s="30"/>
    </row>
    <row r="21" spans="1:11" x14ac:dyDescent="0.2">
      <c r="A21" s="147"/>
      <c r="B21" s="290">
        <v>45838</v>
      </c>
      <c r="C21" s="291">
        <v>45838</v>
      </c>
      <c r="D21" s="257"/>
      <c r="E21" s="257"/>
      <c r="F21" s="677"/>
      <c r="G21" s="276"/>
      <c r="H21" s="145">
        <v>1</v>
      </c>
      <c r="I21" s="40"/>
      <c r="J21" s="30"/>
      <c r="K21" s="30"/>
    </row>
    <row r="22" spans="1:11" x14ac:dyDescent="0.2">
      <c r="A22" s="147"/>
      <c r="B22" s="290">
        <v>45971</v>
      </c>
      <c r="C22" s="291">
        <v>45973</v>
      </c>
      <c r="D22" s="257"/>
      <c r="E22" s="257"/>
      <c r="F22" s="677"/>
      <c r="G22" s="276"/>
      <c r="H22" s="145">
        <v>2</v>
      </c>
      <c r="I22" s="40"/>
      <c r="J22" s="30"/>
      <c r="K22" s="30"/>
    </row>
    <row r="23" spans="1:11" x14ac:dyDescent="0.2">
      <c r="A23" s="147"/>
      <c r="B23" s="290">
        <v>45978</v>
      </c>
      <c r="C23" s="291">
        <v>45980</v>
      </c>
      <c r="D23" s="257"/>
      <c r="E23" s="257"/>
      <c r="F23" s="677"/>
      <c r="G23" s="276"/>
      <c r="H23" s="145">
        <v>3</v>
      </c>
      <c r="I23" s="40"/>
      <c r="J23" s="41"/>
      <c r="K23" s="41"/>
    </row>
    <row r="24" spans="1:11" x14ac:dyDescent="0.2">
      <c r="A24" s="51"/>
      <c r="B24" s="290">
        <v>46004</v>
      </c>
      <c r="C24" s="291">
        <v>46005</v>
      </c>
      <c r="D24" s="257"/>
      <c r="E24" s="257"/>
      <c r="F24" s="691"/>
      <c r="G24" s="276"/>
      <c r="H24" s="145">
        <v>1</v>
      </c>
      <c r="I24" s="49"/>
      <c r="J24" s="30"/>
      <c r="K24" s="30"/>
    </row>
    <row r="25" spans="1:11" x14ac:dyDescent="0.2">
      <c r="A25" s="51"/>
      <c r="B25" s="290">
        <v>46013</v>
      </c>
      <c r="C25" s="291">
        <v>46014</v>
      </c>
      <c r="D25" s="257"/>
      <c r="E25" s="257"/>
      <c r="F25" s="691"/>
      <c r="G25" s="276"/>
      <c r="H25" s="145">
        <v>1</v>
      </c>
      <c r="I25" s="49"/>
      <c r="J25" s="30"/>
      <c r="K25" s="30"/>
    </row>
    <row r="26" spans="1:11" x14ac:dyDescent="0.2">
      <c r="A26" s="55"/>
      <c r="B26" s="290">
        <v>46098</v>
      </c>
      <c r="C26" s="291">
        <v>46104</v>
      </c>
      <c r="D26" s="257"/>
      <c r="E26" s="257"/>
      <c r="F26" s="691"/>
      <c r="G26" s="66"/>
      <c r="H26" s="145">
        <v>2</v>
      </c>
      <c r="I26" s="49"/>
      <c r="J26" s="30"/>
      <c r="K26" s="30"/>
    </row>
    <row r="27" spans="1:11" x14ac:dyDescent="0.2">
      <c r="A27" s="55"/>
      <c r="B27" s="290">
        <v>46164</v>
      </c>
      <c r="C27" s="291">
        <v>46175</v>
      </c>
      <c r="D27" s="257"/>
      <c r="E27" s="257"/>
      <c r="F27" s="691"/>
      <c r="G27" s="66"/>
      <c r="H27" s="145">
        <v>4</v>
      </c>
      <c r="I27" s="49"/>
      <c r="J27" s="30"/>
      <c r="K27" s="30"/>
    </row>
    <row r="28" spans="1:11" x14ac:dyDescent="0.2">
      <c r="A28" s="55" t="s">
        <v>1034</v>
      </c>
      <c r="B28" s="290">
        <v>46177</v>
      </c>
      <c r="C28" s="291">
        <v>46180</v>
      </c>
      <c r="D28" s="257"/>
      <c r="E28" s="257"/>
      <c r="F28" s="691"/>
      <c r="G28" s="66"/>
      <c r="H28" s="145">
        <v>3</v>
      </c>
      <c r="I28" s="49"/>
      <c r="J28" s="30"/>
      <c r="K28" s="30"/>
    </row>
    <row r="29" spans="1:11" x14ac:dyDescent="0.2">
      <c r="A29" s="55"/>
      <c r="B29" s="290">
        <v>46195</v>
      </c>
      <c r="C29" s="291">
        <v>46197</v>
      </c>
      <c r="D29" s="257"/>
      <c r="E29" s="257"/>
      <c r="F29" s="691"/>
      <c r="G29" s="66"/>
      <c r="H29" s="242">
        <v>2</v>
      </c>
      <c r="I29" s="49"/>
      <c r="J29" s="30"/>
      <c r="K29" s="30"/>
    </row>
    <row r="30" spans="1:11" x14ac:dyDescent="0.2">
      <c r="A30" s="55"/>
      <c r="B30" s="290"/>
      <c r="C30" s="291"/>
      <c r="D30" s="257"/>
      <c r="E30" s="257"/>
      <c r="F30" s="691"/>
      <c r="G30" s="66"/>
      <c r="H30" s="145"/>
      <c r="I30" s="49"/>
      <c r="J30" s="30"/>
      <c r="K30" s="30"/>
    </row>
    <row r="31" spans="1:11" x14ac:dyDescent="0.2">
      <c r="A31" s="55"/>
      <c r="B31" s="290"/>
      <c r="C31" s="291"/>
      <c r="D31" s="257"/>
      <c r="E31" s="257"/>
      <c r="F31" s="691"/>
      <c r="G31" s="66"/>
      <c r="H31" s="68"/>
      <c r="I31" s="49"/>
      <c r="J31" s="30"/>
      <c r="K31" s="30"/>
    </row>
    <row r="32" spans="1:11" x14ac:dyDescent="0.2">
      <c r="A32" s="55"/>
      <c r="B32" s="58"/>
      <c r="C32" s="56"/>
      <c r="D32" s="57"/>
      <c r="E32" s="57"/>
      <c r="F32" s="691"/>
      <c r="G32" s="66"/>
      <c r="H32" s="68"/>
      <c r="I32" s="49"/>
      <c r="J32" s="30"/>
      <c r="K32" s="30"/>
    </row>
    <row r="33" spans="1:11" x14ac:dyDescent="0.2">
      <c r="A33" s="55"/>
      <c r="B33" s="58"/>
      <c r="C33" s="56"/>
      <c r="D33" s="57"/>
      <c r="E33" s="57"/>
      <c r="F33" s="691"/>
      <c r="G33" s="66"/>
      <c r="H33" s="66"/>
      <c r="I33" s="49"/>
      <c r="J33" s="30"/>
      <c r="K33" s="30"/>
    </row>
    <row r="34" spans="1:11" x14ac:dyDescent="0.2">
      <c r="A34" s="72"/>
      <c r="B34" s="73"/>
      <c r="C34" s="74"/>
      <c r="D34" s="75"/>
      <c r="E34" s="75"/>
      <c r="F34" s="277" t="s">
        <v>123</v>
      </c>
      <c r="G34" s="77">
        <f>SUM(G5:G33)</f>
        <v>40</v>
      </c>
      <c r="H34" s="77">
        <f>SUM(H7:H33)</f>
        <v>36.5</v>
      </c>
      <c r="I34" s="61"/>
      <c r="J34" s="30"/>
      <c r="K34" s="30"/>
    </row>
    <row r="35" spans="1:11" x14ac:dyDescent="0.2">
      <c r="A35" s="30"/>
      <c r="B35" s="30"/>
      <c r="C35" s="30"/>
      <c r="D35" s="62"/>
      <c r="E35" s="62"/>
      <c r="F35" s="62"/>
      <c r="G35" s="63"/>
      <c r="H35" s="63"/>
      <c r="I35" s="63"/>
      <c r="J35" s="30"/>
      <c r="K35" s="30"/>
    </row>
    <row r="36" spans="1:11" ht="14.25" x14ac:dyDescent="0.2">
      <c r="A36" s="30"/>
      <c r="B36" s="30"/>
      <c r="C36" s="30"/>
      <c r="D36" s="62"/>
      <c r="E36" s="62"/>
      <c r="F36" s="1153" t="s">
        <v>8</v>
      </c>
      <c r="G36" s="1154"/>
      <c r="H36" s="84">
        <f>G34-H34</f>
        <v>3.5</v>
      </c>
      <c r="I36" s="63"/>
      <c r="J36" s="30"/>
      <c r="K36" s="30"/>
    </row>
  </sheetData>
  <mergeCells count="4">
    <mergeCell ref="F36:G36"/>
    <mergeCell ref="B9:C9"/>
    <mergeCell ref="J1:J3"/>
    <mergeCell ref="C1:H5"/>
  </mergeCells>
  <hyperlinks>
    <hyperlink ref="J1:J3" location="'ANA SAYFA'!A1" display="ANA SAYFA"/>
  </hyperlinks>
  <pageMargins left="0.7" right="0.7" top="0.75" bottom="0.75" header="0.3" footer="0.3"/>
  <pageSetup paperSize="9" scale="81" orientation="landscape"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6"/>
  <sheetViews>
    <sheetView zoomScaleNormal="100" workbookViewId="0">
      <selection activeCell="J1" sqref="J1:J3"/>
    </sheetView>
  </sheetViews>
  <sheetFormatPr defaultColWidth="9.140625" defaultRowHeight="12.75" x14ac:dyDescent="0.2"/>
  <cols>
    <col min="1" max="1" width="18.140625" style="82" bestFit="1" customWidth="1"/>
    <col min="2" max="3" width="28.28515625" style="82" bestFit="1" customWidth="1"/>
    <col min="4" max="5" width="9.28515625" style="82" bestFit="1" customWidth="1"/>
    <col min="6" max="6" width="22.140625" style="82" customWidth="1"/>
    <col min="7" max="7" width="14.42578125" style="82" bestFit="1" customWidth="1"/>
    <col min="8" max="8" width="12.7109375" style="82" bestFit="1" customWidth="1"/>
    <col min="9" max="9" width="3.42578125" style="82" customWidth="1"/>
    <col min="10" max="10" width="12.28515625" style="82" customWidth="1"/>
    <col min="11" max="16384" width="9.140625" style="82"/>
  </cols>
  <sheetData>
    <row r="1" spans="1:11" x14ac:dyDescent="0.2">
      <c r="A1" s="29" t="s">
        <v>135</v>
      </c>
      <c r="B1" s="188" t="str">
        <f>'ANA SAYFA'!B62</f>
        <v>EROL MASALCI</v>
      </c>
      <c r="C1" s="1166" t="s">
        <v>136</v>
      </c>
      <c r="D1" s="1166"/>
      <c r="E1" s="1166"/>
      <c r="F1" s="1166"/>
      <c r="G1" s="1166"/>
      <c r="H1" s="1166"/>
      <c r="I1" s="28"/>
      <c r="J1" s="1183" t="s">
        <v>712</v>
      </c>
      <c r="K1" s="30"/>
    </row>
    <row r="2" spans="1:11" x14ac:dyDescent="0.2">
      <c r="A2" s="29" t="s">
        <v>137</v>
      </c>
      <c r="B2" s="154">
        <f>'ANA SAYFA'!D62</f>
        <v>46012926426</v>
      </c>
      <c r="C2" s="1166"/>
      <c r="D2" s="1166"/>
      <c r="E2" s="1166"/>
      <c r="F2" s="1166"/>
      <c r="G2" s="1166"/>
      <c r="H2" s="1166"/>
      <c r="I2" s="28"/>
      <c r="J2" s="1184"/>
      <c r="K2" s="30"/>
    </row>
    <row r="3" spans="1:11" ht="13.5" thickBot="1" x14ac:dyDescent="0.25">
      <c r="A3" s="29" t="s">
        <v>131</v>
      </c>
      <c r="B3" s="153" t="str">
        <f>'ANA SAYFA'!C62</f>
        <v>KAMYON ŞOFÖRÜ</v>
      </c>
      <c r="C3" s="1166"/>
      <c r="D3" s="1166"/>
      <c r="E3" s="1166"/>
      <c r="F3" s="1166"/>
      <c r="G3" s="1166"/>
      <c r="H3" s="1166"/>
      <c r="I3" s="28"/>
      <c r="J3" s="1185"/>
      <c r="K3" s="30"/>
    </row>
    <row r="4" spans="1:11" x14ac:dyDescent="0.2">
      <c r="A4" s="29" t="s">
        <v>120</v>
      </c>
      <c r="B4" s="83">
        <v>45421</v>
      </c>
      <c r="C4" s="1166"/>
      <c r="D4" s="1166"/>
      <c r="E4" s="1166"/>
      <c r="F4" s="1166"/>
      <c r="G4" s="1166"/>
      <c r="H4" s="1166"/>
      <c r="I4" s="28"/>
      <c r="J4" s="30"/>
      <c r="K4" s="30"/>
    </row>
    <row r="5" spans="1:11" x14ac:dyDescent="0.2">
      <c r="A5" s="29" t="s">
        <v>130</v>
      </c>
      <c r="B5" s="83">
        <f>'ANA SAYFA'!F62</f>
        <v>33156</v>
      </c>
      <c r="C5" s="1166"/>
      <c r="D5" s="1166"/>
      <c r="E5" s="1166"/>
      <c r="F5" s="1166"/>
      <c r="G5" s="1166"/>
      <c r="H5" s="1166"/>
      <c r="I5" s="28"/>
    </row>
    <row r="6" spans="1:11" ht="31.5" x14ac:dyDescent="0.2">
      <c r="A6" s="69" t="s">
        <v>0</v>
      </c>
      <c r="B6" s="70" t="s">
        <v>1</v>
      </c>
      <c r="C6" s="69" t="s">
        <v>2</v>
      </c>
      <c r="D6" s="71" t="s">
        <v>133</v>
      </c>
      <c r="E6" s="71" t="s">
        <v>4</v>
      </c>
      <c r="F6" s="71" t="s">
        <v>7</v>
      </c>
      <c r="G6" s="71" t="s">
        <v>6</v>
      </c>
      <c r="H6" s="71" t="s">
        <v>16</v>
      </c>
      <c r="I6" s="34"/>
    </row>
    <row r="7" spans="1:11" x14ac:dyDescent="0.2">
      <c r="A7" s="139"/>
      <c r="B7" s="155">
        <v>45528</v>
      </c>
      <c r="C7" s="156">
        <v>45528</v>
      </c>
      <c r="D7" s="168">
        <v>0.33333333333333331</v>
      </c>
      <c r="E7" s="168">
        <v>0.33333333333333331</v>
      </c>
      <c r="F7" s="286" t="s">
        <v>806</v>
      </c>
      <c r="G7" s="191">
        <v>14</v>
      </c>
      <c r="H7" s="252">
        <v>1</v>
      </c>
      <c r="I7" s="49"/>
      <c r="J7" s="30"/>
      <c r="K7" s="30"/>
    </row>
    <row r="8" spans="1:11" x14ac:dyDescent="0.2">
      <c r="A8" s="139"/>
      <c r="B8" s="155">
        <v>45755</v>
      </c>
      <c r="C8" s="156">
        <v>45755</v>
      </c>
      <c r="D8" s="735">
        <v>0.33333333333333331</v>
      </c>
      <c r="E8" s="735">
        <v>0.33333333333333331</v>
      </c>
      <c r="F8" s="286" t="s">
        <v>1013</v>
      </c>
      <c r="G8" s="191">
        <v>14</v>
      </c>
      <c r="H8" s="252">
        <v>1</v>
      </c>
      <c r="I8" s="49"/>
      <c r="J8" s="30"/>
      <c r="K8" s="30"/>
    </row>
    <row r="9" spans="1:11" x14ac:dyDescent="0.2">
      <c r="A9" s="141"/>
      <c r="B9" s="932" t="s">
        <v>781</v>
      </c>
      <c r="C9" s="158"/>
      <c r="D9" s="168"/>
      <c r="E9" s="168"/>
      <c r="F9" s="286"/>
      <c r="G9" s="191"/>
      <c r="H9" s="888">
        <v>-1</v>
      </c>
      <c r="I9" s="49"/>
      <c r="J9" s="30"/>
      <c r="K9" s="30"/>
    </row>
    <row r="10" spans="1:11" s="699" customFormat="1" x14ac:dyDescent="0.2">
      <c r="A10" s="930"/>
      <c r="B10" s="928" t="s">
        <v>804</v>
      </c>
      <c r="C10" s="931"/>
      <c r="D10" s="733"/>
      <c r="E10" s="733"/>
      <c r="F10" s="723"/>
      <c r="G10" s="723"/>
      <c r="H10" s="929">
        <v>-1</v>
      </c>
      <c r="I10" s="684"/>
      <c r="J10" s="670"/>
    </row>
    <row r="11" spans="1:11" x14ac:dyDescent="0.2">
      <c r="A11" s="141"/>
      <c r="B11" s="245">
        <v>45891</v>
      </c>
      <c r="C11" s="245">
        <v>45908</v>
      </c>
      <c r="D11" s="168"/>
      <c r="E11" s="168"/>
      <c r="F11" s="253"/>
      <c r="G11" s="145"/>
      <c r="H11" s="239">
        <v>14</v>
      </c>
      <c r="I11" s="49"/>
      <c r="J11" s="407"/>
      <c r="K11" s="30"/>
    </row>
    <row r="12" spans="1:11" x14ac:dyDescent="0.2">
      <c r="A12" s="141"/>
      <c r="B12" s="983">
        <v>45908</v>
      </c>
      <c r="C12" s="983">
        <v>45910</v>
      </c>
      <c r="D12" s="984"/>
      <c r="E12" s="984"/>
      <c r="F12" s="283"/>
      <c r="G12" s="268"/>
      <c r="H12" s="268">
        <v>2</v>
      </c>
    </row>
    <row r="13" spans="1:11" x14ac:dyDescent="0.2">
      <c r="A13" s="141"/>
      <c r="B13" s="983">
        <v>45919</v>
      </c>
      <c r="C13" s="985">
        <v>45922</v>
      </c>
      <c r="D13" s="986"/>
      <c r="E13" s="984"/>
      <c r="F13" s="984"/>
      <c r="G13" s="268"/>
      <c r="H13" s="268">
        <v>2</v>
      </c>
    </row>
    <row r="14" spans="1:11" x14ac:dyDescent="0.2">
      <c r="A14" s="141"/>
      <c r="B14" s="932" t="s">
        <v>893</v>
      </c>
      <c r="C14" s="987"/>
      <c r="D14" s="355"/>
      <c r="E14" s="355"/>
      <c r="F14" s="268"/>
      <c r="G14" s="268"/>
      <c r="H14" s="888">
        <v>-4</v>
      </c>
    </row>
    <row r="15" spans="1:11" x14ac:dyDescent="0.2">
      <c r="A15" s="141"/>
      <c r="B15" s="142">
        <v>45954</v>
      </c>
      <c r="C15" s="143">
        <v>45955</v>
      </c>
      <c r="D15" s="144"/>
      <c r="E15" s="144"/>
      <c r="F15" s="145"/>
      <c r="G15" s="145"/>
      <c r="H15" s="145">
        <v>1</v>
      </c>
    </row>
    <row r="16" spans="1:11" x14ac:dyDescent="0.2">
      <c r="A16" s="141"/>
      <c r="B16" s="142">
        <v>45978</v>
      </c>
      <c r="C16" s="143">
        <v>45980</v>
      </c>
      <c r="D16" s="144"/>
      <c r="E16" s="144"/>
      <c r="F16" s="145"/>
      <c r="G16" s="145"/>
      <c r="H16" s="145">
        <v>2</v>
      </c>
    </row>
    <row r="17" spans="1:8" x14ac:dyDescent="0.2">
      <c r="A17" s="141"/>
      <c r="B17" s="142">
        <v>45982</v>
      </c>
      <c r="C17" s="143">
        <v>45983</v>
      </c>
      <c r="D17" s="144"/>
      <c r="E17" s="144"/>
      <c r="F17" s="145"/>
      <c r="G17" s="145"/>
      <c r="H17" s="145">
        <v>1</v>
      </c>
    </row>
    <row r="18" spans="1:8" s="699" customFormat="1" x14ac:dyDescent="0.2">
      <c r="A18" s="719"/>
      <c r="B18" s="932" t="s">
        <v>934</v>
      </c>
      <c r="C18" s="987"/>
      <c r="D18" s="355"/>
      <c r="E18" s="355"/>
      <c r="F18" s="268"/>
      <c r="G18" s="268"/>
      <c r="H18" s="888">
        <v>-2</v>
      </c>
    </row>
    <row r="19" spans="1:8" x14ac:dyDescent="0.2">
      <c r="A19" s="141"/>
      <c r="B19" s="142">
        <v>46017</v>
      </c>
      <c r="C19" s="143">
        <v>46018</v>
      </c>
      <c r="D19" s="144"/>
      <c r="E19" s="144"/>
      <c r="F19" s="140"/>
      <c r="G19" s="145"/>
      <c r="H19" s="145">
        <v>1</v>
      </c>
    </row>
    <row r="20" spans="1:8" x14ac:dyDescent="0.2">
      <c r="A20" s="141"/>
      <c r="B20" s="142">
        <v>46069</v>
      </c>
      <c r="C20" s="143">
        <v>46070</v>
      </c>
      <c r="D20" s="144"/>
      <c r="E20" s="144"/>
      <c r="F20" s="140"/>
      <c r="G20" s="145"/>
      <c r="H20" s="242">
        <v>1</v>
      </c>
    </row>
    <row r="21" spans="1:8" x14ac:dyDescent="0.2">
      <c r="A21" s="146"/>
      <c r="B21" s="142">
        <v>46106</v>
      </c>
      <c r="C21" s="143">
        <v>46107</v>
      </c>
      <c r="D21" s="144"/>
      <c r="E21" s="144"/>
      <c r="F21" s="140"/>
      <c r="G21" s="145"/>
      <c r="H21" s="242">
        <v>1</v>
      </c>
    </row>
    <row r="22" spans="1:8" x14ac:dyDescent="0.2">
      <c r="A22" s="55"/>
      <c r="B22" s="142"/>
      <c r="C22" s="143"/>
      <c r="D22" s="144"/>
      <c r="E22" s="144"/>
      <c r="F22" s="140"/>
      <c r="G22" s="145"/>
      <c r="H22" s="145"/>
    </row>
    <row r="23" spans="1:8" x14ac:dyDescent="0.2">
      <c r="A23" s="55"/>
      <c r="B23" s="720" t="s">
        <v>989</v>
      </c>
      <c r="C23" s="143"/>
      <c r="D23" s="144"/>
      <c r="E23" s="144"/>
      <c r="F23" s="140"/>
      <c r="G23" s="145"/>
      <c r="H23" s="145">
        <v>0</v>
      </c>
    </row>
    <row r="24" spans="1:8" x14ac:dyDescent="0.2">
      <c r="A24" s="55"/>
      <c r="B24" s="932" t="s">
        <v>1014</v>
      </c>
      <c r="C24" s="143"/>
      <c r="D24" s="144"/>
      <c r="E24" s="144"/>
      <c r="F24" s="140"/>
      <c r="G24" s="145"/>
      <c r="H24" s="145">
        <v>-3</v>
      </c>
    </row>
    <row r="25" spans="1:8" x14ac:dyDescent="0.2">
      <c r="A25" s="55"/>
      <c r="B25" s="142">
        <v>46160</v>
      </c>
      <c r="C25" s="143">
        <v>46161</v>
      </c>
      <c r="D25" s="144"/>
      <c r="E25" s="144"/>
      <c r="F25" s="140"/>
      <c r="G25" s="145"/>
      <c r="H25" s="145">
        <v>1</v>
      </c>
    </row>
    <row r="26" spans="1:8" x14ac:dyDescent="0.2">
      <c r="A26" s="55"/>
      <c r="B26" s="142">
        <v>46186</v>
      </c>
      <c r="C26" s="143">
        <v>46188</v>
      </c>
      <c r="D26" s="144"/>
      <c r="E26" s="144"/>
      <c r="F26" s="140"/>
      <c r="G26" s="145"/>
      <c r="H26" s="145">
        <v>1</v>
      </c>
    </row>
    <row r="27" spans="1:8" x14ac:dyDescent="0.2">
      <c r="A27" s="55"/>
      <c r="B27" s="142"/>
      <c r="C27" s="143"/>
      <c r="D27" s="144"/>
      <c r="E27" s="144"/>
      <c r="F27" s="140"/>
      <c r="G27" s="145"/>
      <c r="H27" s="259"/>
    </row>
    <row r="28" spans="1:8" x14ac:dyDescent="0.2">
      <c r="A28" s="55"/>
      <c r="B28" s="142"/>
      <c r="C28" s="143"/>
      <c r="D28" s="144"/>
      <c r="E28" s="144"/>
      <c r="F28" s="140"/>
      <c r="G28" s="145"/>
      <c r="H28" s="145"/>
    </row>
    <row r="29" spans="1:8" x14ac:dyDescent="0.2">
      <c r="A29" s="55"/>
      <c r="B29" s="142"/>
      <c r="C29" s="143"/>
      <c r="D29" s="144"/>
      <c r="E29" s="144"/>
      <c r="F29" s="140"/>
      <c r="G29" s="145"/>
      <c r="H29" s="145"/>
    </row>
    <row r="30" spans="1:8" x14ac:dyDescent="0.2">
      <c r="A30" s="147"/>
      <c r="B30" s="142"/>
      <c r="C30" s="143"/>
      <c r="D30" s="144"/>
      <c r="E30" s="144"/>
      <c r="F30" s="48"/>
      <c r="G30" s="66"/>
      <c r="H30" s="145"/>
    </row>
    <row r="31" spans="1:8" x14ac:dyDescent="0.2">
      <c r="A31" s="147"/>
      <c r="B31" s="142"/>
      <c r="C31" s="143"/>
      <c r="D31" s="144"/>
      <c r="E31" s="144"/>
      <c r="F31" s="48"/>
      <c r="G31" s="66"/>
      <c r="H31" s="145"/>
    </row>
    <row r="32" spans="1:8" x14ac:dyDescent="0.2">
      <c r="A32" s="147"/>
      <c r="B32" s="142"/>
      <c r="C32" s="143"/>
      <c r="D32" s="144"/>
      <c r="E32" s="144"/>
      <c r="F32" s="48"/>
      <c r="G32" s="66"/>
      <c r="H32" s="68"/>
    </row>
    <row r="33" spans="1:8" x14ac:dyDescent="0.2">
      <c r="A33" s="147"/>
      <c r="B33" s="142"/>
      <c r="C33" s="143"/>
      <c r="D33" s="144"/>
      <c r="E33" s="144"/>
      <c r="F33" s="48"/>
      <c r="G33" s="66"/>
      <c r="H33" s="66"/>
    </row>
    <row r="34" spans="1:8" x14ac:dyDescent="0.2">
      <c r="F34" s="277" t="s">
        <v>123</v>
      </c>
      <c r="G34" s="77">
        <f>SUM(G5:G33)</f>
        <v>28</v>
      </c>
      <c r="H34" s="77">
        <f>SUM(H7:H33)</f>
        <v>18</v>
      </c>
    </row>
    <row r="35" spans="1:8" x14ac:dyDescent="0.2">
      <c r="F35" s="62"/>
      <c r="G35" s="63"/>
      <c r="H35" s="63"/>
    </row>
    <row r="36" spans="1:8" ht="14.25" x14ac:dyDescent="0.2">
      <c r="F36" s="1153" t="s">
        <v>8</v>
      </c>
      <c r="G36" s="1154"/>
      <c r="H36" s="84">
        <f>G34-H34</f>
        <v>10</v>
      </c>
    </row>
  </sheetData>
  <mergeCells count="3">
    <mergeCell ref="F36:G36"/>
    <mergeCell ref="C1:H5"/>
    <mergeCell ref="J1:J3"/>
  </mergeCells>
  <hyperlinks>
    <hyperlink ref="J1:J3" location="'ANA SAYFA'!A1" display="ANA SAYFA"/>
  </hyperlinks>
  <pageMargins left="0.7" right="0.12" top="0.31" bottom="0.75" header="0.3" footer="0.3"/>
  <pageSetup paperSize="9" scale="65"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0"/>
  <sheetViews>
    <sheetView workbookViewId="0">
      <selection activeCell="J1" sqref="J1:J3"/>
    </sheetView>
  </sheetViews>
  <sheetFormatPr defaultColWidth="9.140625" defaultRowHeight="12.75" x14ac:dyDescent="0.2"/>
  <cols>
    <col min="1" max="1" width="18.140625" style="82" bestFit="1" customWidth="1"/>
    <col min="2" max="2" width="26.42578125" style="82" bestFit="1" customWidth="1"/>
    <col min="3" max="3" width="26.7109375" style="82" bestFit="1" customWidth="1"/>
    <col min="4" max="4" width="9.28515625" style="82" bestFit="1" customWidth="1"/>
    <col min="5" max="5" width="8.85546875" style="82" bestFit="1" customWidth="1"/>
    <col min="6" max="6" width="20.85546875" style="82" bestFit="1" customWidth="1"/>
    <col min="7" max="7" width="14.28515625" style="82" bestFit="1" customWidth="1"/>
    <col min="8" max="8" width="12.5703125" style="82" bestFit="1" customWidth="1"/>
    <col min="9" max="9" width="4.28515625" style="82" customWidth="1"/>
    <col min="10" max="10" width="11.7109375" style="82" customWidth="1"/>
    <col min="11" max="16384" width="9.140625" style="82"/>
  </cols>
  <sheetData>
    <row r="1" spans="1:11" ht="14.25" customHeight="1" x14ac:dyDescent="0.2">
      <c r="A1" s="29" t="s">
        <v>135</v>
      </c>
      <c r="B1" s="188" t="str">
        <f>'ANA SAYFA'!B63</f>
        <v>HAKAN AKKOÇ</v>
      </c>
      <c r="C1" s="1166" t="s">
        <v>136</v>
      </c>
      <c r="D1" s="1166"/>
      <c r="E1" s="1166"/>
      <c r="F1" s="1166"/>
      <c r="G1" s="1166"/>
      <c r="H1" s="1166"/>
      <c r="I1" s="28"/>
      <c r="J1" s="1183" t="s">
        <v>712</v>
      </c>
      <c r="K1" s="30"/>
    </row>
    <row r="2" spans="1:11" ht="14.25" customHeight="1" x14ac:dyDescent="0.2">
      <c r="A2" s="29" t="s">
        <v>137</v>
      </c>
      <c r="B2" s="154">
        <f>'ANA SAYFA'!D63</f>
        <v>57853468006</v>
      </c>
      <c r="C2" s="1166"/>
      <c r="D2" s="1166"/>
      <c r="E2" s="1166"/>
      <c r="F2" s="1166"/>
      <c r="G2" s="1166"/>
      <c r="H2" s="1166"/>
      <c r="I2" s="28"/>
      <c r="J2" s="1184"/>
      <c r="K2" s="30"/>
    </row>
    <row r="3" spans="1:11" ht="14.25" customHeight="1" thickBot="1" x14ac:dyDescent="0.25">
      <c r="A3" s="29" t="s">
        <v>131</v>
      </c>
      <c r="B3" s="153" t="str">
        <f>'ANA SAYFA'!C63</f>
        <v xml:space="preserve">KAMYON ŞOFÖRÜ </v>
      </c>
      <c r="C3" s="1166"/>
      <c r="D3" s="1166"/>
      <c r="E3" s="1166"/>
      <c r="F3" s="1166"/>
      <c r="G3" s="1166"/>
      <c r="H3" s="1166"/>
      <c r="I3" s="28"/>
      <c r="J3" s="1185"/>
      <c r="K3" s="30"/>
    </row>
    <row r="4" spans="1:11" ht="14.25" customHeight="1" x14ac:dyDescent="0.2">
      <c r="A4" s="29" t="s">
        <v>120</v>
      </c>
      <c r="B4" s="83">
        <f>'ANA SAYFA'!E63</f>
        <v>45149</v>
      </c>
      <c r="C4" s="1166"/>
      <c r="D4" s="1166"/>
      <c r="E4" s="1166"/>
      <c r="F4" s="1166"/>
      <c r="G4" s="1166"/>
      <c r="H4" s="1166"/>
      <c r="I4" s="28"/>
      <c r="J4" s="30"/>
      <c r="K4" s="30"/>
    </row>
    <row r="5" spans="1:11" ht="14.25" customHeight="1" x14ac:dyDescent="0.2">
      <c r="A5" s="29" t="s">
        <v>130</v>
      </c>
      <c r="B5" s="83">
        <f>'ANA SAYFA'!F63</f>
        <v>25950</v>
      </c>
      <c r="C5" s="1166"/>
      <c r="D5" s="1166"/>
      <c r="E5" s="1166"/>
      <c r="F5" s="1166"/>
      <c r="G5" s="1166"/>
      <c r="H5" s="1166"/>
      <c r="I5" s="28"/>
    </row>
    <row r="6" spans="1:11" ht="31.5" x14ac:dyDescent="0.2">
      <c r="A6" s="69" t="s">
        <v>0</v>
      </c>
      <c r="B6" s="70" t="s">
        <v>1</v>
      </c>
      <c r="C6" s="69" t="s">
        <v>2</v>
      </c>
      <c r="D6" s="71" t="s">
        <v>133</v>
      </c>
      <c r="E6" s="71" t="s">
        <v>4</v>
      </c>
      <c r="F6" s="71" t="s">
        <v>7</v>
      </c>
      <c r="G6" s="71" t="s">
        <v>6</v>
      </c>
      <c r="H6" s="71" t="s">
        <v>16</v>
      </c>
      <c r="I6" s="34"/>
    </row>
    <row r="7" spans="1:11" x14ac:dyDescent="0.2">
      <c r="A7" s="139"/>
      <c r="B7" s="155">
        <v>45463</v>
      </c>
      <c r="C7" s="156">
        <v>45465</v>
      </c>
      <c r="D7" s="168">
        <v>0.33333333333333331</v>
      </c>
      <c r="E7" s="168">
        <v>0.33333333333333331</v>
      </c>
      <c r="F7" s="231" t="s">
        <v>622</v>
      </c>
      <c r="G7" s="191">
        <v>20</v>
      </c>
      <c r="H7" s="192">
        <v>3</v>
      </c>
      <c r="I7" s="49"/>
      <c r="J7" s="30"/>
      <c r="K7" s="30"/>
    </row>
    <row r="8" spans="1:11" x14ac:dyDescent="0.2">
      <c r="A8" s="139"/>
      <c r="B8" s="1206" t="s">
        <v>639</v>
      </c>
      <c r="C8" s="1207"/>
      <c r="D8" s="168"/>
      <c r="E8" s="168"/>
      <c r="F8" s="752" t="s">
        <v>875</v>
      </c>
      <c r="G8" s="191">
        <v>20</v>
      </c>
      <c r="H8" s="639">
        <v>-2</v>
      </c>
      <c r="I8" s="49"/>
      <c r="J8" s="30"/>
      <c r="K8" s="30"/>
    </row>
    <row r="9" spans="1:11" x14ac:dyDescent="0.2">
      <c r="A9" s="139"/>
      <c r="B9" s="155">
        <v>45233</v>
      </c>
      <c r="C9" s="156">
        <v>45236</v>
      </c>
      <c r="D9" s="168">
        <v>0.33333333333333331</v>
      </c>
      <c r="E9" s="168">
        <v>0.33333333333333331</v>
      </c>
      <c r="F9" s="231"/>
      <c r="G9" s="191"/>
      <c r="H9" s="192">
        <v>2</v>
      </c>
      <c r="I9" s="49"/>
      <c r="J9" s="30"/>
      <c r="K9" s="30"/>
    </row>
    <row r="10" spans="1:11" x14ac:dyDescent="0.2">
      <c r="A10" s="139"/>
      <c r="B10" s="155">
        <v>45390</v>
      </c>
      <c r="C10" s="156">
        <v>45390</v>
      </c>
      <c r="D10" s="168">
        <v>0.33333333333333331</v>
      </c>
      <c r="E10" s="168">
        <v>0.33333333333333331</v>
      </c>
      <c r="F10" s="231"/>
      <c r="G10" s="191"/>
      <c r="H10" s="192">
        <v>1</v>
      </c>
      <c r="I10" s="49"/>
      <c r="J10" s="30"/>
      <c r="K10" s="30"/>
    </row>
    <row r="11" spans="1:11" x14ac:dyDescent="0.2">
      <c r="A11" s="139"/>
      <c r="B11" s="155">
        <v>45534</v>
      </c>
      <c r="C11" s="156">
        <v>45538</v>
      </c>
      <c r="D11" s="168">
        <v>0.33333333333333331</v>
      </c>
      <c r="E11" s="168">
        <v>0.33333333333333331</v>
      </c>
      <c r="F11" s="145"/>
      <c r="G11" s="191"/>
      <c r="H11" s="239">
        <v>3.5</v>
      </c>
      <c r="I11" s="49"/>
      <c r="J11" s="30"/>
      <c r="K11" s="30"/>
    </row>
    <row r="12" spans="1:11" x14ac:dyDescent="0.2">
      <c r="A12" s="141"/>
      <c r="B12" s="155">
        <v>45563</v>
      </c>
      <c r="C12" s="156">
        <v>45563</v>
      </c>
      <c r="D12" s="168">
        <v>0.33333333333333331</v>
      </c>
      <c r="E12" s="168">
        <v>0.33333333333333331</v>
      </c>
      <c r="F12" s="145"/>
      <c r="G12" s="191"/>
      <c r="H12" s="192">
        <v>1</v>
      </c>
      <c r="I12" s="49"/>
      <c r="J12" s="30"/>
      <c r="K12" s="30"/>
    </row>
    <row r="13" spans="1:11" x14ac:dyDescent="0.2">
      <c r="A13" s="141"/>
      <c r="B13" s="155">
        <v>45744</v>
      </c>
      <c r="C13" s="156">
        <v>45744</v>
      </c>
      <c r="D13" s="735">
        <v>0.33333333333333331</v>
      </c>
      <c r="E13" s="735">
        <v>0.33333333333333331</v>
      </c>
      <c r="F13" s="145"/>
      <c r="G13" s="191"/>
      <c r="H13" s="192">
        <v>1</v>
      </c>
      <c r="I13" s="49"/>
      <c r="J13" s="30"/>
      <c r="K13" s="30"/>
    </row>
    <row r="14" spans="1:11" x14ac:dyDescent="0.2">
      <c r="A14" s="141"/>
      <c r="B14" s="155">
        <v>45805</v>
      </c>
      <c r="C14" s="156">
        <v>45806</v>
      </c>
      <c r="D14" s="168">
        <v>0.33333333333333331</v>
      </c>
      <c r="E14" s="168">
        <v>0.33333333333333331</v>
      </c>
      <c r="F14" s="145"/>
      <c r="G14" s="191"/>
      <c r="H14" s="192">
        <v>2</v>
      </c>
      <c r="I14" s="49"/>
      <c r="J14" s="30"/>
      <c r="K14" s="30"/>
    </row>
    <row r="15" spans="1:11" x14ac:dyDescent="0.2">
      <c r="A15" s="141"/>
      <c r="B15" s="155">
        <v>45908</v>
      </c>
      <c r="C15" s="156">
        <v>45915</v>
      </c>
      <c r="D15" s="735">
        <v>0.33333333333333331</v>
      </c>
      <c r="E15" s="735">
        <v>0.33333333333333331</v>
      </c>
      <c r="F15" s="145"/>
      <c r="G15" s="191"/>
      <c r="H15" s="192">
        <v>6</v>
      </c>
      <c r="I15" s="49"/>
      <c r="J15" s="30"/>
      <c r="K15" s="30"/>
    </row>
    <row r="16" spans="1:11" x14ac:dyDescent="0.2">
      <c r="A16" s="141"/>
      <c r="B16" s="155">
        <v>46006</v>
      </c>
      <c r="C16" s="156">
        <v>46007</v>
      </c>
      <c r="D16" s="168"/>
      <c r="E16" s="168"/>
      <c r="F16" s="145"/>
      <c r="G16" s="191"/>
      <c r="H16" s="192">
        <v>1</v>
      </c>
      <c r="I16" s="49"/>
      <c r="J16" s="30"/>
      <c r="K16" s="30"/>
    </row>
    <row r="17" spans="1:11" x14ac:dyDescent="0.2">
      <c r="A17" s="141"/>
      <c r="B17" s="155">
        <v>46074</v>
      </c>
      <c r="C17" s="156">
        <v>46076</v>
      </c>
      <c r="D17" s="168"/>
      <c r="E17" s="168"/>
      <c r="F17" s="145"/>
      <c r="G17" s="191"/>
      <c r="H17" s="192">
        <v>1</v>
      </c>
      <c r="I17" s="49"/>
      <c r="J17" s="30"/>
      <c r="K17" s="30"/>
    </row>
    <row r="18" spans="1:11" x14ac:dyDescent="0.2">
      <c r="A18" s="141"/>
      <c r="B18" s="155">
        <v>46104</v>
      </c>
      <c r="C18" s="156">
        <v>46105</v>
      </c>
      <c r="D18" s="168">
        <v>0.33333333333333331</v>
      </c>
      <c r="E18" s="168">
        <v>0.60416666666666663</v>
      </c>
      <c r="F18" s="145"/>
      <c r="G18" s="191"/>
      <c r="H18" s="755">
        <v>1.5</v>
      </c>
      <c r="I18" s="49"/>
      <c r="J18" s="30"/>
      <c r="K18" s="30"/>
    </row>
    <row r="19" spans="1:11" x14ac:dyDescent="0.2">
      <c r="A19" s="141"/>
      <c r="B19" s="155">
        <v>46163</v>
      </c>
      <c r="C19" s="156">
        <v>46174</v>
      </c>
      <c r="D19" s="735">
        <v>0.33333333333333331</v>
      </c>
      <c r="E19" s="735">
        <v>0.33333333333333331</v>
      </c>
      <c r="F19" s="145"/>
      <c r="G19" s="191"/>
      <c r="H19" s="192">
        <v>4</v>
      </c>
      <c r="I19" s="49"/>
      <c r="J19" s="30"/>
      <c r="K19" s="30"/>
    </row>
    <row r="20" spans="1:11" x14ac:dyDescent="0.2">
      <c r="A20" s="141"/>
      <c r="B20" s="155"/>
      <c r="C20" s="156"/>
      <c r="D20" s="168"/>
      <c r="E20" s="168"/>
      <c r="F20" s="145"/>
      <c r="G20" s="191"/>
      <c r="H20" s="192"/>
      <c r="I20" s="49"/>
      <c r="J20" s="30"/>
      <c r="K20" s="30"/>
    </row>
    <row r="21" spans="1:11" x14ac:dyDescent="0.2">
      <c r="A21" s="141"/>
      <c r="B21" s="155"/>
      <c r="C21" s="156"/>
      <c r="D21" s="168"/>
      <c r="E21" s="168"/>
      <c r="F21" s="145"/>
      <c r="G21" s="191"/>
      <c r="H21" s="192"/>
      <c r="I21" s="49"/>
      <c r="J21" s="30"/>
      <c r="K21" s="30"/>
    </row>
    <row r="22" spans="1:11" x14ac:dyDescent="0.2">
      <c r="A22" s="141"/>
      <c r="B22" s="155"/>
      <c r="C22" s="156"/>
      <c r="D22" s="168"/>
      <c r="E22" s="168"/>
      <c r="F22" s="145"/>
      <c r="G22" s="191"/>
      <c r="H22" s="192"/>
      <c r="I22" s="49"/>
      <c r="J22" s="30"/>
      <c r="K22" s="30"/>
    </row>
    <row r="23" spans="1:11" x14ac:dyDescent="0.2">
      <c r="A23" s="141"/>
      <c r="B23" s="155"/>
      <c r="C23" s="158"/>
      <c r="D23" s="159"/>
      <c r="E23" s="159"/>
      <c r="F23" s="145"/>
      <c r="G23" s="145"/>
      <c r="H23" s="157"/>
      <c r="I23" s="49"/>
      <c r="J23" s="30"/>
      <c r="K23" s="30"/>
    </row>
    <row r="24" spans="1:11" x14ac:dyDescent="0.2">
      <c r="A24" s="146"/>
      <c r="B24" s="155"/>
      <c r="C24" s="158"/>
      <c r="D24" s="159"/>
      <c r="E24" s="159"/>
      <c r="F24" s="145"/>
      <c r="G24" s="145"/>
      <c r="H24" s="157"/>
      <c r="I24" s="49"/>
      <c r="J24" s="30"/>
      <c r="K24" s="30"/>
    </row>
    <row r="25" spans="1:11" x14ac:dyDescent="0.2">
      <c r="A25" s="146"/>
      <c r="B25" s="245"/>
      <c r="C25" s="246"/>
      <c r="D25" s="247"/>
      <c r="E25" s="247"/>
      <c r="F25" s="145"/>
      <c r="G25" s="145"/>
      <c r="H25" s="145"/>
      <c r="I25" s="49"/>
      <c r="J25" s="30"/>
      <c r="K25" s="30"/>
    </row>
    <row r="26" spans="1:11" x14ac:dyDescent="0.2">
      <c r="A26" s="236"/>
      <c r="B26" s="245"/>
      <c r="C26" s="246"/>
      <c r="D26" s="247"/>
      <c r="E26" s="247"/>
      <c r="F26" s="145"/>
      <c r="G26" s="145"/>
      <c r="H26" s="157"/>
      <c r="I26" s="49"/>
      <c r="J26" s="30"/>
      <c r="K26" s="30"/>
    </row>
    <row r="27" spans="1:11" x14ac:dyDescent="0.2">
      <c r="A27" s="236"/>
      <c r="B27" s="245"/>
      <c r="C27" s="246"/>
      <c r="D27" s="247"/>
      <c r="E27" s="247"/>
      <c r="F27" s="145"/>
      <c r="G27" s="145"/>
      <c r="H27" s="192"/>
      <c r="I27" s="49"/>
      <c r="J27" s="30"/>
      <c r="K27" s="30"/>
    </row>
    <row r="28" spans="1:11" x14ac:dyDescent="0.2">
      <c r="A28" s="147"/>
      <c r="B28" s="245"/>
      <c r="C28" s="246"/>
      <c r="D28" s="247"/>
      <c r="E28" s="247"/>
      <c r="F28" s="145"/>
      <c r="G28" s="145"/>
      <c r="H28" s="157"/>
      <c r="I28" s="49"/>
      <c r="J28" s="30"/>
      <c r="K28" s="30"/>
    </row>
    <row r="29" spans="1:11" x14ac:dyDescent="0.2">
      <c r="A29" s="55"/>
      <c r="B29" s="142"/>
      <c r="C29" s="143"/>
      <c r="D29" s="144"/>
      <c r="E29" s="144"/>
      <c r="F29" s="66"/>
      <c r="G29" s="276"/>
      <c r="H29" s="192"/>
    </row>
    <row r="30" spans="1:11" x14ac:dyDescent="0.2">
      <c r="A30" s="55"/>
      <c r="B30" s="142"/>
      <c r="C30" s="143"/>
      <c r="D30" s="144"/>
      <c r="E30" s="144"/>
      <c r="F30" s="66"/>
      <c r="G30" s="276"/>
      <c r="H30" s="192"/>
    </row>
    <row r="31" spans="1:11" x14ac:dyDescent="0.2">
      <c r="A31" s="147"/>
      <c r="B31" s="142"/>
      <c r="C31" s="143"/>
      <c r="D31" s="144"/>
      <c r="E31" s="144"/>
      <c r="F31" s="145"/>
      <c r="G31" s="145"/>
      <c r="H31" s="145"/>
    </row>
    <row r="32" spans="1:11" x14ac:dyDescent="0.2">
      <c r="A32" s="147"/>
      <c r="B32" s="142"/>
      <c r="C32" s="143"/>
      <c r="D32" s="144"/>
      <c r="E32" s="144"/>
      <c r="F32" s="66"/>
      <c r="G32" s="66"/>
      <c r="H32" s="145"/>
    </row>
    <row r="33" spans="1:8" x14ac:dyDescent="0.2">
      <c r="A33" s="147"/>
      <c r="B33" s="142"/>
      <c r="C33" s="143"/>
      <c r="D33" s="144"/>
      <c r="E33" s="144"/>
      <c r="F33" s="66"/>
      <c r="G33" s="66"/>
      <c r="H33" s="145"/>
    </row>
    <row r="34" spans="1:8" x14ac:dyDescent="0.2">
      <c r="A34" s="147"/>
      <c r="B34" s="142"/>
      <c r="C34" s="143"/>
      <c r="D34" s="144"/>
      <c r="E34" s="144"/>
      <c r="F34" s="66"/>
      <c r="G34" s="66"/>
      <c r="H34" s="145"/>
    </row>
    <row r="35" spans="1:8" x14ac:dyDescent="0.2">
      <c r="A35" s="147"/>
      <c r="B35" s="142"/>
      <c r="C35" s="143"/>
      <c r="D35" s="144"/>
      <c r="E35" s="144"/>
      <c r="F35" s="66"/>
      <c r="G35" s="66"/>
      <c r="H35" s="66"/>
    </row>
    <row r="36" spans="1:8" x14ac:dyDescent="0.2">
      <c r="A36" s="147"/>
      <c r="B36" s="142"/>
      <c r="C36" s="143"/>
      <c r="D36" s="144"/>
      <c r="E36" s="144"/>
      <c r="F36" s="66"/>
      <c r="G36" s="66"/>
      <c r="H36" s="66"/>
    </row>
    <row r="37" spans="1:8" x14ac:dyDescent="0.2">
      <c r="A37" s="147"/>
      <c r="B37" s="142"/>
      <c r="C37" s="143"/>
      <c r="D37" s="144"/>
      <c r="E37" s="144"/>
      <c r="F37" s="48"/>
      <c r="G37" s="66"/>
      <c r="H37" s="66"/>
    </row>
    <row r="38" spans="1:8" ht="16.5" customHeight="1" x14ac:dyDescent="0.2">
      <c r="F38" s="353" t="s">
        <v>123</v>
      </c>
      <c r="G38" s="643">
        <f>SUM(G7:G37)</f>
        <v>40</v>
      </c>
      <c r="H38" s="640">
        <f>SUM(H7:H37)</f>
        <v>25</v>
      </c>
    </row>
    <row r="39" spans="1:8" ht="16.5" customHeight="1" x14ac:dyDescent="0.2">
      <c r="F39" s="641"/>
      <c r="G39" s="642"/>
      <c r="H39" s="644"/>
    </row>
    <row r="40" spans="1:8" ht="16.5" customHeight="1" x14ac:dyDescent="0.2">
      <c r="F40" s="1263" t="s">
        <v>8</v>
      </c>
      <c r="G40" s="1264"/>
      <c r="H40" s="638">
        <f>G38-H38</f>
        <v>15</v>
      </c>
    </row>
  </sheetData>
  <mergeCells count="4">
    <mergeCell ref="F40:G40"/>
    <mergeCell ref="C1:H5"/>
    <mergeCell ref="J1:J3"/>
    <mergeCell ref="B8:C8"/>
  </mergeCells>
  <hyperlinks>
    <hyperlink ref="J1:J3" location="'ANA SAYFA'!A1" display="ANA SAYFA"/>
  </hyperlinks>
  <pageMargins left="0.7" right="0.12" top="0.28999999999999998" bottom="0.28999999999999998" header="0.3" footer="0.3"/>
  <pageSetup paperSize="9" scale="6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9"/>
  <sheetViews>
    <sheetView zoomScaleNormal="100" workbookViewId="0">
      <pane ySplit="6" topLeftCell="A19" activePane="bottomLeft" state="frozen"/>
      <selection pane="bottomLeft" activeCell="J1" sqref="J1:J3"/>
    </sheetView>
  </sheetViews>
  <sheetFormatPr defaultColWidth="9.140625" defaultRowHeight="12.75" x14ac:dyDescent="0.2"/>
  <cols>
    <col min="1" max="1" width="18.140625" style="82" bestFit="1" customWidth="1"/>
    <col min="2" max="2" width="28.5703125" style="82" bestFit="1" customWidth="1"/>
    <col min="3" max="3" width="27.7109375" style="82" bestFit="1" customWidth="1"/>
    <col min="4" max="5" width="9.28515625" style="82" bestFit="1" customWidth="1"/>
    <col min="6" max="6" width="18.85546875" style="82" bestFit="1" customWidth="1"/>
    <col min="7" max="7" width="14.28515625" style="82" bestFit="1" customWidth="1"/>
    <col min="8" max="8" width="12.5703125" style="82" bestFit="1" customWidth="1"/>
    <col min="9" max="9" width="4" style="82" customWidth="1"/>
    <col min="10" max="10" width="10.7109375" style="82" customWidth="1"/>
    <col min="11" max="16384" width="9.140625" style="82"/>
  </cols>
  <sheetData>
    <row r="1" spans="1:12" ht="14.25" customHeight="1" x14ac:dyDescent="0.2">
      <c r="A1" s="29" t="s">
        <v>135</v>
      </c>
      <c r="B1" s="188" t="str">
        <f>'ANA SAYFA'!B64</f>
        <v>ZEKAİ ÖZTÜRK</v>
      </c>
      <c r="C1" s="1156" t="s">
        <v>136</v>
      </c>
      <c r="D1" s="1156"/>
      <c r="E1" s="1156"/>
      <c r="F1" s="1156"/>
      <c r="G1" s="1156"/>
      <c r="H1" s="1156"/>
      <c r="I1" s="28"/>
      <c r="J1" s="1183" t="s">
        <v>712</v>
      </c>
      <c r="K1" s="30"/>
    </row>
    <row r="2" spans="1:12" ht="15" customHeight="1" x14ac:dyDescent="0.2">
      <c r="A2" s="29" t="s">
        <v>137</v>
      </c>
      <c r="B2" s="154">
        <f>'ANA SAYFA'!D64</f>
        <v>51067606810</v>
      </c>
      <c r="C2" s="1156"/>
      <c r="D2" s="1156"/>
      <c r="E2" s="1156"/>
      <c r="F2" s="1156"/>
      <c r="G2" s="1156"/>
      <c r="H2" s="1156"/>
      <c r="I2" s="28"/>
      <c r="J2" s="1184"/>
      <c r="K2" s="30"/>
    </row>
    <row r="3" spans="1:12" ht="14.25" customHeight="1" thickBot="1" x14ac:dyDescent="0.25">
      <c r="A3" s="29" t="s">
        <v>131</v>
      </c>
      <c r="B3" s="153" t="str">
        <f>'ANA SAYFA'!C64</f>
        <v>USTA YARDIMCISI</v>
      </c>
      <c r="C3" s="1156"/>
      <c r="D3" s="1156"/>
      <c r="E3" s="1156"/>
      <c r="F3" s="1156"/>
      <c r="G3" s="1156"/>
      <c r="H3" s="1156"/>
      <c r="I3" s="28"/>
      <c r="J3" s="1185"/>
      <c r="K3" s="30"/>
    </row>
    <row r="4" spans="1:12" ht="14.25" customHeight="1" x14ac:dyDescent="0.2">
      <c r="A4" s="29" t="s">
        <v>120</v>
      </c>
      <c r="B4" s="83">
        <f>'ANA SAYFA'!E64</f>
        <v>44240</v>
      </c>
      <c r="C4" s="1156"/>
      <c r="D4" s="1156"/>
      <c r="E4" s="1156"/>
      <c r="F4" s="1156"/>
      <c r="G4" s="1156"/>
      <c r="H4" s="1156"/>
      <c r="I4" s="28"/>
      <c r="J4" s="30"/>
      <c r="K4" s="30"/>
    </row>
    <row r="5" spans="1:12" ht="14.25" customHeight="1" x14ac:dyDescent="0.2">
      <c r="A5" s="29" t="s">
        <v>130</v>
      </c>
      <c r="B5" s="83">
        <f>'ANA SAYFA'!F64</f>
        <v>23774</v>
      </c>
      <c r="C5" s="1156"/>
      <c r="D5" s="1156"/>
      <c r="E5" s="1156"/>
      <c r="F5" s="1156"/>
      <c r="G5" s="1156"/>
      <c r="H5" s="1156"/>
      <c r="I5" s="28"/>
      <c r="J5" s="699"/>
      <c r="K5" s="699"/>
    </row>
    <row r="6" spans="1:12" ht="31.5" x14ac:dyDescent="0.2">
      <c r="A6" s="69" t="s">
        <v>0</v>
      </c>
      <c r="B6" s="70" t="s">
        <v>1</v>
      </c>
      <c r="C6" s="69" t="s">
        <v>2</v>
      </c>
      <c r="D6" s="71" t="s">
        <v>133</v>
      </c>
      <c r="E6" s="71" t="s">
        <v>4</v>
      </c>
      <c r="F6" s="71" t="s">
        <v>7</v>
      </c>
      <c r="G6" s="71" t="s">
        <v>6</v>
      </c>
      <c r="H6" s="71" t="s">
        <v>16</v>
      </c>
      <c r="I6" s="34"/>
      <c r="J6" s="699"/>
      <c r="K6" s="699"/>
    </row>
    <row r="7" spans="1:12" ht="14.25" customHeight="1" x14ac:dyDescent="0.2">
      <c r="A7" s="139"/>
      <c r="B7" s="155">
        <v>44278</v>
      </c>
      <c r="C7" s="156">
        <v>44279</v>
      </c>
      <c r="D7" s="168">
        <v>0.54166666666666663</v>
      </c>
      <c r="E7" s="168">
        <v>0.33333333333333331</v>
      </c>
      <c r="F7" s="260" t="s">
        <v>415</v>
      </c>
      <c r="G7" s="191">
        <v>20</v>
      </c>
      <c r="H7" s="239">
        <v>0.5</v>
      </c>
      <c r="I7" s="49"/>
      <c r="J7" s="30"/>
      <c r="K7" s="530">
        <v>45991</v>
      </c>
      <c r="L7" s="82" t="s">
        <v>937</v>
      </c>
    </row>
    <row r="8" spans="1:12" ht="14.25" customHeight="1" x14ac:dyDescent="0.2">
      <c r="A8" s="139"/>
      <c r="B8" s="155">
        <v>44285</v>
      </c>
      <c r="C8" s="156">
        <v>44294</v>
      </c>
      <c r="D8" s="168">
        <v>0.33333333333333331</v>
      </c>
      <c r="E8" s="168">
        <v>0.33333333333333331</v>
      </c>
      <c r="F8" s="260" t="s">
        <v>416</v>
      </c>
      <c r="G8" s="191">
        <v>20</v>
      </c>
      <c r="H8" s="191">
        <v>8</v>
      </c>
      <c r="I8" s="49"/>
      <c r="J8" s="30"/>
      <c r="K8" s="30"/>
    </row>
    <row r="9" spans="1:12" ht="14.25" customHeight="1" x14ac:dyDescent="0.2">
      <c r="A9" s="141"/>
      <c r="B9" s="155">
        <v>44415</v>
      </c>
      <c r="C9" s="158">
        <v>44417</v>
      </c>
      <c r="D9" s="159">
        <v>0.33333333333333331</v>
      </c>
      <c r="E9" s="159">
        <v>0.33333333333333331</v>
      </c>
      <c r="F9" s="260" t="s">
        <v>490</v>
      </c>
      <c r="G9" s="191">
        <v>20</v>
      </c>
      <c r="H9" s="191">
        <v>1</v>
      </c>
      <c r="I9" s="49"/>
      <c r="J9" s="30"/>
      <c r="K9" s="30"/>
    </row>
    <row r="10" spans="1:12" x14ac:dyDescent="0.2">
      <c r="A10" s="141"/>
      <c r="B10" s="155">
        <v>44447</v>
      </c>
      <c r="C10" s="158">
        <v>44453</v>
      </c>
      <c r="D10" s="159">
        <v>0.54166666666666663</v>
      </c>
      <c r="E10" s="159">
        <v>0.33333333333333331</v>
      </c>
      <c r="F10" s="144" t="s">
        <v>747</v>
      </c>
      <c r="G10" s="145">
        <v>20</v>
      </c>
      <c r="H10" s="274">
        <v>4.5</v>
      </c>
      <c r="I10" s="49"/>
      <c r="J10" s="30"/>
      <c r="K10" s="30"/>
    </row>
    <row r="11" spans="1:12" x14ac:dyDescent="0.2">
      <c r="A11" s="141"/>
      <c r="B11" s="245">
        <v>44480</v>
      </c>
      <c r="C11" s="246">
        <v>44482</v>
      </c>
      <c r="D11" s="247">
        <v>0.33333333333333331</v>
      </c>
      <c r="E11" s="247">
        <v>0.33333333333333331</v>
      </c>
      <c r="F11" s="144" t="s">
        <v>946</v>
      </c>
      <c r="G11" s="145">
        <v>20</v>
      </c>
      <c r="H11" s="145">
        <v>2</v>
      </c>
      <c r="I11" s="49"/>
      <c r="J11" s="30"/>
      <c r="K11" s="30"/>
    </row>
    <row r="12" spans="1:12" x14ac:dyDescent="0.2">
      <c r="A12" s="141"/>
      <c r="B12" s="245">
        <v>44527</v>
      </c>
      <c r="C12" s="246">
        <v>44531</v>
      </c>
      <c r="D12" s="247">
        <v>0.33333333333333331</v>
      </c>
      <c r="E12" s="247">
        <v>0.33333333333333331</v>
      </c>
      <c r="F12" s="144"/>
      <c r="G12" s="145"/>
      <c r="H12" s="242">
        <v>3</v>
      </c>
      <c r="I12" s="243"/>
    </row>
    <row r="13" spans="1:12" x14ac:dyDescent="0.2">
      <c r="A13" s="141"/>
      <c r="B13" s="245">
        <v>44727</v>
      </c>
      <c r="C13" s="246">
        <v>44732</v>
      </c>
      <c r="D13" s="247">
        <v>0.33333333333333331</v>
      </c>
      <c r="E13" s="247">
        <v>0.33333333333333331</v>
      </c>
      <c r="F13" s="144"/>
      <c r="G13" s="145"/>
      <c r="H13" s="242">
        <v>4</v>
      </c>
      <c r="I13" s="243"/>
    </row>
    <row r="14" spans="1:12" x14ac:dyDescent="0.2">
      <c r="A14" s="141"/>
      <c r="B14" s="245">
        <v>44755</v>
      </c>
      <c r="C14" s="246">
        <v>44760</v>
      </c>
      <c r="D14" s="247">
        <v>0.33333333333333331</v>
      </c>
      <c r="E14" s="247">
        <v>0.33333333333333331</v>
      </c>
      <c r="F14" s="144"/>
      <c r="G14" s="145"/>
      <c r="H14" s="242">
        <v>4</v>
      </c>
      <c r="I14" s="243"/>
    </row>
    <row r="15" spans="1:12" x14ac:dyDescent="0.2">
      <c r="A15" s="141"/>
      <c r="B15" s="245">
        <v>44985</v>
      </c>
      <c r="C15" s="246">
        <v>44987</v>
      </c>
      <c r="D15" s="247">
        <v>0.33333333333333331</v>
      </c>
      <c r="E15" s="247">
        <v>0.33333333333333331</v>
      </c>
      <c r="F15" s="144"/>
      <c r="G15" s="145"/>
      <c r="H15" s="242">
        <v>2</v>
      </c>
      <c r="I15" s="243"/>
    </row>
    <row r="16" spans="1:12" x14ac:dyDescent="0.2">
      <c r="A16" s="141"/>
      <c r="B16" s="142">
        <v>45127</v>
      </c>
      <c r="C16" s="143">
        <v>45131</v>
      </c>
      <c r="D16" s="247">
        <v>0.33333333333333331</v>
      </c>
      <c r="E16" s="247">
        <v>0.33333333333333331</v>
      </c>
      <c r="F16" s="144"/>
      <c r="G16" s="145"/>
      <c r="H16" s="242">
        <v>3</v>
      </c>
      <c r="I16" s="243"/>
    </row>
    <row r="17" spans="1:9" x14ac:dyDescent="0.2">
      <c r="A17" s="141"/>
      <c r="B17" s="142">
        <v>45255</v>
      </c>
      <c r="C17" s="143">
        <v>45259</v>
      </c>
      <c r="D17" s="144">
        <v>0.33333333333333331</v>
      </c>
      <c r="E17" s="144">
        <v>0.33333333333333331</v>
      </c>
      <c r="F17" s="144"/>
      <c r="G17" s="145"/>
      <c r="H17" s="242">
        <v>3</v>
      </c>
      <c r="I17" s="243"/>
    </row>
    <row r="18" spans="1:9" x14ac:dyDescent="0.2">
      <c r="A18" s="141"/>
      <c r="B18" s="142">
        <v>45279</v>
      </c>
      <c r="C18" s="143">
        <v>45280</v>
      </c>
      <c r="D18" s="144">
        <v>0.33333333333333331</v>
      </c>
      <c r="E18" s="144">
        <v>0.33333333333333331</v>
      </c>
      <c r="F18" s="253"/>
      <c r="G18" s="145"/>
      <c r="H18" s="145">
        <v>1</v>
      </c>
      <c r="I18" s="243"/>
    </row>
    <row r="19" spans="1:9" x14ac:dyDescent="0.2">
      <c r="A19" s="141"/>
      <c r="B19" s="142">
        <v>45457</v>
      </c>
      <c r="C19" s="143">
        <v>45458</v>
      </c>
      <c r="D19" s="722">
        <v>0.33333333333333331</v>
      </c>
      <c r="E19" s="722">
        <v>0.33333333333333331</v>
      </c>
      <c r="F19" s="253"/>
      <c r="G19" s="145"/>
      <c r="H19" s="145">
        <v>1</v>
      </c>
      <c r="I19" s="243"/>
    </row>
    <row r="20" spans="1:9" x14ac:dyDescent="0.2">
      <c r="A20" s="141"/>
      <c r="B20" s="142">
        <v>45463</v>
      </c>
      <c r="C20" s="143">
        <v>45467</v>
      </c>
      <c r="D20" s="722">
        <v>0.33333333333333331</v>
      </c>
      <c r="E20" s="722">
        <v>0.33333333333333331</v>
      </c>
      <c r="F20" s="263"/>
      <c r="G20" s="145"/>
      <c r="H20" s="145">
        <v>3</v>
      </c>
      <c r="I20" s="243"/>
    </row>
    <row r="21" spans="1:9" x14ac:dyDescent="0.2">
      <c r="A21" s="141"/>
      <c r="B21" s="142">
        <v>45506</v>
      </c>
      <c r="C21" s="143">
        <v>45507</v>
      </c>
      <c r="D21" s="722">
        <v>0.33333333333333331</v>
      </c>
      <c r="E21" s="722">
        <v>0.33333333333333331</v>
      </c>
      <c r="F21" s="263"/>
      <c r="G21" s="145"/>
      <c r="H21" s="242">
        <v>2</v>
      </c>
      <c r="I21" s="243"/>
    </row>
    <row r="22" spans="1:9" x14ac:dyDescent="0.2">
      <c r="A22" s="146"/>
      <c r="B22" s="142">
        <v>45537</v>
      </c>
      <c r="C22" s="143">
        <v>45538</v>
      </c>
      <c r="D22" s="144">
        <v>0.33333333333333331</v>
      </c>
      <c r="E22" s="722">
        <v>0.33333333333333331</v>
      </c>
      <c r="F22" s="263"/>
      <c r="G22" s="145"/>
      <c r="H22" s="242">
        <v>2</v>
      </c>
      <c r="I22" s="243"/>
    </row>
    <row r="23" spans="1:9" x14ac:dyDescent="0.2">
      <c r="A23" s="55"/>
      <c r="B23" s="142">
        <v>45556</v>
      </c>
      <c r="C23" s="143">
        <v>45556</v>
      </c>
      <c r="D23" s="722">
        <v>0.33333333333333331</v>
      </c>
      <c r="E23" s="722">
        <v>0.33333333333333331</v>
      </c>
      <c r="F23" s="263"/>
      <c r="G23" s="145"/>
      <c r="H23" s="145">
        <v>1</v>
      </c>
    </row>
    <row r="24" spans="1:9" x14ac:dyDescent="0.2">
      <c r="A24" s="55"/>
      <c r="B24" s="142">
        <v>45582</v>
      </c>
      <c r="C24" s="143">
        <v>45584</v>
      </c>
      <c r="D24" s="722">
        <v>0.33333333333333331</v>
      </c>
      <c r="E24" s="722">
        <v>0.33333333333333331</v>
      </c>
      <c r="F24" s="263"/>
      <c r="G24" s="145"/>
      <c r="H24" s="145">
        <v>3</v>
      </c>
    </row>
    <row r="25" spans="1:9" x14ac:dyDescent="0.2">
      <c r="A25" s="55"/>
      <c r="B25" s="142">
        <v>45632</v>
      </c>
      <c r="C25" s="143">
        <v>45636</v>
      </c>
      <c r="D25" s="722">
        <v>0.33333333333333331</v>
      </c>
      <c r="E25" s="722">
        <v>0.33333333333333331</v>
      </c>
      <c r="F25" s="263"/>
      <c r="G25" s="145"/>
      <c r="H25" s="145">
        <v>4</v>
      </c>
    </row>
    <row r="26" spans="1:9" x14ac:dyDescent="0.2">
      <c r="A26" s="55"/>
      <c r="B26" s="142">
        <v>45675</v>
      </c>
      <c r="C26" s="143">
        <v>45682</v>
      </c>
      <c r="D26" s="722">
        <v>0.33333333333333331</v>
      </c>
      <c r="E26" s="722">
        <v>0.33333333333333331</v>
      </c>
      <c r="F26" s="263"/>
      <c r="G26" s="145"/>
      <c r="H26" s="145">
        <v>7</v>
      </c>
    </row>
    <row r="27" spans="1:9" s="699" customFormat="1" x14ac:dyDescent="0.2">
      <c r="A27" s="685"/>
      <c r="B27" s="720">
        <v>45775</v>
      </c>
      <c r="C27" s="720">
        <v>45776</v>
      </c>
      <c r="D27" s="722">
        <v>0.33333333333333331</v>
      </c>
      <c r="E27" s="722">
        <v>0.33333333333333331</v>
      </c>
      <c r="F27" s="263"/>
      <c r="G27" s="723"/>
      <c r="H27" s="723">
        <v>1</v>
      </c>
    </row>
    <row r="28" spans="1:9" s="699" customFormat="1" x14ac:dyDescent="0.2">
      <c r="A28" s="685"/>
      <c r="B28" s="720">
        <v>45836</v>
      </c>
      <c r="C28" s="720">
        <v>45837</v>
      </c>
      <c r="D28" s="722">
        <v>0.33333333333333298</v>
      </c>
      <c r="E28" s="722">
        <v>0.33333333333333298</v>
      </c>
      <c r="F28" s="263"/>
      <c r="G28" s="723"/>
      <c r="H28" s="723">
        <v>1</v>
      </c>
    </row>
    <row r="29" spans="1:9" s="699" customFormat="1" x14ac:dyDescent="0.2">
      <c r="A29" s="685"/>
      <c r="B29" s="720">
        <v>45842</v>
      </c>
      <c r="C29" s="721">
        <v>45847</v>
      </c>
      <c r="D29" s="722">
        <v>0.33333333333333331</v>
      </c>
      <c r="E29" s="722">
        <v>0.33333333333333331</v>
      </c>
      <c r="F29" s="263"/>
      <c r="G29" s="723"/>
      <c r="H29" s="723">
        <v>5</v>
      </c>
    </row>
    <row r="30" spans="1:9" s="699" customFormat="1" x14ac:dyDescent="0.2">
      <c r="A30" s="685"/>
      <c r="B30" s="720">
        <v>45929</v>
      </c>
      <c r="C30" s="721">
        <v>45930</v>
      </c>
      <c r="D30" s="722">
        <v>0.33333333333333331</v>
      </c>
      <c r="E30" s="722">
        <v>0.33333333333333331</v>
      </c>
      <c r="F30" s="263"/>
      <c r="G30" s="723"/>
      <c r="H30" s="723">
        <v>2</v>
      </c>
    </row>
    <row r="31" spans="1:9" s="699" customFormat="1" x14ac:dyDescent="0.2">
      <c r="A31" s="685"/>
      <c r="B31" s="720">
        <v>45931</v>
      </c>
      <c r="C31" s="721">
        <v>45932</v>
      </c>
      <c r="D31" s="722">
        <v>0.33333333333333331</v>
      </c>
      <c r="E31" s="722">
        <v>0.33333333333333331</v>
      </c>
      <c r="F31" s="263"/>
      <c r="G31" s="723"/>
      <c r="H31" s="723">
        <v>1</v>
      </c>
    </row>
    <row r="32" spans="1:9" s="699" customFormat="1" x14ac:dyDescent="0.2">
      <c r="A32" s="685"/>
      <c r="B32" s="720">
        <v>45971</v>
      </c>
      <c r="C32" s="721">
        <v>45973</v>
      </c>
      <c r="D32" s="722">
        <v>0.33333333333333331</v>
      </c>
      <c r="E32" s="722">
        <v>0.33333333333333331</v>
      </c>
      <c r="F32" s="263"/>
      <c r="G32" s="723"/>
      <c r="H32" s="723">
        <v>2</v>
      </c>
    </row>
    <row r="33" spans="1:10" s="699" customFormat="1" x14ac:dyDescent="0.2">
      <c r="A33" s="685"/>
      <c r="B33" s="720">
        <v>46018</v>
      </c>
      <c r="C33" s="721">
        <v>46035</v>
      </c>
      <c r="D33" s="722"/>
      <c r="E33" s="722"/>
      <c r="F33" s="263"/>
      <c r="G33" s="723"/>
      <c r="H33" s="723">
        <v>14</v>
      </c>
    </row>
    <row r="34" spans="1:10" s="699" customFormat="1" x14ac:dyDescent="0.2">
      <c r="A34" s="685"/>
      <c r="B34" s="720">
        <v>46051</v>
      </c>
      <c r="C34" s="721">
        <v>46052</v>
      </c>
      <c r="D34" s="722"/>
      <c r="E34" s="722"/>
      <c r="F34" s="263"/>
      <c r="G34" s="723"/>
      <c r="H34" s="723">
        <v>1</v>
      </c>
      <c r="J34" s="699" t="s">
        <v>830</v>
      </c>
    </row>
    <row r="35" spans="1:10" s="699" customFormat="1" x14ac:dyDescent="0.2">
      <c r="A35" s="685"/>
      <c r="B35" s="290" t="s">
        <v>962</v>
      </c>
      <c r="C35" s="721"/>
      <c r="D35" s="722"/>
      <c r="E35" s="722"/>
      <c r="F35" s="263"/>
      <c r="G35" s="723"/>
      <c r="H35" s="723">
        <v>14</v>
      </c>
    </row>
    <row r="36" spans="1:10" s="699" customFormat="1" x14ac:dyDescent="0.2">
      <c r="A36" s="685"/>
      <c r="B36" s="720">
        <v>46055</v>
      </c>
      <c r="C36" s="721">
        <v>46083</v>
      </c>
      <c r="D36" s="722"/>
      <c r="E36" s="722"/>
      <c r="F36" s="263" t="s">
        <v>1005</v>
      </c>
      <c r="G36" s="723">
        <v>24</v>
      </c>
      <c r="H36" s="723">
        <v>24</v>
      </c>
      <c r="J36" s="699" t="s">
        <v>830</v>
      </c>
    </row>
    <row r="37" spans="1:10" s="699" customFormat="1" x14ac:dyDescent="0.2">
      <c r="A37" s="685"/>
      <c r="B37" s="720"/>
      <c r="C37" s="721"/>
      <c r="D37" s="722"/>
      <c r="E37" s="722"/>
      <c r="F37" s="263"/>
      <c r="G37" s="723"/>
      <c r="H37" s="723"/>
    </row>
    <row r="38" spans="1:10" s="699" customFormat="1" x14ac:dyDescent="0.2">
      <c r="A38" s="685"/>
      <c r="B38" s="720"/>
      <c r="C38" s="721"/>
      <c r="D38" s="722"/>
      <c r="E38" s="722"/>
      <c r="F38" s="263"/>
      <c r="G38" s="723"/>
      <c r="H38" s="723"/>
    </row>
    <row r="39" spans="1:10" x14ac:dyDescent="0.2">
      <c r="A39" s="55"/>
      <c r="B39" s="142"/>
      <c r="C39" s="143"/>
      <c r="D39" s="144"/>
      <c r="E39" s="144"/>
      <c r="F39" s="263"/>
      <c r="G39" s="145"/>
      <c r="H39" s="145"/>
    </row>
    <row r="40" spans="1:10" x14ac:dyDescent="0.2">
      <c r="A40" s="55"/>
      <c r="B40" s="142"/>
      <c r="C40" s="143"/>
      <c r="D40" s="144"/>
      <c r="E40" s="144"/>
      <c r="F40" s="263"/>
      <c r="G40" s="145"/>
      <c r="H40" s="259"/>
    </row>
    <row r="41" spans="1:10" x14ac:dyDescent="0.2">
      <c r="A41" s="55"/>
      <c r="B41" s="142"/>
      <c r="C41" s="143"/>
      <c r="D41" s="144"/>
      <c r="E41" s="144"/>
      <c r="F41" s="263"/>
      <c r="G41" s="145"/>
      <c r="H41" s="145"/>
    </row>
    <row r="42" spans="1:10" x14ac:dyDescent="0.2">
      <c r="A42" s="55"/>
      <c r="B42" s="142"/>
      <c r="C42" s="143"/>
      <c r="D42" s="144"/>
      <c r="E42" s="144"/>
      <c r="F42" s="263"/>
      <c r="G42" s="145"/>
      <c r="H42" s="145"/>
    </row>
    <row r="43" spans="1:10" x14ac:dyDescent="0.2">
      <c r="A43" s="147"/>
      <c r="B43" s="142"/>
      <c r="C43" s="143"/>
      <c r="D43" s="144"/>
      <c r="E43" s="144"/>
      <c r="F43" s="282"/>
      <c r="G43" s="66"/>
      <c r="H43" s="145"/>
    </row>
    <row r="44" spans="1:10" x14ac:dyDescent="0.2">
      <c r="A44" s="147"/>
      <c r="B44" s="142"/>
      <c r="C44" s="143"/>
      <c r="D44" s="144"/>
      <c r="E44" s="144"/>
      <c r="F44" s="282"/>
      <c r="G44" s="66"/>
      <c r="H44" s="145"/>
    </row>
    <row r="45" spans="1:10" x14ac:dyDescent="0.2">
      <c r="A45" s="147"/>
      <c r="B45" s="142"/>
      <c r="C45" s="143"/>
      <c r="D45" s="144"/>
      <c r="E45" s="144"/>
      <c r="F45" s="282"/>
      <c r="G45" s="66"/>
      <c r="H45" s="68"/>
    </row>
    <row r="46" spans="1:10" x14ac:dyDescent="0.2">
      <c r="A46" s="147"/>
      <c r="B46" s="142"/>
      <c r="C46" s="143"/>
      <c r="D46" s="144"/>
      <c r="E46" s="144"/>
      <c r="F46" s="282"/>
      <c r="G46" s="66"/>
      <c r="H46" s="66"/>
    </row>
    <row r="47" spans="1:10" ht="12.75" customHeight="1" x14ac:dyDescent="0.2">
      <c r="F47" s="294" t="s">
        <v>123</v>
      </c>
      <c r="G47" s="77">
        <f>SUM(G7:G46)</f>
        <v>124</v>
      </c>
      <c r="H47" s="77">
        <f>SUM(H7:H46)</f>
        <v>124</v>
      </c>
    </row>
    <row r="48" spans="1:10" x14ac:dyDescent="0.2">
      <c r="F48" s="62"/>
      <c r="G48" s="63"/>
      <c r="H48" s="63"/>
    </row>
    <row r="49" spans="6:8" ht="14.25" x14ac:dyDescent="0.2">
      <c r="F49" s="1153" t="s">
        <v>8</v>
      </c>
      <c r="G49" s="1154"/>
      <c r="H49" s="84">
        <f>G47-H47</f>
        <v>0</v>
      </c>
    </row>
  </sheetData>
  <sortState ref="B9:H16">
    <sortCondition ref="B8"/>
  </sortState>
  <mergeCells count="3">
    <mergeCell ref="F49:G49"/>
    <mergeCell ref="J1:J3"/>
    <mergeCell ref="C1:H5"/>
  </mergeCells>
  <hyperlinks>
    <hyperlink ref="J1:J3" location="'ANA SAYFA'!A1" display="ANA SAYFA"/>
  </hyperlinks>
  <pageMargins left="0.7" right="0.12" top="0.28999999999999998" bottom="0.75" header="0.3" footer="0.3"/>
  <pageSetup paperSize="9" scale="68" orientation="portrait" r:id="rId1"/>
  <colBreaks count="1" manualBreakCount="1">
    <brk id="8" max="1048575" man="1"/>
  </colBreak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zoomScaleNormal="100" workbookViewId="0">
      <pane ySplit="6" topLeftCell="A7" activePane="bottomLeft" state="frozen"/>
      <selection pane="bottomLeft" activeCell="J1" sqref="J1:J3"/>
    </sheetView>
  </sheetViews>
  <sheetFormatPr defaultColWidth="9.140625" defaultRowHeight="12.75" x14ac:dyDescent="0.2"/>
  <cols>
    <col min="1" max="1" width="18.140625" style="82" bestFit="1" customWidth="1"/>
    <col min="2" max="2" width="28.28515625" style="82" bestFit="1" customWidth="1"/>
    <col min="3" max="3" width="28.7109375" style="82" bestFit="1" customWidth="1"/>
    <col min="4" max="5" width="9.28515625" style="82" bestFit="1" customWidth="1"/>
    <col min="6" max="6" width="20.85546875" style="82" bestFit="1" customWidth="1"/>
    <col min="7" max="7" width="14.42578125" style="82" bestFit="1" customWidth="1"/>
    <col min="8" max="8" width="12.7109375" style="82" bestFit="1" customWidth="1"/>
    <col min="9" max="9" width="3.85546875" style="82" customWidth="1"/>
    <col min="10" max="10" width="11" style="82" customWidth="1"/>
    <col min="11" max="16384" width="9.140625" style="82"/>
  </cols>
  <sheetData>
    <row r="1" spans="1:11" ht="14.25" customHeight="1" x14ac:dyDescent="0.2">
      <c r="A1" s="29" t="s">
        <v>135</v>
      </c>
      <c r="B1" s="188" t="str">
        <f>'ANA SAYFA'!B65</f>
        <v xml:space="preserve">ZÜLFİ PEKAL </v>
      </c>
      <c r="C1" s="1166" t="s">
        <v>136</v>
      </c>
      <c r="D1" s="1166"/>
      <c r="E1" s="1166"/>
      <c r="F1" s="1166"/>
      <c r="G1" s="1166"/>
      <c r="H1" s="1166"/>
      <c r="I1" s="28"/>
      <c r="J1" s="1183" t="s">
        <v>712</v>
      </c>
      <c r="K1" s="30"/>
    </row>
    <row r="2" spans="1:11" ht="14.25" customHeight="1" x14ac:dyDescent="0.2">
      <c r="A2" s="29" t="s">
        <v>137</v>
      </c>
      <c r="B2" s="154">
        <f>'ANA SAYFA'!D65</f>
        <v>22267326426</v>
      </c>
      <c r="C2" s="1166"/>
      <c r="D2" s="1166"/>
      <c r="E2" s="1166"/>
      <c r="F2" s="1166"/>
      <c r="G2" s="1166"/>
      <c r="H2" s="1166"/>
      <c r="I2" s="28"/>
      <c r="J2" s="1184"/>
      <c r="K2" s="30"/>
    </row>
    <row r="3" spans="1:11" ht="14.25" customHeight="1" thickBot="1" x14ac:dyDescent="0.25">
      <c r="A3" s="29" t="s">
        <v>131</v>
      </c>
      <c r="B3" s="153" t="str">
        <f>'ANA SAYFA'!C65</f>
        <v>HARİTA TEKNİKERİ</v>
      </c>
      <c r="C3" s="1166"/>
      <c r="D3" s="1166"/>
      <c r="E3" s="1166"/>
      <c r="F3" s="1166"/>
      <c r="G3" s="1166"/>
      <c r="H3" s="1166"/>
      <c r="I3" s="28"/>
      <c r="J3" s="1185"/>
      <c r="K3" s="30"/>
    </row>
    <row r="4" spans="1:11" ht="14.25" customHeight="1" x14ac:dyDescent="0.2">
      <c r="A4" s="29" t="s">
        <v>120</v>
      </c>
      <c r="B4" s="83">
        <f>'ANA SAYFA'!E65</f>
        <v>42525</v>
      </c>
      <c r="C4" s="1166"/>
      <c r="D4" s="1166"/>
      <c r="E4" s="1166"/>
      <c r="F4" s="1166"/>
      <c r="G4" s="1166"/>
      <c r="H4" s="1166"/>
      <c r="I4" s="28"/>
      <c r="J4" s="30"/>
      <c r="K4" s="30"/>
    </row>
    <row r="5" spans="1:11" ht="14.25" customHeight="1" x14ac:dyDescent="0.2">
      <c r="A5" s="29" t="s">
        <v>130</v>
      </c>
      <c r="B5" s="83">
        <f>'ANA SAYFA'!F65</f>
        <v>32587</v>
      </c>
      <c r="C5" s="1166"/>
      <c r="D5" s="1166"/>
      <c r="E5" s="1166"/>
      <c r="F5" s="1166"/>
      <c r="G5" s="1166"/>
      <c r="H5" s="1166"/>
      <c r="I5" s="28"/>
      <c r="J5" s="699"/>
      <c r="K5" s="699"/>
    </row>
    <row r="6" spans="1:11" ht="31.5" x14ac:dyDescent="0.2">
      <c r="A6" s="69" t="s">
        <v>0</v>
      </c>
      <c r="B6" s="70" t="s">
        <v>1</v>
      </c>
      <c r="C6" s="69" t="s">
        <v>2</v>
      </c>
      <c r="D6" s="71" t="s">
        <v>133</v>
      </c>
      <c r="E6" s="71" t="s">
        <v>4</v>
      </c>
      <c r="F6" s="71" t="s">
        <v>7</v>
      </c>
      <c r="G6" s="71" t="s">
        <v>6</v>
      </c>
      <c r="H6" s="71" t="s">
        <v>16</v>
      </c>
      <c r="I6" s="34"/>
      <c r="J6" s="699"/>
      <c r="K6" s="699"/>
    </row>
    <row r="7" spans="1:11" x14ac:dyDescent="0.2">
      <c r="A7" s="139"/>
      <c r="B7" s="155">
        <v>42982</v>
      </c>
      <c r="C7" s="156">
        <v>42990</v>
      </c>
      <c r="D7" s="168">
        <v>0.33333333333333331</v>
      </c>
      <c r="E7" s="168">
        <v>0.33333333333333331</v>
      </c>
      <c r="F7" s="746" t="s">
        <v>29</v>
      </c>
      <c r="G7" s="191">
        <v>14</v>
      </c>
      <c r="H7" s="755">
        <v>8</v>
      </c>
      <c r="I7" s="49"/>
      <c r="J7" s="30"/>
      <c r="K7" s="30"/>
    </row>
    <row r="8" spans="1:11" ht="13.9" customHeight="1" x14ac:dyDescent="0.2">
      <c r="A8" s="139"/>
      <c r="B8" s="155">
        <v>43197</v>
      </c>
      <c r="C8" s="156">
        <v>43206</v>
      </c>
      <c r="D8" s="735">
        <v>0.33333333333333331</v>
      </c>
      <c r="E8" s="735">
        <v>0.33333333333333331</v>
      </c>
      <c r="F8" s="755" t="s">
        <v>45</v>
      </c>
      <c r="G8" s="191">
        <v>14</v>
      </c>
      <c r="H8" s="755">
        <v>7</v>
      </c>
      <c r="I8" s="49"/>
      <c r="J8" s="30"/>
      <c r="K8" s="30"/>
    </row>
    <row r="9" spans="1:11" s="699" customFormat="1" ht="13.9" customHeight="1" x14ac:dyDescent="0.2">
      <c r="A9" s="717"/>
      <c r="B9" s="729">
        <v>43381</v>
      </c>
      <c r="C9" s="730">
        <v>43391</v>
      </c>
      <c r="D9" s="735">
        <v>0.33333333333333331</v>
      </c>
      <c r="E9" s="735">
        <v>0.33333333333333331</v>
      </c>
      <c r="F9" s="748" t="s">
        <v>58</v>
      </c>
      <c r="G9" s="191">
        <v>14</v>
      </c>
      <c r="H9" s="755">
        <v>10</v>
      </c>
      <c r="I9" s="684"/>
      <c r="J9" s="670"/>
      <c r="K9" s="670"/>
    </row>
    <row r="10" spans="1:11" ht="13.9" customHeight="1" x14ac:dyDescent="0.2">
      <c r="A10" s="139"/>
      <c r="B10" s="155">
        <v>43801</v>
      </c>
      <c r="C10" s="156">
        <v>43811</v>
      </c>
      <c r="D10" s="735">
        <v>0.33333333333333331</v>
      </c>
      <c r="E10" s="735">
        <v>0.33333333333333331</v>
      </c>
      <c r="F10" s="723" t="s">
        <v>67</v>
      </c>
      <c r="G10" s="145">
        <v>14</v>
      </c>
      <c r="H10" s="755">
        <v>10</v>
      </c>
      <c r="I10" s="49"/>
      <c r="J10" s="30"/>
      <c r="K10" s="30"/>
    </row>
    <row r="11" spans="1:11" x14ac:dyDescent="0.2">
      <c r="A11" s="141"/>
      <c r="B11" s="155">
        <v>45854</v>
      </c>
      <c r="C11" s="158">
        <v>45869</v>
      </c>
      <c r="D11" s="735">
        <v>0.33333333333333331</v>
      </c>
      <c r="E11" s="735">
        <v>0.33333333333333331</v>
      </c>
      <c r="F11" s="723" t="s">
        <v>89</v>
      </c>
      <c r="G11" s="145">
        <v>14</v>
      </c>
      <c r="H11" s="755">
        <v>14</v>
      </c>
      <c r="I11" s="49"/>
      <c r="J11" s="30"/>
      <c r="K11" s="30"/>
    </row>
    <row r="12" spans="1:11" x14ac:dyDescent="0.2">
      <c r="A12" s="141"/>
      <c r="B12" s="155">
        <v>44775</v>
      </c>
      <c r="C12" s="158">
        <v>44792</v>
      </c>
      <c r="D12" s="735">
        <v>0.33333333333333331</v>
      </c>
      <c r="E12" s="735">
        <v>0.33333333333333331</v>
      </c>
      <c r="F12" s="723" t="s">
        <v>412</v>
      </c>
      <c r="G12" s="145">
        <v>20</v>
      </c>
      <c r="H12" s="755">
        <v>14</v>
      </c>
      <c r="I12" s="49"/>
      <c r="J12" s="30"/>
      <c r="K12" s="30"/>
    </row>
    <row r="13" spans="1:11" x14ac:dyDescent="0.2">
      <c r="A13" s="141"/>
      <c r="B13" s="245">
        <v>45142</v>
      </c>
      <c r="C13" s="246">
        <v>45164</v>
      </c>
      <c r="D13" s="735">
        <v>0.33333333333333331</v>
      </c>
      <c r="E13" s="735">
        <v>0.33333333333333331</v>
      </c>
      <c r="F13" s="723" t="s">
        <v>417</v>
      </c>
      <c r="G13" s="145">
        <v>20</v>
      </c>
      <c r="H13" s="1056">
        <v>20</v>
      </c>
      <c r="I13" s="49"/>
      <c r="J13" s="30"/>
      <c r="K13" s="30"/>
    </row>
    <row r="14" spans="1:11" x14ac:dyDescent="0.2">
      <c r="A14" s="141"/>
      <c r="B14" s="245">
        <v>45558</v>
      </c>
      <c r="C14" s="246">
        <v>45580</v>
      </c>
      <c r="D14" s="735">
        <v>0.33333333333333331</v>
      </c>
      <c r="E14" s="735">
        <v>0.33333333333333331</v>
      </c>
      <c r="F14" s="723" t="s">
        <v>576</v>
      </c>
      <c r="G14" s="145">
        <v>20</v>
      </c>
      <c r="H14" s="1015">
        <v>20</v>
      </c>
      <c r="I14" s="243"/>
    </row>
    <row r="15" spans="1:11" x14ac:dyDescent="0.2">
      <c r="A15" s="141"/>
      <c r="B15" s="142">
        <v>45828</v>
      </c>
      <c r="C15" s="143">
        <v>45850</v>
      </c>
      <c r="D15" s="735">
        <v>0.33333333333333331</v>
      </c>
      <c r="E15" s="735">
        <v>0.33333333333333331</v>
      </c>
      <c r="F15" s="723" t="s">
        <v>798</v>
      </c>
      <c r="G15" s="145">
        <v>20</v>
      </c>
      <c r="H15" s="1090">
        <v>20</v>
      </c>
      <c r="I15" s="243"/>
    </row>
    <row r="16" spans="1:11" ht="26.25" customHeight="1" x14ac:dyDescent="0.2">
      <c r="A16" s="1265" t="s">
        <v>803</v>
      </c>
      <c r="B16" s="1266"/>
      <c r="C16" s="1266"/>
      <c r="D16" s="1266"/>
      <c r="E16" s="1267"/>
      <c r="F16" s="723" t="s">
        <v>1032</v>
      </c>
      <c r="G16" s="145">
        <v>20</v>
      </c>
      <c r="H16" s="237">
        <v>1.5</v>
      </c>
      <c r="I16" s="243"/>
    </row>
    <row r="17" spans="1:9" x14ac:dyDescent="0.2">
      <c r="A17" s="141"/>
      <c r="B17" s="142">
        <v>45954</v>
      </c>
      <c r="C17" s="143">
        <v>45957</v>
      </c>
      <c r="D17" s="144">
        <v>0.54166666666666663</v>
      </c>
      <c r="E17" s="144">
        <v>0.33333333333333331</v>
      </c>
      <c r="F17" s="723"/>
      <c r="H17" s="237">
        <v>1</v>
      </c>
      <c r="I17" s="243"/>
    </row>
    <row r="18" spans="1:9" x14ac:dyDescent="0.2">
      <c r="A18" s="141"/>
      <c r="B18" s="142">
        <v>45969</v>
      </c>
      <c r="C18" s="143">
        <v>45971</v>
      </c>
      <c r="D18" s="735">
        <v>0.33333333333333331</v>
      </c>
      <c r="E18" s="735">
        <v>0.33333333333333331</v>
      </c>
      <c r="F18" s="723"/>
      <c r="G18" s="145"/>
      <c r="H18" s="237">
        <v>1</v>
      </c>
      <c r="I18" s="243"/>
    </row>
    <row r="19" spans="1:9" x14ac:dyDescent="0.2">
      <c r="A19" s="141"/>
      <c r="B19" s="142">
        <v>46143</v>
      </c>
      <c r="C19" s="143">
        <v>46146</v>
      </c>
      <c r="D19" s="735">
        <v>0.33333333333333331</v>
      </c>
      <c r="E19" s="735">
        <v>0.33333333333333331</v>
      </c>
      <c r="F19" s="723"/>
      <c r="G19" s="145"/>
      <c r="H19" s="237"/>
      <c r="I19" s="243"/>
    </row>
    <row r="20" spans="1:9" x14ac:dyDescent="0.2">
      <c r="A20" s="141"/>
      <c r="B20" s="142"/>
      <c r="C20" s="143"/>
      <c r="D20" s="144"/>
      <c r="E20" s="144"/>
      <c r="F20" s="723"/>
      <c r="G20" s="145"/>
      <c r="H20" s="237"/>
      <c r="I20" s="243"/>
    </row>
    <row r="21" spans="1:9" x14ac:dyDescent="0.2">
      <c r="A21" s="141"/>
      <c r="B21" s="142"/>
      <c r="C21" s="143"/>
      <c r="D21" s="144"/>
      <c r="E21" s="144"/>
      <c r="F21" s="723"/>
      <c r="G21" s="145"/>
      <c r="H21" s="237"/>
      <c r="I21" s="243"/>
    </row>
    <row r="22" spans="1:9" x14ac:dyDescent="0.2">
      <c r="A22" s="141"/>
      <c r="B22" s="142"/>
      <c r="C22" s="143"/>
      <c r="D22" s="144"/>
      <c r="E22" s="144"/>
      <c r="F22" s="723"/>
      <c r="G22" s="145"/>
      <c r="H22" s="237"/>
      <c r="I22" s="243"/>
    </row>
    <row r="23" spans="1:9" x14ac:dyDescent="0.2">
      <c r="A23" s="146"/>
      <c r="B23" s="142"/>
      <c r="C23" s="143"/>
      <c r="D23" s="144"/>
      <c r="E23" s="144"/>
      <c r="F23" s="723"/>
      <c r="G23" s="145"/>
      <c r="H23" s="237"/>
      <c r="I23" s="243"/>
    </row>
    <row r="24" spans="1:9" x14ac:dyDescent="0.2">
      <c r="A24" s="55"/>
      <c r="B24" s="142"/>
      <c r="C24" s="142"/>
      <c r="D24" s="144"/>
      <c r="E24" s="144"/>
      <c r="F24" s="723"/>
      <c r="G24" s="145"/>
      <c r="H24" s="237"/>
      <c r="I24" s="243"/>
    </row>
    <row r="25" spans="1:9" x14ac:dyDescent="0.2">
      <c r="A25" s="55"/>
      <c r="B25" s="142"/>
      <c r="C25" s="143"/>
      <c r="D25" s="144"/>
      <c r="E25" s="144"/>
      <c r="F25" s="723"/>
      <c r="G25" s="145"/>
      <c r="H25" s="237"/>
      <c r="I25" s="243"/>
    </row>
    <row r="26" spans="1:9" x14ac:dyDescent="0.2">
      <c r="A26" s="55"/>
      <c r="B26" s="142"/>
      <c r="C26" s="143"/>
      <c r="D26" s="144"/>
      <c r="E26" s="144"/>
      <c r="F26" s="723"/>
      <c r="G26" s="145"/>
      <c r="H26" s="237"/>
      <c r="I26" s="243"/>
    </row>
    <row r="27" spans="1:9" x14ac:dyDescent="0.2">
      <c r="A27" s="55"/>
      <c r="B27" s="142"/>
      <c r="C27" s="143"/>
      <c r="D27" s="144"/>
      <c r="E27" s="144"/>
      <c r="F27" s="723"/>
      <c r="G27" s="145"/>
      <c r="H27" s="237"/>
      <c r="I27" s="243"/>
    </row>
    <row r="28" spans="1:9" x14ac:dyDescent="0.2">
      <c r="A28" s="55"/>
      <c r="B28" s="142"/>
      <c r="C28" s="143"/>
      <c r="D28" s="144"/>
      <c r="E28" s="144"/>
      <c r="F28" s="723"/>
      <c r="G28" s="145"/>
      <c r="H28" s="237"/>
    </row>
    <row r="29" spans="1:9" x14ac:dyDescent="0.2">
      <c r="A29" s="55"/>
      <c r="B29" s="142"/>
      <c r="C29" s="143"/>
      <c r="D29" s="144"/>
      <c r="E29" s="144"/>
      <c r="F29" s="723"/>
      <c r="G29" s="145"/>
      <c r="H29" s="237"/>
    </row>
    <row r="30" spans="1:9" x14ac:dyDescent="0.2">
      <c r="A30" s="55"/>
      <c r="B30" s="142"/>
      <c r="C30" s="142"/>
      <c r="D30" s="144"/>
      <c r="E30" s="144"/>
      <c r="F30" s="723"/>
      <c r="G30" s="145"/>
      <c r="H30" s="237"/>
    </row>
    <row r="31" spans="1:9" x14ac:dyDescent="0.2">
      <c r="A31" s="55"/>
      <c r="B31" s="142"/>
      <c r="C31" s="142"/>
      <c r="D31" s="144"/>
      <c r="E31" s="144"/>
      <c r="F31" s="723"/>
      <c r="G31" s="145"/>
      <c r="H31" s="237"/>
    </row>
    <row r="32" spans="1:9" x14ac:dyDescent="0.2">
      <c r="A32" s="147"/>
      <c r="B32" s="142"/>
      <c r="C32" s="143"/>
      <c r="D32" s="722"/>
      <c r="E32" s="722"/>
      <c r="F32" s="691"/>
      <c r="G32" s="66"/>
      <c r="H32" s="237"/>
    </row>
    <row r="33" spans="1:8" x14ac:dyDescent="0.2">
      <c r="A33" s="147"/>
      <c r="B33" s="142"/>
      <c r="C33" s="143"/>
      <c r="D33" s="722"/>
      <c r="E33" s="722"/>
      <c r="F33" s="691"/>
      <c r="G33" s="66"/>
      <c r="H33" s="237"/>
    </row>
    <row r="34" spans="1:8" s="699" customFormat="1" x14ac:dyDescent="0.2">
      <c r="A34" s="725"/>
      <c r="B34" s="720"/>
      <c r="C34" s="721"/>
      <c r="D34" s="722"/>
      <c r="E34" s="722"/>
      <c r="F34" s="691"/>
      <c r="G34" s="691"/>
      <c r="H34" s="237"/>
    </row>
    <row r="35" spans="1:8" x14ac:dyDescent="0.2">
      <c r="F35" s="294" t="s">
        <v>123</v>
      </c>
      <c r="G35" s="77">
        <f>SUM(G7:G34)</f>
        <v>170</v>
      </c>
      <c r="H35" s="697">
        <f>SUM(H7:H34)</f>
        <v>126.5</v>
      </c>
    </row>
    <row r="36" spans="1:8" x14ac:dyDescent="0.2">
      <c r="F36" s="62"/>
      <c r="G36" s="63"/>
      <c r="H36" s="63"/>
    </row>
    <row r="37" spans="1:8" ht="14.25" x14ac:dyDescent="0.2">
      <c r="F37" s="1153" t="s">
        <v>8</v>
      </c>
      <c r="G37" s="1154"/>
      <c r="H37" s="84">
        <f>G35-H35</f>
        <v>43.5</v>
      </c>
    </row>
  </sheetData>
  <mergeCells count="4">
    <mergeCell ref="F37:G37"/>
    <mergeCell ref="J1:J3"/>
    <mergeCell ref="C1:H5"/>
    <mergeCell ref="A16:E16"/>
  </mergeCells>
  <hyperlinks>
    <hyperlink ref="J1:J3" location="'ANA SAYFA'!A1" display="ANA SAYFA"/>
  </hyperlinks>
  <pageMargins left="0.7" right="0.12" top="0.39" bottom="0.75" header="0.12" footer="0.3"/>
  <pageSetup paperSize="9" scale="67" orientation="portrait" r:id="rId1"/>
  <colBreaks count="1" manualBreakCount="1">
    <brk id="8" max="1048575" man="1"/>
  </col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6"/>
  <sheetViews>
    <sheetView zoomScaleNormal="100" workbookViewId="0">
      <selection activeCell="J1" sqref="J1:J3"/>
    </sheetView>
  </sheetViews>
  <sheetFormatPr defaultColWidth="9.140625" defaultRowHeight="12.75" x14ac:dyDescent="0.2"/>
  <cols>
    <col min="1" max="1" width="18.140625" style="82" bestFit="1" customWidth="1"/>
    <col min="2" max="3" width="26.85546875" style="82" bestFit="1" customWidth="1"/>
    <col min="4" max="4" width="9.28515625" style="82" bestFit="1" customWidth="1"/>
    <col min="5" max="5" width="8.85546875" style="82" bestFit="1" customWidth="1"/>
    <col min="6" max="6" width="18.85546875" style="82" bestFit="1" customWidth="1"/>
    <col min="7" max="7" width="14.28515625" style="82" bestFit="1" customWidth="1"/>
    <col min="8" max="8" width="12.5703125" style="82" bestFit="1" customWidth="1"/>
    <col min="9" max="9" width="4.28515625" style="82" customWidth="1"/>
    <col min="10" max="10" width="11.140625" style="82" customWidth="1"/>
    <col min="11" max="16384" width="9.140625" style="82"/>
  </cols>
  <sheetData>
    <row r="1" spans="1:11" ht="16.5" customHeight="1" x14ac:dyDescent="0.2">
      <c r="A1" s="29" t="s">
        <v>135</v>
      </c>
      <c r="B1" s="188" t="str">
        <f>'ANA SAYFA'!B66</f>
        <v>ZEYNEP ARSLANTEKİN</v>
      </c>
      <c r="C1" s="1166" t="s">
        <v>136</v>
      </c>
      <c r="D1" s="1166"/>
      <c r="E1" s="1166"/>
      <c r="F1" s="1166"/>
      <c r="G1" s="1166"/>
      <c r="H1" s="1166"/>
      <c r="J1" s="1268" t="s">
        <v>712</v>
      </c>
    </row>
    <row r="2" spans="1:11" ht="16.5" customHeight="1" x14ac:dyDescent="0.2">
      <c r="A2" s="29" t="s">
        <v>137</v>
      </c>
      <c r="B2" s="154">
        <f>'ANA SAYFA'!D66</f>
        <v>33113218888</v>
      </c>
      <c r="C2" s="1166"/>
      <c r="D2" s="1166"/>
      <c r="E2" s="1166"/>
      <c r="F2" s="1166"/>
      <c r="G2" s="1166"/>
      <c r="H2" s="1166"/>
      <c r="J2" s="1268"/>
    </row>
    <row r="3" spans="1:11" ht="16.5" customHeight="1" x14ac:dyDescent="0.2">
      <c r="A3" s="29" t="s">
        <v>131</v>
      </c>
      <c r="B3" s="153" t="str">
        <f>'ANA SAYFA'!C66</f>
        <v>TEMİZLİK GÖREVLİSİ</v>
      </c>
      <c r="C3" s="1166"/>
      <c r="D3" s="1166"/>
      <c r="E3" s="1166"/>
      <c r="F3" s="1166"/>
      <c r="G3" s="1166"/>
      <c r="H3" s="1166"/>
      <c r="J3" s="1268"/>
    </row>
    <row r="4" spans="1:11" ht="16.5" customHeight="1" x14ac:dyDescent="0.2">
      <c r="A4" s="29" t="s">
        <v>120</v>
      </c>
      <c r="B4" s="83">
        <f>'ANA SAYFA'!E66</f>
        <v>42368</v>
      </c>
      <c r="C4" s="1166"/>
      <c r="D4" s="1166"/>
      <c r="E4" s="1166"/>
      <c r="F4" s="1166"/>
      <c r="G4" s="1166"/>
      <c r="H4" s="1166"/>
    </row>
    <row r="5" spans="1:11" ht="16.5" customHeight="1" x14ac:dyDescent="0.2">
      <c r="A5" s="29" t="s">
        <v>130</v>
      </c>
      <c r="B5" s="83">
        <f>'ANA SAYFA'!F66</f>
        <v>26578</v>
      </c>
      <c r="C5" s="1166"/>
      <c r="D5" s="1166"/>
      <c r="E5" s="1166"/>
      <c r="F5" s="1166"/>
      <c r="G5" s="1166"/>
      <c r="H5" s="1166"/>
      <c r="J5" s="699"/>
      <c r="K5" s="699"/>
    </row>
    <row r="6" spans="1:11" ht="31.5" x14ac:dyDescent="0.2">
      <c r="A6" s="69" t="s">
        <v>0</v>
      </c>
      <c r="B6" s="70" t="s">
        <v>1</v>
      </c>
      <c r="C6" s="69" t="s">
        <v>2</v>
      </c>
      <c r="D6" s="71" t="s">
        <v>133</v>
      </c>
      <c r="E6" s="71" t="s">
        <v>4</v>
      </c>
      <c r="F6" s="71" t="s">
        <v>7</v>
      </c>
      <c r="G6" s="71" t="s">
        <v>6</v>
      </c>
      <c r="H6" s="71" t="s">
        <v>16</v>
      </c>
      <c r="J6" s="699"/>
      <c r="K6" s="699"/>
    </row>
    <row r="7" spans="1:11" ht="15.75" customHeight="1" x14ac:dyDescent="0.2">
      <c r="A7" s="139"/>
      <c r="B7" s="155">
        <v>42511</v>
      </c>
      <c r="C7" s="156">
        <v>42513</v>
      </c>
      <c r="D7" s="168">
        <v>0.33333333333333331</v>
      </c>
      <c r="E7" s="168">
        <v>0.33333333333333331</v>
      </c>
      <c r="F7" s="262" t="s">
        <v>48</v>
      </c>
      <c r="G7" s="191">
        <v>14</v>
      </c>
      <c r="H7" s="436">
        <v>1</v>
      </c>
      <c r="J7" s="190"/>
      <c r="K7" s="190"/>
    </row>
    <row r="8" spans="1:11" ht="15.75" customHeight="1" x14ac:dyDescent="0.2">
      <c r="A8" s="146"/>
      <c r="B8" s="155">
        <v>42555</v>
      </c>
      <c r="C8" s="156">
        <v>42555</v>
      </c>
      <c r="D8" s="168">
        <v>0.5</v>
      </c>
      <c r="E8" s="144">
        <v>0.33333333333333331</v>
      </c>
      <c r="F8" s="262" t="s">
        <v>23</v>
      </c>
      <c r="G8" s="191">
        <v>14</v>
      </c>
      <c r="H8" s="755">
        <v>0.5</v>
      </c>
      <c r="J8" s="148"/>
      <c r="K8" s="148"/>
    </row>
    <row r="9" spans="1:11" ht="15.75" customHeight="1" x14ac:dyDescent="0.2">
      <c r="A9" s="146"/>
      <c r="B9" s="155">
        <v>42683</v>
      </c>
      <c r="C9" s="158">
        <v>42693</v>
      </c>
      <c r="D9" s="159">
        <v>0.33333333333333331</v>
      </c>
      <c r="E9" s="159">
        <v>0.5</v>
      </c>
      <c r="F9" s="261" t="s">
        <v>68</v>
      </c>
      <c r="G9" s="145">
        <v>14</v>
      </c>
      <c r="H9" s="755">
        <v>0.5</v>
      </c>
      <c r="J9" s="148"/>
      <c r="K9" s="148"/>
    </row>
    <row r="10" spans="1:11" ht="15.75" customHeight="1" x14ac:dyDescent="0.2">
      <c r="A10" s="141"/>
      <c r="B10" s="155">
        <v>42899</v>
      </c>
      <c r="C10" s="158">
        <v>42900</v>
      </c>
      <c r="D10" s="168">
        <v>0.33333333333333331</v>
      </c>
      <c r="E10" s="168">
        <v>0.33333333333333331</v>
      </c>
      <c r="F10" s="253" t="s">
        <v>69</v>
      </c>
      <c r="G10" s="145">
        <v>14</v>
      </c>
      <c r="H10" s="436">
        <v>1</v>
      </c>
    </row>
    <row r="11" spans="1:11" ht="15.75" customHeight="1" x14ac:dyDescent="0.2">
      <c r="A11" s="160"/>
      <c r="B11" s="142">
        <v>42905</v>
      </c>
      <c r="C11" s="143">
        <v>42919</v>
      </c>
      <c r="D11" s="168">
        <v>0.33333333333333331</v>
      </c>
      <c r="E11" s="168">
        <v>0.33333333333333331</v>
      </c>
      <c r="F11" s="253" t="s">
        <v>77</v>
      </c>
      <c r="G11" s="145">
        <v>14</v>
      </c>
      <c r="H11" s="237">
        <v>10</v>
      </c>
      <c r="J11" s="190"/>
      <c r="K11" s="190"/>
    </row>
    <row r="12" spans="1:11" ht="15.75" customHeight="1" x14ac:dyDescent="0.2">
      <c r="A12" s="147"/>
      <c r="B12" s="142">
        <v>43255</v>
      </c>
      <c r="C12" s="143">
        <v>43272</v>
      </c>
      <c r="D12" s="168">
        <v>0.33333333333333331</v>
      </c>
      <c r="E12" s="168">
        <v>0.33333333333333331</v>
      </c>
      <c r="F12" s="253" t="s">
        <v>418</v>
      </c>
      <c r="G12" s="145">
        <v>20</v>
      </c>
      <c r="H12" s="237">
        <v>12</v>
      </c>
      <c r="J12" s="148"/>
      <c r="K12" s="148"/>
    </row>
    <row r="13" spans="1:11" ht="15.75" customHeight="1" x14ac:dyDescent="0.2">
      <c r="A13" s="147"/>
      <c r="B13" s="142">
        <v>43430</v>
      </c>
      <c r="C13" s="143">
        <v>43430</v>
      </c>
      <c r="D13" s="144">
        <v>0.33333333333333331</v>
      </c>
      <c r="E13" s="144">
        <v>0.54166666666666663</v>
      </c>
      <c r="F13" s="253" t="s">
        <v>419</v>
      </c>
      <c r="G13" s="145">
        <v>20</v>
      </c>
      <c r="H13" s="237">
        <v>0.5</v>
      </c>
    </row>
    <row r="14" spans="1:11" ht="15.75" customHeight="1" x14ac:dyDescent="0.2">
      <c r="A14" s="147"/>
      <c r="B14" s="142">
        <v>43605</v>
      </c>
      <c r="C14" s="143">
        <v>43626</v>
      </c>
      <c r="D14" s="144">
        <v>0.33333333333333331</v>
      </c>
      <c r="E14" s="144">
        <v>0.33333333333333331</v>
      </c>
      <c r="F14" s="253" t="s">
        <v>476</v>
      </c>
      <c r="G14" s="145">
        <v>20</v>
      </c>
      <c r="H14" s="237">
        <v>14</v>
      </c>
    </row>
    <row r="15" spans="1:11" ht="15.75" customHeight="1" x14ac:dyDescent="0.2">
      <c r="A15" s="147"/>
      <c r="B15" s="142">
        <v>43962</v>
      </c>
      <c r="C15" s="143">
        <v>43978</v>
      </c>
      <c r="D15" s="144">
        <v>0.33333333333333331</v>
      </c>
      <c r="E15" s="144">
        <v>0.33333333333333331</v>
      </c>
      <c r="F15" s="253" t="s">
        <v>681</v>
      </c>
      <c r="G15" s="145"/>
      <c r="H15" s="237">
        <v>8</v>
      </c>
    </row>
    <row r="16" spans="1:11" ht="15.75" customHeight="1" x14ac:dyDescent="0.2">
      <c r="A16" s="147"/>
      <c r="B16" s="142">
        <v>44321</v>
      </c>
      <c r="C16" s="143">
        <v>44328</v>
      </c>
      <c r="D16" s="144">
        <v>0.33333333333333331</v>
      </c>
      <c r="E16" s="144">
        <v>0.33333333333333331</v>
      </c>
      <c r="F16" s="253"/>
      <c r="G16" s="145"/>
      <c r="H16" s="237">
        <v>6</v>
      </c>
    </row>
    <row r="17" spans="1:8" ht="15.75" customHeight="1" x14ac:dyDescent="0.2">
      <c r="A17" s="147"/>
      <c r="B17" s="142">
        <v>44442</v>
      </c>
      <c r="C17" s="143">
        <v>44446</v>
      </c>
      <c r="D17" s="144">
        <v>0.33333333333333331</v>
      </c>
      <c r="E17" s="144">
        <v>0.33333333333333331</v>
      </c>
      <c r="F17" s="253"/>
      <c r="G17" s="145"/>
      <c r="H17" s="237">
        <v>3</v>
      </c>
    </row>
    <row r="18" spans="1:8" ht="15.75" customHeight="1" x14ac:dyDescent="0.2">
      <c r="A18" s="147"/>
      <c r="B18" s="155" t="s">
        <v>558</v>
      </c>
      <c r="C18" s="156" t="s">
        <v>559</v>
      </c>
      <c r="D18" s="144">
        <v>0.33333333333333331</v>
      </c>
      <c r="E18" s="144">
        <v>0.33333333333333331</v>
      </c>
      <c r="F18" s="253"/>
      <c r="G18" s="145"/>
      <c r="H18" s="755">
        <v>5</v>
      </c>
    </row>
    <row r="19" spans="1:8" s="699" customFormat="1" ht="15.75" customHeight="1" x14ac:dyDescent="0.2">
      <c r="A19" s="725"/>
      <c r="B19" s="729"/>
      <c r="C19" s="730"/>
      <c r="D19" s="722"/>
      <c r="E19" s="722"/>
      <c r="F19" s="253"/>
      <c r="G19" s="723"/>
      <c r="H19" s="755"/>
    </row>
    <row r="20" spans="1:8" s="699" customFormat="1" ht="15.75" customHeight="1" x14ac:dyDescent="0.2">
      <c r="A20" s="725"/>
      <c r="B20" s="729"/>
      <c r="C20" s="730"/>
      <c r="D20" s="722"/>
      <c r="E20" s="722"/>
      <c r="F20" s="253"/>
      <c r="G20" s="723"/>
      <c r="H20" s="755"/>
    </row>
    <row r="21" spans="1:8" s="699" customFormat="1" ht="15.75" customHeight="1" x14ac:dyDescent="0.2">
      <c r="A21" s="725"/>
      <c r="B21" s="729"/>
      <c r="C21" s="730"/>
      <c r="D21" s="722"/>
      <c r="E21" s="722"/>
      <c r="F21" s="253"/>
      <c r="G21" s="723"/>
      <c r="H21" s="755"/>
    </row>
    <row r="22" spans="1:8" s="699" customFormat="1" ht="15.75" customHeight="1" x14ac:dyDescent="0.2">
      <c r="A22" s="725"/>
      <c r="B22" s="729"/>
      <c r="C22" s="730"/>
      <c r="D22" s="722"/>
      <c r="E22" s="722"/>
      <c r="F22" s="253"/>
      <c r="G22" s="723"/>
      <c r="H22" s="755"/>
    </row>
    <row r="23" spans="1:8" s="699" customFormat="1" ht="15.75" customHeight="1" x14ac:dyDescent="0.2">
      <c r="A23" s="725"/>
      <c r="B23" s="729"/>
      <c r="C23" s="730"/>
      <c r="D23" s="722"/>
      <c r="E23" s="722"/>
      <c r="F23" s="253"/>
      <c r="G23" s="723"/>
      <c r="H23" s="755"/>
    </row>
    <row r="24" spans="1:8" s="699" customFormat="1" ht="15.75" customHeight="1" x14ac:dyDescent="0.2">
      <c r="A24" s="725"/>
      <c r="B24" s="729"/>
      <c r="C24" s="730"/>
      <c r="D24" s="722"/>
      <c r="E24" s="722"/>
      <c r="F24" s="253"/>
      <c r="G24" s="723"/>
      <c r="H24" s="755"/>
    </row>
    <row r="25" spans="1:8" s="699" customFormat="1" ht="15.75" customHeight="1" x14ac:dyDescent="0.2">
      <c r="A25" s="725"/>
      <c r="B25" s="729"/>
      <c r="C25" s="730"/>
      <c r="D25" s="722"/>
      <c r="E25" s="722"/>
      <c r="F25" s="253"/>
      <c r="G25" s="723"/>
      <c r="H25" s="755"/>
    </row>
    <row r="26" spans="1:8" s="699" customFormat="1" ht="15.75" customHeight="1" x14ac:dyDescent="0.2">
      <c r="A26" s="725"/>
      <c r="B26" s="729"/>
      <c r="C26" s="730"/>
      <c r="D26" s="722"/>
      <c r="E26" s="722"/>
      <c r="F26" s="253"/>
      <c r="G26" s="723"/>
      <c r="H26" s="755"/>
    </row>
    <row r="27" spans="1:8" s="699" customFormat="1" ht="15.75" customHeight="1" x14ac:dyDescent="0.2">
      <c r="A27" s="725"/>
      <c r="B27" s="729"/>
      <c r="C27" s="730"/>
      <c r="D27" s="722"/>
      <c r="E27" s="722"/>
      <c r="F27" s="253"/>
      <c r="G27" s="723"/>
      <c r="H27" s="755"/>
    </row>
    <row r="28" spans="1:8" s="699" customFormat="1" ht="15.75" customHeight="1" x14ac:dyDescent="0.2">
      <c r="A28" s="725"/>
      <c r="B28" s="729"/>
      <c r="C28" s="730"/>
      <c r="D28" s="722"/>
      <c r="E28" s="722"/>
      <c r="F28" s="253"/>
      <c r="G28" s="723"/>
      <c r="H28" s="755"/>
    </row>
    <row r="29" spans="1:8" s="699" customFormat="1" ht="15.75" customHeight="1" x14ac:dyDescent="0.2">
      <c r="A29" s="725"/>
      <c r="B29" s="729"/>
      <c r="C29" s="730"/>
      <c r="D29" s="722"/>
      <c r="E29" s="722"/>
      <c r="F29" s="253"/>
      <c r="G29" s="723"/>
      <c r="H29" s="755"/>
    </row>
    <row r="30" spans="1:8" ht="15.75" customHeight="1" x14ac:dyDescent="0.2">
      <c r="A30" s="147"/>
      <c r="B30" s="142"/>
      <c r="C30" s="143"/>
      <c r="D30" s="144"/>
      <c r="E30" s="144"/>
      <c r="F30" s="253"/>
      <c r="G30" s="145"/>
      <c r="H30" s="237"/>
    </row>
    <row r="31" spans="1:8" ht="15.75" customHeight="1" x14ac:dyDescent="0.2">
      <c r="A31" s="147"/>
      <c r="B31" s="142"/>
      <c r="C31" s="143"/>
      <c r="D31" s="144"/>
      <c r="E31" s="144"/>
      <c r="F31" s="81"/>
      <c r="G31" s="66"/>
      <c r="H31" s="237"/>
    </row>
    <row r="32" spans="1:8" ht="15.75" customHeight="1" x14ac:dyDescent="0.2">
      <c r="A32" s="147"/>
      <c r="B32" s="142"/>
      <c r="C32" s="143"/>
      <c r="D32" s="144"/>
      <c r="E32" s="144"/>
      <c r="F32" s="81"/>
      <c r="G32" s="66"/>
      <c r="H32" s="80"/>
    </row>
    <row r="33" spans="1:8" ht="15.75" customHeight="1" x14ac:dyDescent="0.2">
      <c r="A33" s="147"/>
      <c r="B33" s="142"/>
      <c r="C33" s="143"/>
      <c r="D33" s="144"/>
      <c r="E33" s="144"/>
      <c r="F33" s="81"/>
      <c r="G33" s="66"/>
      <c r="H33" s="80"/>
    </row>
    <row r="34" spans="1:8" ht="15.75" customHeight="1" x14ac:dyDescent="0.2">
      <c r="F34" s="294" t="s">
        <v>123</v>
      </c>
      <c r="G34" s="77">
        <f>SUM(G7:G14)</f>
        <v>130</v>
      </c>
      <c r="H34" s="697">
        <f>SUM(H7:H33)</f>
        <v>61.5</v>
      </c>
    </row>
    <row r="35" spans="1:8" x14ac:dyDescent="0.2">
      <c r="F35" s="62"/>
      <c r="G35" s="63"/>
      <c r="H35" s="63"/>
    </row>
    <row r="36" spans="1:8" ht="14.25" x14ac:dyDescent="0.2">
      <c r="F36" s="1153" t="s">
        <v>8</v>
      </c>
      <c r="G36" s="1154"/>
      <c r="H36" s="84">
        <f>G34-H34</f>
        <v>68.5</v>
      </c>
    </row>
  </sheetData>
  <sortState ref="F8:G19">
    <sortCondition ref="F8"/>
  </sortState>
  <mergeCells count="3">
    <mergeCell ref="F36:G36"/>
    <mergeCell ref="J1:J3"/>
    <mergeCell ref="C1:H5"/>
  </mergeCells>
  <hyperlinks>
    <hyperlink ref="J1:J3" location="'ANA SAYFA'!A1" display="ANA SAYFA"/>
  </hyperlinks>
  <pageMargins left="0.7" right="0.12" top="0.28999999999999998" bottom="0.75" header="0.3" footer="0.3"/>
  <pageSetup paperSize="9" scale="70" orientation="portrait" r:id="rId1"/>
  <colBreaks count="1" manualBreakCount="1">
    <brk id="8" max="1048575" man="1"/>
  </colBreak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0"/>
  <sheetViews>
    <sheetView zoomScaleNormal="100" workbookViewId="0">
      <pane ySplit="5" topLeftCell="A6" activePane="bottomLeft" state="frozen"/>
      <selection pane="bottomLeft" activeCell="J1" sqref="J1:J3"/>
    </sheetView>
  </sheetViews>
  <sheetFormatPr defaultRowHeight="12.75" x14ac:dyDescent="0.2"/>
  <cols>
    <col min="1" max="1" width="18.140625" bestFit="1" customWidth="1"/>
    <col min="2" max="2" width="28.140625" customWidth="1"/>
    <col min="3" max="3" width="26.85546875" bestFit="1" customWidth="1"/>
    <col min="4" max="5" width="9.28515625" bestFit="1" customWidth="1"/>
    <col min="6" max="6" width="20" customWidth="1"/>
    <col min="7" max="7" width="15.5703125" customWidth="1"/>
    <col min="8" max="8" width="13.42578125" customWidth="1"/>
    <col min="9" max="9" width="3.85546875" customWidth="1"/>
    <col min="10" max="10" width="10.140625" bestFit="1" customWidth="1"/>
  </cols>
  <sheetData>
    <row r="1" spans="1:10" ht="13.5" customHeight="1" x14ac:dyDescent="0.2">
      <c r="A1" s="29" t="s">
        <v>135</v>
      </c>
      <c r="B1" s="90" t="s">
        <v>312</v>
      </c>
      <c r="C1" s="1166" t="s">
        <v>136</v>
      </c>
      <c r="D1" s="1166"/>
      <c r="E1" s="1166"/>
      <c r="F1" s="1166"/>
      <c r="G1" s="1166"/>
      <c r="H1" s="1166"/>
      <c r="J1" s="1183" t="s">
        <v>712</v>
      </c>
    </row>
    <row r="2" spans="1:10" ht="13.5" customHeight="1" x14ac:dyDescent="0.2">
      <c r="A2" s="29" t="s">
        <v>137</v>
      </c>
      <c r="B2" s="110">
        <v>19651901888</v>
      </c>
      <c r="C2" s="1166"/>
      <c r="D2" s="1166"/>
      <c r="E2" s="1166"/>
      <c r="F2" s="1166"/>
      <c r="G2" s="1166"/>
      <c r="H2" s="1166"/>
      <c r="J2" s="1184"/>
    </row>
    <row r="3" spans="1:10" ht="13.5" customHeight="1" thickBot="1" x14ac:dyDescent="0.25">
      <c r="A3" s="29" t="s">
        <v>131</v>
      </c>
      <c r="B3" s="110" t="s">
        <v>313</v>
      </c>
      <c r="C3" s="1166"/>
      <c r="D3" s="1166"/>
      <c r="E3" s="1166"/>
      <c r="F3" s="1166"/>
      <c r="G3" s="1166"/>
      <c r="H3" s="1166"/>
      <c r="J3" s="1185"/>
    </row>
    <row r="4" spans="1:10" ht="12.75" customHeight="1" x14ac:dyDescent="0.2">
      <c r="A4" s="29" t="s">
        <v>120</v>
      </c>
      <c r="B4" s="89">
        <v>42468</v>
      </c>
      <c r="C4" s="1166"/>
      <c r="D4" s="1166"/>
      <c r="E4" s="1166"/>
      <c r="F4" s="1166"/>
      <c r="G4" s="1166"/>
      <c r="H4" s="1166"/>
    </row>
    <row r="5" spans="1:10" ht="12.75" customHeight="1" x14ac:dyDescent="0.2">
      <c r="A5" s="29" t="s">
        <v>130</v>
      </c>
      <c r="B5" s="89">
        <v>27709</v>
      </c>
      <c r="C5" s="1166"/>
      <c r="D5" s="1166"/>
      <c r="E5" s="1166"/>
      <c r="F5" s="1166"/>
      <c r="G5" s="1166"/>
      <c r="H5" s="1166"/>
    </row>
    <row r="6" spans="1:10" ht="45" x14ac:dyDescent="0.2">
      <c r="A6" s="99" t="s">
        <v>0</v>
      </c>
      <c r="B6" s="100" t="s">
        <v>1</v>
      </c>
      <c r="C6" s="99" t="s">
        <v>2</v>
      </c>
      <c r="D6" s="101" t="s">
        <v>133</v>
      </c>
      <c r="E6" s="101" t="s">
        <v>4</v>
      </c>
      <c r="F6" s="101" t="s">
        <v>7</v>
      </c>
      <c r="G6" s="101" t="s">
        <v>6</v>
      </c>
      <c r="H6" s="101" t="s">
        <v>16</v>
      </c>
    </row>
    <row r="7" spans="1:10" ht="15.6" customHeight="1" x14ac:dyDescent="0.2">
      <c r="A7" s="35"/>
      <c r="B7" s="36">
        <v>42692</v>
      </c>
      <c r="C7" s="37">
        <v>42692</v>
      </c>
      <c r="D7" s="57">
        <v>0.33333333333333331</v>
      </c>
      <c r="E7" s="57">
        <v>0.5</v>
      </c>
      <c r="F7" s="39" t="s">
        <v>36</v>
      </c>
      <c r="G7" s="45">
        <v>14</v>
      </c>
      <c r="H7" s="677">
        <v>0.5</v>
      </c>
    </row>
    <row r="8" spans="1:10" ht="12" customHeight="1" x14ac:dyDescent="0.2">
      <c r="A8" s="42"/>
      <c r="B8" s="36">
        <v>43262</v>
      </c>
      <c r="C8" s="44">
        <v>43276</v>
      </c>
      <c r="D8" s="86">
        <v>0.33333333333333331</v>
      </c>
      <c r="E8" s="86">
        <v>0.33333333333333331</v>
      </c>
      <c r="F8" s="39" t="s">
        <v>37</v>
      </c>
      <c r="G8" s="45">
        <v>14</v>
      </c>
      <c r="H8" s="105">
        <v>6</v>
      </c>
    </row>
    <row r="9" spans="1:10" x14ac:dyDescent="0.2">
      <c r="A9" s="42"/>
      <c r="B9" s="52">
        <v>43376</v>
      </c>
      <c r="C9" s="53">
        <v>43378</v>
      </c>
      <c r="D9" s="54">
        <v>0.5</v>
      </c>
      <c r="E9" s="54">
        <v>0.33333333333333331</v>
      </c>
      <c r="F9" s="66" t="s">
        <v>59</v>
      </c>
      <c r="G9" s="66">
        <v>14</v>
      </c>
      <c r="H9" s="105">
        <v>1.5</v>
      </c>
    </row>
    <row r="10" spans="1:10" x14ac:dyDescent="0.2">
      <c r="A10" s="43"/>
      <c r="B10" s="52">
        <v>43421</v>
      </c>
      <c r="C10" s="53">
        <v>43423</v>
      </c>
      <c r="D10" s="54">
        <v>0.4375</v>
      </c>
      <c r="E10" s="54">
        <v>0.33333333333333331</v>
      </c>
      <c r="F10" s="66" t="s">
        <v>63</v>
      </c>
      <c r="G10" s="66">
        <v>14</v>
      </c>
      <c r="H10" s="105">
        <v>1</v>
      </c>
    </row>
    <row r="11" spans="1:10" x14ac:dyDescent="0.2">
      <c r="A11" s="47"/>
      <c r="B11" s="52">
        <v>43836</v>
      </c>
      <c r="C11" s="53">
        <v>43837</v>
      </c>
      <c r="D11" s="54">
        <v>0.5</v>
      </c>
      <c r="E11" s="54">
        <v>0.33333333333333331</v>
      </c>
      <c r="F11" s="66" t="s">
        <v>81</v>
      </c>
      <c r="G11" s="66">
        <v>14</v>
      </c>
      <c r="H11" s="677">
        <v>0.5</v>
      </c>
    </row>
    <row r="12" spans="1:10" x14ac:dyDescent="0.2">
      <c r="A12" s="55"/>
      <c r="B12" s="58">
        <v>43878</v>
      </c>
      <c r="C12" s="56">
        <v>43879</v>
      </c>
      <c r="D12" s="57">
        <v>0.33333333333333331</v>
      </c>
      <c r="E12" s="57">
        <v>0.33333333333333331</v>
      </c>
      <c r="F12" s="66" t="s">
        <v>90</v>
      </c>
      <c r="G12" s="66">
        <v>20</v>
      </c>
      <c r="H12" s="80">
        <v>1</v>
      </c>
    </row>
    <row r="13" spans="1:10" x14ac:dyDescent="0.2">
      <c r="A13" s="55"/>
      <c r="B13" s="58">
        <v>43893</v>
      </c>
      <c r="C13" s="56">
        <v>43906</v>
      </c>
      <c r="D13" s="57">
        <v>0.33333333333333331</v>
      </c>
      <c r="E13" s="57">
        <v>0.33333333333333331</v>
      </c>
      <c r="F13" s="66" t="s">
        <v>127</v>
      </c>
      <c r="G13" s="66">
        <v>20</v>
      </c>
      <c r="H13" s="80">
        <v>11</v>
      </c>
    </row>
    <row r="14" spans="1:10" x14ac:dyDescent="0.2">
      <c r="A14" s="55"/>
      <c r="B14" s="111">
        <v>43929</v>
      </c>
      <c r="C14" s="44">
        <v>43948</v>
      </c>
      <c r="D14" s="86">
        <v>0.33333333333333331</v>
      </c>
      <c r="E14" s="86">
        <v>0.33333333333333331</v>
      </c>
      <c r="F14" s="112" t="s">
        <v>602</v>
      </c>
      <c r="G14" s="45">
        <v>20</v>
      </c>
      <c r="H14" s="873">
        <v>16</v>
      </c>
    </row>
    <row r="15" spans="1:10" x14ac:dyDescent="0.2">
      <c r="A15" s="55"/>
      <c r="B15" s="58">
        <v>43958</v>
      </c>
      <c r="C15" s="56">
        <v>43959</v>
      </c>
      <c r="D15" s="57">
        <v>0.33333333333333331</v>
      </c>
      <c r="E15" s="57">
        <v>0.33333333333333331</v>
      </c>
      <c r="F15" s="112" t="s">
        <v>708</v>
      </c>
      <c r="G15" s="45">
        <v>20</v>
      </c>
      <c r="H15" s="80">
        <v>1</v>
      </c>
    </row>
    <row r="16" spans="1:10" x14ac:dyDescent="0.2">
      <c r="A16" s="55"/>
      <c r="B16" s="58">
        <v>43987</v>
      </c>
      <c r="C16" s="56">
        <v>43988</v>
      </c>
      <c r="D16" s="57">
        <v>0.33333333333333331</v>
      </c>
      <c r="E16" s="57">
        <v>0.33333333333333331</v>
      </c>
      <c r="F16" s="112" t="s">
        <v>1002</v>
      </c>
      <c r="G16" s="45">
        <v>20</v>
      </c>
      <c r="H16" s="80">
        <v>1</v>
      </c>
    </row>
    <row r="17" spans="1:8" x14ac:dyDescent="0.2">
      <c r="A17" s="55"/>
      <c r="B17" s="58">
        <v>44014</v>
      </c>
      <c r="C17" s="56">
        <v>44015</v>
      </c>
      <c r="D17" s="57">
        <v>0.33333333333333331</v>
      </c>
      <c r="E17" s="57">
        <v>0.33333333333333331</v>
      </c>
      <c r="F17" s="112"/>
      <c r="G17" s="45"/>
      <c r="H17" s="80">
        <v>1</v>
      </c>
    </row>
    <row r="18" spans="1:8" x14ac:dyDescent="0.2">
      <c r="A18" s="55"/>
      <c r="B18" s="58">
        <v>44076</v>
      </c>
      <c r="C18" s="56">
        <v>44077</v>
      </c>
      <c r="D18" s="57">
        <v>0.33333333333333331</v>
      </c>
      <c r="E18" s="57">
        <v>0.33333333333333331</v>
      </c>
      <c r="F18" s="112"/>
      <c r="G18" s="45"/>
      <c r="H18" s="80">
        <v>1</v>
      </c>
    </row>
    <row r="19" spans="1:8" x14ac:dyDescent="0.2">
      <c r="A19" s="55"/>
      <c r="B19" s="58">
        <v>44083</v>
      </c>
      <c r="C19" s="56">
        <v>44084</v>
      </c>
      <c r="D19" s="57">
        <v>0.33333333333333331</v>
      </c>
      <c r="E19" s="57">
        <v>0.33333333333333331</v>
      </c>
      <c r="F19" s="112"/>
      <c r="G19" s="45"/>
      <c r="H19" s="80">
        <v>1</v>
      </c>
    </row>
    <row r="20" spans="1:8" x14ac:dyDescent="0.2">
      <c r="A20" s="55"/>
      <c r="B20" s="58">
        <v>44174</v>
      </c>
      <c r="C20" s="56">
        <v>44175</v>
      </c>
      <c r="D20" s="57">
        <v>0.33333333333333331</v>
      </c>
      <c r="E20" s="57">
        <v>0.33333333333333331</v>
      </c>
      <c r="F20" s="112"/>
      <c r="G20" s="45"/>
      <c r="H20" s="80">
        <v>1</v>
      </c>
    </row>
    <row r="21" spans="1:8" x14ac:dyDescent="0.2">
      <c r="A21" s="55"/>
      <c r="B21" s="58">
        <v>44187</v>
      </c>
      <c r="C21" s="56">
        <v>44189</v>
      </c>
      <c r="D21" s="57">
        <v>0.33333333333333331</v>
      </c>
      <c r="E21" s="57">
        <v>0.33333333333333331</v>
      </c>
      <c r="F21" s="45"/>
      <c r="G21" s="66"/>
      <c r="H21" s="80">
        <v>2</v>
      </c>
    </row>
    <row r="22" spans="1:8" x14ac:dyDescent="0.2">
      <c r="A22" s="55"/>
      <c r="B22" s="58">
        <v>44204</v>
      </c>
      <c r="C22" s="56">
        <v>44204</v>
      </c>
      <c r="D22" s="57">
        <v>0.66666666666666663</v>
      </c>
      <c r="E22" s="57">
        <v>0.75</v>
      </c>
      <c r="F22" s="66"/>
      <c r="G22" s="66"/>
      <c r="H22" s="80">
        <v>0.5</v>
      </c>
    </row>
    <row r="23" spans="1:8" x14ac:dyDescent="0.2">
      <c r="A23" s="55"/>
      <c r="B23" s="58">
        <v>44211</v>
      </c>
      <c r="C23" s="56">
        <v>44212</v>
      </c>
      <c r="D23" s="57">
        <v>0.33333333333333331</v>
      </c>
      <c r="E23" s="57">
        <v>0.33333333333333331</v>
      </c>
      <c r="F23" s="66"/>
      <c r="G23" s="66"/>
      <c r="H23" s="80">
        <v>1</v>
      </c>
    </row>
    <row r="24" spans="1:8" x14ac:dyDescent="0.2">
      <c r="A24" s="55"/>
      <c r="B24" s="58">
        <v>43858</v>
      </c>
      <c r="C24" s="56">
        <v>44225</v>
      </c>
      <c r="D24" s="57">
        <v>0.33333333333333331</v>
      </c>
      <c r="E24" s="57">
        <v>0.33333333333333331</v>
      </c>
      <c r="F24" s="66"/>
      <c r="G24" s="66"/>
      <c r="H24" s="80">
        <v>1</v>
      </c>
    </row>
    <row r="25" spans="1:8" x14ac:dyDescent="0.2">
      <c r="A25" s="55"/>
      <c r="B25" s="58">
        <v>44228</v>
      </c>
      <c r="C25" s="56">
        <v>44228</v>
      </c>
      <c r="D25" s="57">
        <v>0.33333333333333331</v>
      </c>
      <c r="E25" s="57">
        <v>0.33333333333333331</v>
      </c>
      <c r="F25" s="66"/>
      <c r="G25" s="66"/>
      <c r="H25" s="80">
        <v>0.5</v>
      </c>
    </row>
    <row r="26" spans="1:8" x14ac:dyDescent="0.2">
      <c r="A26" s="55"/>
      <c r="B26" s="58">
        <v>44242</v>
      </c>
      <c r="C26" s="56">
        <v>44249</v>
      </c>
      <c r="D26" s="57">
        <v>0.33333333333333331</v>
      </c>
      <c r="E26" s="57">
        <v>0.33333333333333331</v>
      </c>
      <c r="F26" s="66"/>
      <c r="G26" s="66"/>
      <c r="H26" s="80">
        <v>6</v>
      </c>
    </row>
    <row r="27" spans="1:8" x14ac:dyDescent="0.2">
      <c r="A27" s="55"/>
      <c r="B27" s="58">
        <v>44401</v>
      </c>
      <c r="C27" s="56">
        <v>44403</v>
      </c>
      <c r="D27" s="57">
        <v>0.33333333333333331</v>
      </c>
      <c r="E27" s="57">
        <v>0.33333333333333331</v>
      </c>
      <c r="F27" s="66"/>
      <c r="G27" s="66"/>
      <c r="H27" s="80">
        <v>1</v>
      </c>
    </row>
    <row r="28" spans="1:8" x14ac:dyDescent="0.2">
      <c r="A28" s="55"/>
      <c r="B28" s="58">
        <v>44492</v>
      </c>
      <c r="C28" s="56">
        <v>44492</v>
      </c>
      <c r="D28" s="57">
        <v>0.33333333333333331</v>
      </c>
      <c r="E28" s="57">
        <v>0.77083333333333337</v>
      </c>
      <c r="F28" s="66"/>
      <c r="G28" s="66"/>
      <c r="H28" s="80">
        <v>1</v>
      </c>
    </row>
    <row r="29" spans="1:8" x14ac:dyDescent="0.2">
      <c r="A29" s="55"/>
      <c r="B29" s="58">
        <v>44686</v>
      </c>
      <c r="C29" s="56">
        <v>44687</v>
      </c>
      <c r="D29" s="57">
        <v>0.33333333333333331</v>
      </c>
      <c r="E29" s="57">
        <v>0.33333333333333331</v>
      </c>
      <c r="F29" s="66"/>
      <c r="G29" s="66"/>
      <c r="H29" s="80">
        <v>1</v>
      </c>
    </row>
    <row r="30" spans="1:8" x14ac:dyDescent="0.2">
      <c r="A30" s="55"/>
      <c r="B30" s="58">
        <v>44735</v>
      </c>
      <c r="C30" s="56">
        <v>44738</v>
      </c>
      <c r="D30" s="57">
        <v>0.33333333333333331</v>
      </c>
      <c r="E30" s="57">
        <v>0.33333333333333331</v>
      </c>
      <c r="F30" s="66"/>
      <c r="G30" s="66"/>
      <c r="H30" s="80">
        <v>3</v>
      </c>
    </row>
    <row r="31" spans="1:8" x14ac:dyDescent="0.2">
      <c r="A31" s="55"/>
      <c r="B31" s="58">
        <v>44830</v>
      </c>
      <c r="C31" s="56">
        <v>44831</v>
      </c>
      <c r="D31" s="57">
        <v>0.33333333333333331</v>
      </c>
      <c r="E31" s="57">
        <v>0.33333333333333331</v>
      </c>
      <c r="F31" s="66"/>
      <c r="G31" s="66"/>
      <c r="H31" s="80">
        <v>1</v>
      </c>
    </row>
    <row r="32" spans="1:8" x14ac:dyDescent="0.2">
      <c r="A32" s="48"/>
      <c r="B32" s="58">
        <v>44891</v>
      </c>
      <c r="C32" s="56">
        <v>44893</v>
      </c>
      <c r="D32" s="57">
        <v>0.33333333333333331</v>
      </c>
      <c r="E32" s="57">
        <v>0.33333333333333331</v>
      </c>
      <c r="F32" s="66"/>
      <c r="G32" s="66"/>
      <c r="H32" s="80">
        <v>1</v>
      </c>
    </row>
    <row r="33" spans="1:8" x14ac:dyDescent="0.2">
      <c r="A33" s="48"/>
      <c r="B33" s="58">
        <v>45103</v>
      </c>
      <c r="C33" s="56">
        <v>45110</v>
      </c>
      <c r="D33" s="57">
        <v>0.33333333333333331</v>
      </c>
      <c r="E33" s="57">
        <v>0.33333333333333331</v>
      </c>
      <c r="F33" s="66"/>
      <c r="G33" s="66"/>
      <c r="H33" s="80">
        <v>1</v>
      </c>
    </row>
    <row r="34" spans="1:8" x14ac:dyDescent="0.2">
      <c r="A34" s="48"/>
      <c r="B34" s="58">
        <v>45139</v>
      </c>
      <c r="C34" s="56">
        <v>45145</v>
      </c>
      <c r="D34" s="57">
        <v>0.33333333333333331</v>
      </c>
      <c r="E34" s="57">
        <v>0.33333333333333331</v>
      </c>
      <c r="F34" s="66"/>
      <c r="G34" s="66"/>
      <c r="H34" s="80">
        <v>5</v>
      </c>
    </row>
    <row r="35" spans="1:8" x14ac:dyDescent="0.2">
      <c r="A35" s="48"/>
      <c r="B35" s="58">
        <v>45230</v>
      </c>
      <c r="C35" s="56">
        <v>45243</v>
      </c>
      <c r="D35" s="57">
        <v>0.33333333333333331</v>
      </c>
      <c r="E35" s="57">
        <v>0.33333333333333331</v>
      </c>
      <c r="F35" s="66"/>
      <c r="G35" s="66"/>
      <c r="H35" s="80">
        <v>11</v>
      </c>
    </row>
    <row r="36" spans="1:8" x14ac:dyDescent="0.2">
      <c r="A36" s="48"/>
      <c r="B36" s="58">
        <v>45247</v>
      </c>
      <c r="C36" s="56">
        <v>45250</v>
      </c>
      <c r="D36" s="57">
        <v>0.33333333333333331</v>
      </c>
      <c r="E36" s="57">
        <v>0.33333333333333331</v>
      </c>
      <c r="F36" s="66"/>
      <c r="G36" s="66"/>
      <c r="H36" s="80">
        <v>2</v>
      </c>
    </row>
    <row r="37" spans="1:8" x14ac:dyDescent="0.2">
      <c r="A37" s="48"/>
      <c r="B37" s="58">
        <v>45289</v>
      </c>
      <c r="C37" s="56">
        <v>45292</v>
      </c>
      <c r="D37" s="57">
        <v>0.33333333333333331</v>
      </c>
      <c r="E37" s="57">
        <v>0.33333333333333331</v>
      </c>
      <c r="F37" s="66"/>
      <c r="G37" s="66"/>
      <c r="H37" s="80">
        <v>2</v>
      </c>
    </row>
    <row r="38" spans="1:8" x14ac:dyDescent="0.2">
      <c r="A38" s="48"/>
      <c r="B38" s="58">
        <v>45463</v>
      </c>
      <c r="C38" s="56">
        <v>45467</v>
      </c>
      <c r="D38" s="687">
        <v>0.33333333333333331</v>
      </c>
      <c r="E38" s="687">
        <v>0.33333333333333331</v>
      </c>
      <c r="F38" s="66"/>
      <c r="G38" s="66"/>
      <c r="H38" s="80">
        <v>3</v>
      </c>
    </row>
    <row r="39" spans="1:8" x14ac:dyDescent="0.2">
      <c r="A39" s="48"/>
      <c r="B39" s="58">
        <v>45491</v>
      </c>
      <c r="C39" s="56">
        <v>45491</v>
      </c>
      <c r="D39" s="687">
        <v>0.33333333333333331</v>
      </c>
      <c r="E39" s="687">
        <v>0.33333333333333331</v>
      </c>
      <c r="F39" s="66"/>
      <c r="G39" s="66"/>
      <c r="H39" s="80">
        <v>1</v>
      </c>
    </row>
    <row r="40" spans="1:8" x14ac:dyDescent="0.2">
      <c r="A40" s="48"/>
      <c r="B40" s="58" t="s">
        <v>603</v>
      </c>
      <c r="C40" s="56" t="s">
        <v>604</v>
      </c>
      <c r="D40" s="687">
        <v>0.33333333333333331</v>
      </c>
      <c r="E40" s="687">
        <v>0.33333333333333331</v>
      </c>
      <c r="F40" s="66"/>
      <c r="G40" s="66"/>
      <c r="H40" s="80">
        <v>14</v>
      </c>
    </row>
    <row r="41" spans="1:8" x14ac:dyDescent="0.2">
      <c r="A41" s="48"/>
      <c r="B41" s="58">
        <v>45637</v>
      </c>
      <c r="C41" s="56">
        <v>45643</v>
      </c>
      <c r="D41" s="687">
        <v>0.33333333333333331</v>
      </c>
      <c r="E41" s="687">
        <v>0.33333333333333331</v>
      </c>
      <c r="F41" s="66"/>
      <c r="G41" s="66"/>
      <c r="H41" s="80">
        <v>6</v>
      </c>
    </row>
    <row r="42" spans="1:8" x14ac:dyDescent="0.2">
      <c r="A42" s="48"/>
      <c r="B42" s="58">
        <v>45660</v>
      </c>
      <c r="C42" s="56">
        <v>45661</v>
      </c>
      <c r="D42" s="687">
        <v>0.33333333333333331</v>
      </c>
      <c r="E42" s="687">
        <v>0.33333333333333331</v>
      </c>
      <c r="F42" s="66"/>
      <c r="G42" s="66"/>
      <c r="H42" s="80">
        <v>2</v>
      </c>
    </row>
    <row r="43" spans="1:8" x14ac:dyDescent="0.2">
      <c r="A43" s="48"/>
      <c r="B43" s="58">
        <v>45681</v>
      </c>
      <c r="C43" s="56">
        <v>45681</v>
      </c>
      <c r="D43" s="687">
        <v>0.33333333333333331</v>
      </c>
      <c r="E43" s="687">
        <v>0.33333333333333331</v>
      </c>
      <c r="F43" s="66"/>
      <c r="G43" s="66"/>
      <c r="H43" s="80">
        <v>1</v>
      </c>
    </row>
    <row r="44" spans="1:8" x14ac:dyDescent="0.2">
      <c r="A44" s="48"/>
      <c r="B44" s="58">
        <v>45740</v>
      </c>
      <c r="C44" s="56">
        <v>45744</v>
      </c>
      <c r="D44" s="687">
        <v>0.33333333333333331</v>
      </c>
      <c r="E44" s="687">
        <v>0.33333333333333331</v>
      </c>
      <c r="F44" s="66"/>
      <c r="G44" s="66"/>
      <c r="H44" s="80">
        <v>5</v>
      </c>
    </row>
    <row r="45" spans="1:8" x14ac:dyDescent="0.2">
      <c r="A45" s="48"/>
      <c r="B45" s="58">
        <v>45779</v>
      </c>
      <c r="C45" s="688">
        <v>45779</v>
      </c>
      <c r="D45" s="687">
        <v>0.33333333333333331</v>
      </c>
      <c r="E45" s="687">
        <v>0.33333333333333331</v>
      </c>
      <c r="F45" s="66"/>
      <c r="G45" s="66"/>
      <c r="H45" s="80">
        <v>1</v>
      </c>
    </row>
    <row r="46" spans="1:8" x14ac:dyDescent="0.2">
      <c r="A46" s="48"/>
      <c r="B46" s="58">
        <v>45789</v>
      </c>
      <c r="C46" s="56">
        <v>45791</v>
      </c>
      <c r="D46" s="57">
        <v>0.5</v>
      </c>
      <c r="E46" s="57">
        <v>0.33333333333333331</v>
      </c>
      <c r="F46" s="66"/>
      <c r="G46" s="66"/>
      <c r="H46" s="80">
        <v>1.5</v>
      </c>
    </row>
    <row r="47" spans="1:8" x14ac:dyDescent="0.2">
      <c r="A47" s="48"/>
      <c r="B47" s="58">
        <v>45792</v>
      </c>
      <c r="C47" s="56">
        <v>45792</v>
      </c>
      <c r="D47" s="57">
        <v>0.33333333333333331</v>
      </c>
      <c r="E47" s="57">
        <v>0.33333333333333331</v>
      </c>
      <c r="F47" s="66"/>
      <c r="G47" s="66"/>
      <c r="H47" s="80">
        <v>1</v>
      </c>
    </row>
    <row r="48" spans="1:8" x14ac:dyDescent="0.2">
      <c r="A48" s="48"/>
      <c r="B48" s="58">
        <v>45806</v>
      </c>
      <c r="C48" s="56">
        <v>45806</v>
      </c>
      <c r="D48" s="57">
        <v>0.33333333333333331</v>
      </c>
      <c r="E48" s="57">
        <v>0.33333333333333331</v>
      </c>
      <c r="F48" s="66"/>
      <c r="G48" s="66"/>
      <c r="H48" s="80">
        <v>1</v>
      </c>
    </row>
    <row r="49" spans="1:8" x14ac:dyDescent="0.2">
      <c r="A49" s="48"/>
      <c r="B49" s="58">
        <v>45831</v>
      </c>
      <c r="C49" s="56">
        <v>45831</v>
      </c>
      <c r="D49" s="57" t="s">
        <v>17</v>
      </c>
      <c r="E49" s="57" t="s">
        <v>17</v>
      </c>
      <c r="F49" s="66"/>
      <c r="G49" s="66"/>
      <c r="H49" s="80">
        <v>1</v>
      </c>
    </row>
    <row r="50" spans="1:8" x14ac:dyDescent="0.2">
      <c r="A50" s="48"/>
      <c r="B50" s="58">
        <v>45838</v>
      </c>
      <c r="C50" s="56">
        <v>45838</v>
      </c>
      <c r="D50" s="687" t="s">
        <v>17</v>
      </c>
      <c r="E50" s="687" t="s">
        <v>17</v>
      </c>
      <c r="F50" s="66"/>
      <c r="G50" s="66"/>
      <c r="H50" s="80">
        <v>1</v>
      </c>
    </row>
    <row r="51" spans="1:8" x14ac:dyDescent="0.2">
      <c r="A51" s="48"/>
      <c r="B51" s="58">
        <v>45867</v>
      </c>
      <c r="C51" s="56">
        <v>45868</v>
      </c>
      <c r="D51" s="57">
        <v>0.33333333333333331</v>
      </c>
      <c r="E51" s="57">
        <v>0.33333333333333331</v>
      </c>
      <c r="F51" s="66"/>
      <c r="G51" s="66"/>
      <c r="H51" s="80">
        <v>1</v>
      </c>
    </row>
    <row r="52" spans="1:8" s="653" customFormat="1" x14ac:dyDescent="0.2">
      <c r="A52" s="683"/>
      <c r="B52" s="688">
        <v>45887</v>
      </c>
      <c r="C52" s="686">
        <v>45901</v>
      </c>
      <c r="D52" s="687">
        <v>0.33333333333333331</v>
      </c>
      <c r="E52" s="687">
        <v>0.33333333333333331</v>
      </c>
      <c r="F52" s="691"/>
      <c r="G52" s="691"/>
      <c r="H52" s="80">
        <v>11</v>
      </c>
    </row>
    <row r="53" spans="1:8" s="653" customFormat="1" x14ac:dyDescent="0.2">
      <c r="A53" s="683"/>
      <c r="B53" s="688">
        <v>45960</v>
      </c>
      <c r="C53" s="686">
        <v>45961</v>
      </c>
      <c r="D53" s="687"/>
      <c r="E53" s="687"/>
      <c r="F53" s="691"/>
      <c r="G53" s="691"/>
      <c r="H53" s="80">
        <v>1</v>
      </c>
    </row>
    <row r="54" spans="1:8" s="653" customFormat="1" x14ac:dyDescent="0.2">
      <c r="A54" s="683"/>
      <c r="B54" s="688">
        <v>45975</v>
      </c>
      <c r="C54" s="686">
        <v>45978</v>
      </c>
      <c r="D54" s="687">
        <v>0.33333333333333331</v>
      </c>
      <c r="E54" s="687">
        <v>0.33333333333333331</v>
      </c>
      <c r="F54" s="691"/>
      <c r="G54" s="691"/>
      <c r="H54" s="80">
        <v>2</v>
      </c>
    </row>
    <row r="55" spans="1:8" s="653" customFormat="1" x14ac:dyDescent="0.2">
      <c r="A55" s="683"/>
      <c r="B55" s="688">
        <v>46024</v>
      </c>
      <c r="C55" s="686">
        <v>46025</v>
      </c>
      <c r="D55" s="687"/>
      <c r="E55" s="687"/>
      <c r="F55" s="691"/>
      <c r="G55" s="691"/>
      <c r="H55" s="80">
        <v>1</v>
      </c>
    </row>
    <row r="56" spans="1:8" s="653" customFormat="1" x14ac:dyDescent="0.2">
      <c r="A56" s="683"/>
      <c r="B56" s="688">
        <v>46132</v>
      </c>
      <c r="C56" s="686">
        <v>46135</v>
      </c>
      <c r="D56" s="687"/>
      <c r="E56" s="687"/>
      <c r="F56" s="691"/>
      <c r="G56" s="691"/>
      <c r="H56" s="80">
        <v>3</v>
      </c>
    </row>
    <row r="57" spans="1:8" x14ac:dyDescent="0.2">
      <c r="A57" s="48"/>
      <c r="B57" s="48"/>
      <c r="C57" s="48"/>
      <c r="D57" s="48"/>
      <c r="E57" s="48"/>
      <c r="F57" s="66"/>
      <c r="G57" s="66"/>
      <c r="H57" s="80"/>
    </row>
    <row r="58" spans="1:8" x14ac:dyDescent="0.2">
      <c r="A58" s="113"/>
      <c r="B58" s="113"/>
      <c r="C58" s="113"/>
      <c r="D58" s="113"/>
      <c r="E58" s="113"/>
      <c r="F58" s="102" t="s">
        <v>123</v>
      </c>
      <c r="G58" s="114">
        <f>SUM(G7:G57)</f>
        <v>170</v>
      </c>
      <c r="H58" s="103">
        <f>SUM(H7:H57)</f>
        <v>141</v>
      </c>
    </row>
    <row r="59" spans="1:8" x14ac:dyDescent="0.2">
      <c r="F59" s="62"/>
      <c r="G59" s="63"/>
      <c r="H59" s="63"/>
    </row>
    <row r="60" spans="1:8" ht="14.25" x14ac:dyDescent="0.2">
      <c r="F60" s="1153" t="s">
        <v>8</v>
      </c>
      <c r="G60" s="1154"/>
      <c r="H60" s="84">
        <f>G58-H58</f>
        <v>29</v>
      </c>
    </row>
  </sheetData>
  <mergeCells count="3">
    <mergeCell ref="F60:G60"/>
    <mergeCell ref="C1:H5"/>
    <mergeCell ref="J1:J3"/>
  </mergeCells>
  <hyperlinks>
    <hyperlink ref="J1:J3" location="'ANA SAYFA'!A1" display="ANA SAYFA"/>
  </hyperlinks>
  <pageMargins left="0.7" right="0.12" top="0.12" bottom="0.28999999999999998" header="0.12" footer="0.3"/>
  <pageSetup paperSize="9" scale="67" orientation="portrait" horizontalDpi="300" verticalDpi="300"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8"/>
  <sheetViews>
    <sheetView workbookViewId="0">
      <selection activeCell="J1" sqref="J1:J3"/>
    </sheetView>
  </sheetViews>
  <sheetFormatPr defaultColWidth="9.140625" defaultRowHeight="11.25" x14ac:dyDescent="0.15"/>
  <cols>
    <col min="1" max="1" width="18.140625" style="113" bestFit="1" customWidth="1"/>
    <col min="2" max="2" width="26.5703125" style="113" bestFit="1" customWidth="1"/>
    <col min="3" max="3" width="26.7109375" style="113" bestFit="1" customWidth="1"/>
    <col min="4" max="5" width="9.28515625" style="113" customWidth="1"/>
    <col min="6" max="6" width="20.140625" style="113" customWidth="1"/>
    <col min="7" max="7" width="15.28515625" style="113" bestFit="1" customWidth="1"/>
    <col min="8" max="8" width="14.85546875" style="113" customWidth="1"/>
    <col min="9" max="9" width="4.140625" style="113" customWidth="1"/>
    <col min="10" max="10" width="12.28515625" style="113" customWidth="1"/>
    <col min="11" max="16384" width="9.140625" style="113"/>
  </cols>
  <sheetData>
    <row r="1" spans="1:12" ht="15.75" customHeight="1" x14ac:dyDescent="0.2">
      <c r="A1" s="29" t="s">
        <v>135</v>
      </c>
      <c r="B1" s="188" t="str">
        <f>'ANA SAYFA'!B68</f>
        <v>EMRULLAH AKIN</v>
      </c>
      <c r="C1" s="1166" t="s">
        <v>136</v>
      </c>
      <c r="D1" s="1166"/>
      <c r="E1" s="1166"/>
      <c r="F1" s="1166"/>
      <c r="G1" s="1166"/>
      <c r="H1" s="1166"/>
      <c r="J1" s="1268" t="s">
        <v>712</v>
      </c>
    </row>
    <row r="2" spans="1:12" ht="15.75" customHeight="1" x14ac:dyDescent="0.15">
      <c r="A2" s="29" t="s">
        <v>137</v>
      </c>
      <c r="B2" s="154">
        <f>'ANA SAYFA'!D68</f>
        <v>24116688938</v>
      </c>
      <c r="C2" s="1166"/>
      <c r="D2" s="1166"/>
      <c r="E2" s="1166"/>
      <c r="F2" s="1166"/>
      <c r="G2" s="1166"/>
      <c r="H2" s="1166"/>
      <c r="J2" s="1268"/>
    </row>
    <row r="3" spans="1:12" ht="15.75" customHeight="1" x14ac:dyDescent="0.15">
      <c r="A3" s="29" t="s">
        <v>131</v>
      </c>
      <c r="B3" s="153" t="str">
        <f>'ANA SAYFA'!C68</f>
        <v>TOPOĞRAF</v>
      </c>
      <c r="C3" s="1166"/>
      <c r="D3" s="1166"/>
      <c r="E3" s="1166"/>
      <c r="F3" s="1166"/>
      <c r="G3" s="1166"/>
      <c r="H3" s="1166"/>
      <c r="J3" s="1268"/>
    </row>
    <row r="4" spans="1:12" ht="15.75" customHeight="1" x14ac:dyDescent="0.15">
      <c r="A4" s="29" t="s">
        <v>120</v>
      </c>
      <c r="B4" s="83">
        <v>45096</v>
      </c>
      <c r="C4" s="1166"/>
      <c r="D4" s="1166"/>
      <c r="E4" s="1166"/>
      <c r="F4" s="1166"/>
      <c r="G4" s="1166"/>
      <c r="H4" s="1166"/>
    </row>
    <row r="5" spans="1:12" ht="15.75" customHeight="1" x14ac:dyDescent="0.15">
      <c r="A5" s="29" t="s">
        <v>130</v>
      </c>
      <c r="B5" s="83">
        <f>'ANA SAYFA'!F68</f>
        <v>35841</v>
      </c>
      <c r="C5" s="1166"/>
      <c r="D5" s="1166"/>
      <c r="E5" s="1166"/>
      <c r="F5" s="1166"/>
      <c r="G5" s="1166"/>
      <c r="H5" s="1166"/>
    </row>
    <row r="6" spans="1:12" ht="45" x14ac:dyDescent="0.15">
      <c r="A6" s="99" t="s">
        <v>0</v>
      </c>
      <c r="B6" s="100" t="s">
        <v>1</v>
      </c>
      <c r="C6" s="99" t="s">
        <v>2</v>
      </c>
      <c r="D6" s="101" t="s">
        <v>133</v>
      </c>
      <c r="E6" s="101" t="s">
        <v>4</v>
      </c>
      <c r="F6" s="101" t="s">
        <v>7</v>
      </c>
      <c r="G6" s="101" t="s">
        <v>6</v>
      </c>
      <c r="H6" s="101" t="s">
        <v>16</v>
      </c>
      <c r="J6" s="959" t="s">
        <v>870</v>
      </c>
      <c r="K6" s="959"/>
      <c r="L6" s="959"/>
    </row>
    <row r="7" spans="1:12" ht="13.5" customHeight="1" x14ac:dyDescent="0.15">
      <c r="A7" s="35"/>
      <c r="B7" s="36">
        <v>45341</v>
      </c>
      <c r="C7" s="37">
        <v>45342</v>
      </c>
      <c r="D7" s="38">
        <v>0.33333333333333331</v>
      </c>
      <c r="E7" s="676">
        <v>0.33333333333333331</v>
      </c>
      <c r="F7" s="89" t="s">
        <v>717</v>
      </c>
      <c r="G7" s="106">
        <v>14</v>
      </c>
      <c r="H7" s="115">
        <v>1</v>
      </c>
      <c r="J7" s="41"/>
      <c r="K7" s="41"/>
    </row>
    <row r="8" spans="1:12" ht="13.5" customHeight="1" x14ac:dyDescent="0.15">
      <c r="A8" s="35"/>
      <c r="B8" s="36" t="s">
        <v>510</v>
      </c>
      <c r="C8" s="464" t="s">
        <v>510</v>
      </c>
      <c r="D8" s="676">
        <v>0.33333333333333331</v>
      </c>
      <c r="E8" s="676">
        <v>0.33333333333333331</v>
      </c>
      <c r="F8" s="89" t="s">
        <v>822</v>
      </c>
      <c r="G8" s="106">
        <v>14</v>
      </c>
      <c r="H8" s="115">
        <v>1</v>
      </c>
      <c r="J8" s="530">
        <v>45838</v>
      </c>
      <c r="K8" s="30" t="s">
        <v>835</v>
      </c>
    </row>
    <row r="9" spans="1:12" ht="13.5" customHeight="1" x14ac:dyDescent="0.15">
      <c r="A9" s="43"/>
      <c r="B9" s="36">
        <v>45463</v>
      </c>
      <c r="C9" s="44">
        <v>45463</v>
      </c>
      <c r="D9" s="676">
        <v>0.33333333333333331</v>
      </c>
      <c r="E9" s="676">
        <v>0.33333333333333331</v>
      </c>
      <c r="F9" s="45"/>
      <c r="G9" s="106"/>
      <c r="H9" s="106">
        <v>1</v>
      </c>
      <c r="J9" s="30"/>
      <c r="K9" s="30"/>
    </row>
    <row r="10" spans="1:12" ht="13.5" customHeight="1" x14ac:dyDescent="0.15">
      <c r="A10" s="43"/>
      <c r="B10" s="36">
        <v>45488</v>
      </c>
      <c r="C10" s="44">
        <v>45495</v>
      </c>
      <c r="D10" s="676">
        <v>0.33333333333333331</v>
      </c>
      <c r="E10" s="676">
        <v>0.33333333333333331</v>
      </c>
      <c r="F10" s="359"/>
      <c r="G10" s="106"/>
      <c r="H10" s="106">
        <v>6</v>
      </c>
      <c r="J10" s="30"/>
      <c r="K10" s="30"/>
    </row>
    <row r="11" spans="1:12" ht="13.5" customHeight="1" x14ac:dyDescent="0.15">
      <c r="A11" s="43"/>
      <c r="B11" s="36">
        <v>45572</v>
      </c>
      <c r="C11" s="37">
        <v>45572</v>
      </c>
      <c r="D11" s="676">
        <v>0.33333333333333331</v>
      </c>
      <c r="E11" s="676">
        <v>0.33333333333333331</v>
      </c>
      <c r="F11" s="45"/>
      <c r="G11" s="66"/>
      <c r="H11" s="106">
        <v>1</v>
      </c>
    </row>
    <row r="12" spans="1:12" ht="13.5" customHeight="1" x14ac:dyDescent="0.15">
      <c r="A12" s="43"/>
      <c r="B12" s="52">
        <v>45719</v>
      </c>
      <c r="C12" s="53">
        <v>45719</v>
      </c>
      <c r="D12" s="676">
        <v>0.33333333333333331</v>
      </c>
      <c r="E12" s="676">
        <v>0.33333333333333331</v>
      </c>
      <c r="F12" s="66"/>
      <c r="G12" s="66"/>
      <c r="H12" s="115">
        <v>1</v>
      </c>
      <c r="J12" s="41"/>
      <c r="K12" s="41"/>
    </row>
    <row r="13" spans="1:12" ht="13.5" customHeight="1" x14ac:dyDescent="0.15">
      <c r="A13" s="43"/>
      <c r="B13" s="58">
        <v>45730</v>
      </c>
      <c r="C13" s="56">
        <v>45731</v>
      </c>
      <c r="D13" s="676">
        <v>0.33333333333333331</v>
      </c>
      <c r="E13" s="676">
        <v>0.33333333333333331</v>
      </c>
      <c r="F13" s="66"/>
      <c r="G13" s="66"/>
      <c r="H13" s="115">
        <v>2</v>
      </c>
      <c r="J13" s="30"/>
      <c r="K13" s="30"/>
    </row>
    <row r="14" spans="1:12" ht="13.5" customHeight="1" x14ac:dyDescent="0.15">
      <c r="A14" s="43"/>
      <c r="B14" s="58">
        <v>45749</v>
      </c>
      <c r="C14" s="56">
        <v>45756</v>
      </c>
      <c r="D14" s="676">
        <v>0.33333333333333331</v>
      </c>
      <c r="E14" s="676">
        <v>0.33333333333333331</v>
      </c>
      <c r="F14" s="66"/>
      <c r="G14" s="66"/>
      <c r="H14" s="115">
        <v>7</v>
      </c>
      <c r="J14" s="30"/>
      <c r="K14" s="30"/>
    </row>
    <row r="15" spans="1:12" ht="13.5" customHeight="1" x14ac:dyDescent="0.15">
      <c r="A15" s="43"/>
      <c r="B15" s="58">
        <v>45862</v>
      </c>
      <c r="C15" s="56">
        <v>45864</v>
      </c>
      <c r="D15" s="676">
        <v>0.33333333333333331</v>
      </c>
      <c r="E15" s="676">
        <v>0.33333333333333331</v>
      </c>
      <c r="F15" s="66"/>
      <c r="G15" s="66"/>
      <c r="H15" s="115">
        <v>3</v>
      </c>
      <c r="J15" s="30"/>
      <c r="K15" s="30"/>
    </row>
    <row r="16" spans="1:12" ht="13.5" customHeight="1" x14ac:dyDescent="0.15">
      <c r="A16" s="43"/>
      <c r="B16" s="58">
        <v>45964</v>
      </c>
      <c r="C16" s="56">
        <v>45971</v>
      </c>
      <c r="D16" s="676">
        <v>0.33333333333333331</v>
      </c>
      <c r="E16" s="676">
        <v>0.33333333333333331</v>
      </c>
      <c r="F16" s="66"/>
      <c r="G16" s="66"/>
      <c r="H16" s="115">
        <v>6</v>
      </c>
      <c r="J16" s="30"/>
      <c r="K16" s="30"/>
    </row>
    <row r="17" spans="1:11" ht="13.5" customHeight="1" x14ac:dyDescent="0.15">
      <c r="A17" s="43"/>
      <c r="B17" s="58">
        <v>46104</v>
      </c>
      <c r="C17" s="56">
        <v>46105</v>
      </c>
      <c r="D17" s="38"/>
      <c r="E17" s="38"/>
      <c r="F17" s="66"/>
      <c r="G17" s="66"/>
      <c r="H17" s="115">
        <v>1</v>
      </c>
      <c r="J17" s="30"/>
      <c r="K17" s="30"/>
    </row>
    <row r="18" spans="1:11" ht="13.5" customHeight="1" x14ac:dyDescent="0.15">
      <c r="A18" s="43"/>
      <c r="B18" s="58">
        <v>46193</v>
      </c>
      <c r="C18" s="56">
        <v>46196</v>
      </c>
      <c r="D18" s="38"/>
      <c r="E18" s="38"/>
      <c r="F18" s="66"/>
      <c r="G18" s="66"/>
      <c r="H18" s="115">
        <v>2</v>
      </c>
      <c r="J18" s="30"/>
      <c r="K18" s="30"/>
    </row>
    <row r="19" spans="1:11" ht="13.5" customHeight="1" x14ac:dyDescent="0.15">
      <c r="A19" s="43"/>
      <c r="B19" s="58"/>
      <c r="C19" s="56"/>
      <c r="D19" s="38"/>
      <c r="E19" s="38"/>
      <c r="F19" s="66"/>
      <c r="G19" s="66"/>
      <c r="H19" s="115"/>
      <c r="J19" s="30"/>
      <c r="K19" s="30"/>
    </row>
    <row r="20" spans="1:11" ht="13.5" customHeight="1" x14ac:dyDescent="0.15">
      <c r="A20" s="43"/>
      <c r="B20" s="58"/>
      <c r="C20" s="56"/>
      <c r="D20" s="38"/>
      <c r="E20" s="38"/>
      <c r="F20" s="66"/>
      <c r="G20" s="66"/>
      <c r="H20" s="115"/>
      <c r="J20" s="30"/>
      <c r="K20" s="30"/>
    </row>
    <row r="21" spans="1:11" ht="13.5" customHeight="1" x14ac:dyDescent="0.15">
      <c r="A21" s="55"/>
      <c r="B21" s="58"/>
      <c r="C21" s="56"/>
      <c r="D21" s="38"/>
      <c r="E21" s="38"/>
      <c r="F21" s="66"/>
      <c r="G21" s="66"/>
      <c r="H21" s="66" t="s">
        <v>9</v>
      </c>
    </row>
    <row r="22" spans="1:11" ht="13.5" customHeight="1" x14ac:dyDescent="0.15">
      <c r="A22" s="55"/>
      <c r="B22" s="58"/>
      <c r="C22" s="56"/>
      <c r="D22" s="57"/>
      <c r="E22" s="57"/>
      <c r="F22" s="48"/>
      <c r="G22" s="66"/>
      <c r="H22" s="66"/>
    </row>
    <row r="23" spans="1:11" ht="13.5" customHeight="1" x14ac:dyDescent="0.15">
      <c r="A23" s="55"/>
      <c r="B23" s="58"/>
      <c r="C23" s="56"/>
      <c r="D23" s="57"/>
      <c r="E23" s="57"/>
      <c r="F23" s="48"/>
      <c r="G23" s="66"/>
      <c r="H23" s="66"/>
    </row>
    <row r="24" spans="1:11" ht="13.5" customHeight="1" x14ac:dyDescent="0.15">
      <c r="A24" s="55"/>
      <c r="B24" s="58"/>
      <c r="C24" s="56"/>
      <c r="D24" s="57"/>
      <c r="E24" s="57"/>
      <c r="F24" s="48"/>
      <c r="G24" s="66"/>
      <c r="H24" s="66"/>
    </row>
    <row r="25" spans="1:11" ht="13.5" customHeight="1" x14ac:dyDescent="0.15">
      <c r="A25" s="55"/>
      <c r="B25" s="58"/>
      <c r="C25" s="56"/>
      <c r="D25" s="57"/>
      <c r="E25" s="57"/>
      <c r="F25" s="48"/>
      <c r="G25" s="66"/>
      <c r="H25" s="66"/>
    </row>
    <row r="26" spans="1:11" ht="13.5" customHeight="1" x14ac:dyDescent="0.15">
      <c r="A26" s="55"/>
      <c r="B26" s="58"/>
      <c r="C26" s="56"/>
      <c r="D26" s="57"/>
      <c r="E26" s="57"/>
      <c r="F26" s="48"/>
      <c r="G26" s="66"/>
      <c r="H26" s="66"/>
    </row>
    <row r="27" spans="1:11" ht="13.5" customHeight="1" x14ac:dyDescent="0.15">
      <c r="A27" s="55"/>
      <c r="B27" s="58"/>
      <c r="C27" s="56"/>
      <c r="D27" s="57"/>
      <c r="E27" s="57"/>
      <c r="F27" s="48"/>
      <c r="G27" s="66"/>
      <c r="H27" s="66"/>
    </row>
    <row r="28" spans="1:11" ht="13.5" customHeight="1" x14ac:dyDescent="0.15">
      <c r="A28" s="55"/>
      <c r="B28" s="58"/>
      <c r="C28" s="56"/>
      <c r="D28" s="57"/>
      <c r="E28" s="57"/>
      <c r="F28" s="48"/>
      <c r="G28" s="66"/>
      <c r="H28" s="66"/>
    </row>
    <row r="29" spans="1:11" ht="13.5" customHeight="1" x14ac:dyDescent="0.15">
      <c r="A29" s="55"/>
      <c r="B29" s="58"/>
      <c r="C29" s="56"/>
      <c r="D29" s="57"/>
      <c r="E29" s="57"/>
      <c r="F29" s="48"/>
      <c r="G29" s="66"/>
      <c r="H29" s="66"/>
    </row>
    <row r="30" spans="1:11" ht="13.5" customHeight="1" x14ac:dyDescent="0.15">
      <c r="A30" s="55"/>
      <c r="B30" s="58"/>
      <c r="C30" s="56"/>
      <c r="D30" s="57"/>
      <c r="E30" s="57"/>
      <c r="F30" s="48"/>
      <c r="G30" s="66"/>
      <c r="H30" s="66"/>
    </row>
    <row r="31" spans="1:11" ht="13.5" customHeight="1" x14ac:dyDescent="0.15">
      <c r="F31" s="102" t="s">
        <v>123</v>
      </c>
      <c r="G31" s="102">
        <f>SUM(G7:G22)</f>
        <v>28</v>
      </c>
      <c r="H31" s="102">
        <f>SUM(H7:H29)</f>
        <v>32</v>
      </c>
    </row>
    <row r="32" spans="1:11" ht="13.5" customHeight="1" x14ac:dyDescent="0.15">
      <c r="F32" s="62"/>
      <c r="G32" s="63"/>
      <c r="H32" s="63"/>
    </row>
    <row r="33" spans="6:8" ht="13.5" customHeight="1" x14ac:dyDescent="0.15">
      <c r="F33" s="1173" t="s">
        <v>8</v>
      </c>
      <c r="G33" s="1174"/>
      <c r="H33" s="107">
        <f>G31-H31</f>
        <v>-4</v>
      </c>
    </row>
    <row r="37" spans="6:8" x14ac:dyDescent="0.15">
      <c r="H37" s="519"/>
    </row>
    <row r="38" spans="6:8" x14ac:dyDescent="0.15">
      <c r="H38" s="519"/>
    </row>
  </sheetData>
  <mergeCells count="3">
    <mergeCell ref="F33:G33"/>
    <mergeCell ref="C1:H5"/>
    <mergeCell ref="J1:J3"/>
  </mergeCells>
  <hyperlinks>
    <hyperlink ref="J1:J3" location="'ANA SAYFA'!A1" display="ANA SAYFA"/>
  </hyperlinks>
  <pageMargins left="0.33" right="0.14000000000000001" top="0.75" bottom="0.75" header="0.3" footer="0.3"/>
  <pageSetup paperSize="9" scale="71"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4"/>
  <sheetViews>
    <sheetView workbookViewId="0">
      <pane ySplit="6" topLeftCell="A7" activePane="bottomLeft" state="frozen"/>
      <selection pane="bottomLeft" activeCell="J1" sqref="J1:J3"/>
    </sheetView>
  </sheetViews>
  <sheetFormatPr defaultColWidth="9.140625" defaultRowHeight="12.75" x14ac:dyDescent="0.2"/>
  <cols>
    <col min="1" max="1" width="18.5703125" style="82" bestFit="1" customWidth="1"/>
    <col min="2" max="2" width="27.42578125" style="82" bestFit="1" customWidth="1"/>
    <col min="3" max="3" width="25" style="82" bestFit="1" customWidth="1"/>
    <col min="4" max="4" width="6.7109375" style="82" bestFit="1" customWidth="1"/>
    <col min="5" max="5" width="8.85546875" style="82" bestFit="1" customWidth="1"/>
    <col min="6" max="6" width="18.85546875" style="82" bestFit="1" customWidth="1"/>
    <col min="7" max="7" width="14.28515625" style="82" bestFit="1" customWidth="1"/>
    <col min="8" max="8" width="12.5703125" style="82" bestFit="1" customWidth="1"/>
    <col min="9" max="9" width="4" style="82" customWidth="1"/>
    <col min="10" max="10" width="11.42578125" style="82" bestFit="1" customWidth="1"/>
    <col min="11" max="11" width="9.140625" style="82"/>
    <col min="12" max="12" width="11.5703125" style="82" bestFit="1" customWidth="1"/>
    <col min="13" max="16384" width="9.140625" style="82"/>
  </cols>
  <sheetData>
    <row r="1" spans="1:11" x14ac:dyDescent="0.2">
      <c r="A1" s="29" t="s">
        <v>135</v>
      </c>
      <c r="B1" s="188" t="str">
        <f>'ANA SAYFA'!B69</f>
        <v xml:space="preserve">BEDİR BOZAN </v>
      </c>
      <c r="C1" s="1166" t="s">
        <v>136</v>
      </c>
      <c r="D1" s="1166"/>
      <c r="E1" s="1166"/>
      <c r="F1" s="1166"/>
      <c r="G1" s="1166"/>
      <c r="H1" s="1166"/>
      <c r="I1" s="113"/>
      <c r="J1" s="1268" t="s">
        <v>712</v>
      </c>
    </row>
    <row r="2" spans="1:11" x14ac:dyDescent="0.2">
      <c r="A2" s="29" t="s">
        <v>137</v>
      </c>
      <c r="B2" s="154">
        <f>'ANA SAYFA'!D69</f>
        <v>10756498662</v>
      </c>
      <c r="C2" s="1166"/>
      <c r="D2" s="1166"/>
      <c r="E2" s="1166"/>
      <c r="F2" s="1166"/>
      <c r="G2" s="1166"/>
      <c r="H2" s="1166"/>
      <c r="I2" s="113"/>
      <c r="J2" s="1268"/>
    </row>
    <row r="3" spans="1:11" x14ac:dyDescent="0.2">
      <c r="A3" s="29" t="s">
        <v>131</v>
      </c>
      <c r="B3" s="153" t="str">
        <f>'ANA SAYFA'!C69</f>
        <v>TIR-ÇEKİCİ ŞOFÖRÜ</v>
      </c>
      <c r="C3" s="1166"/>
      <c r="D3" s="1166"/>
      <c r="E3" s="1166"/>
      <c r="F3" s="1166"/>
      <c r="G3" s="1166"/>
      <c r="H3" s="1166"/>
      <c r="I3" s="113"/>
      <c r="J3" s="1268"/>
    </row>
    <row r="4" spans="1:11" x14ac:dyDescent="0.2">
      <c r="A4" s="29" t="s">
        <v>120</v>
      </c>
      <c r="B4" s="83">
        <f>'ANA SAYFA'!E69</f>
        <v>45293</v>
      </c>
      <c r="C4" s="1166"/>
      <c r="D4" s="1166"/>
      <c r="E4" s="1166"/>
      <c r="F4" s="1166"/>
      <c r="G4" s="1166"/>
      <c r="H4" s="1166"/>
      <c r="I4" s="113"/>
      <c r="J4" s="113"/>
    </row>
    <row r="5" spans="1:11" x14ac:dyDescent="0.2">
      <c r="A5" s="29" t="s">
        <v>130</v>
      </c>
      <c r="B5" s="83">
        <f>'ANA SAYFA'!F69</f>
        <v>35641</v>
      </c>
      <c r="C5" s="1166"/>
      <c r="D5" s="1166"/>
      <c r="E5" s="1166"/>
      <c r="F5" s="1166"/>
      <c r="G5" s="1166"/>
      <c r="H5" s="1166"/>
      <c r="I5" s="113"/>
      <c r="J5" s="699"/>
      <c r="K5" s="699"/>
    </row>
    <row r="6" spans="1:11" ht="31.5" x14ac:dyDescent="0.2">
      <c r="A6" s="69" t="s">
        <v>0</v>
      </c>
      <c r="B6" s="70" t="s">
        <v>1</v>
      </c>
      <c r="C6" s="69" t="s">
        <v>2</v>
      </c>
      <c r="D6" s="71" t="s">
        <v>133</v>
      </c>
      <c r="E6" s="71" t="s">
        <v>4</v>
      </c>
      <c r="F6" s="71" t="s">
        <v>7</v>
      </c>
      <c r="G6" s="71" t="s">
        <v>6</v>
      </c>
      <c r="H6" s="71" t="s">
        <v>16</v>
      </c>
      <c r="J6" s="699"/>
      <c r="K6" s="699"/>
    </row>
    <row r="7" spans="1:11" s="366" customFormat="1" x14ac:dyDescent="0.2">
      <c r="A7" s="360"/>
      <c r="B7" s="361">
        <v>45507</v>
      </c>
      <c r="C7" s="362">
        <v>45513</v>
      </c>
      <c r="D7" s="363">
        <v>0.33333333333333331</v>
      </c>
      <c r="E7" s="363">
        <v>0.33333333333333331</v>
      </c>
      <c r="F7" s="364" t="s">
        <v>711</v>
      </c>
      <c r="G7" s="287">
        <v>14</v>
      </c>
      <c r="H7" s="365">
        <v>6</v>
      </c>
      <c r="J7" s="367"/>
      <c r="K7" s="367"/>
    </row>
    <row r="8" spans="1:11" s="366" customFormat="1" x14ac:dyDescent="0.2">
      <c r="A8" s="1269" t="s">
        <v>641</v>
      </c>
      <c r="B8" s="1270"/>
      <c r="C8" s="1271"/>
      <c r="D8" s="363"/>
      <c r="E8" s="363"/>
      <c r="F8" s="364" t="s">
        <v>1022</v>
      </c>
      <c r="G8" s="145">
        <v>14</v>
      </c>
      <c r="H8" s="365">
        <v>-3</v>
      </c>
      <c r="J8" s="367"/>
      <c r="K8" s="367"/>
    </row>
    <row r="9" spans="1:11" s="366" customFormat="1" x14ac:dyDescent="0.2">
      <c r="A9" s="1269" t="s">
        <v>654</v>
      </c>
      <c r="B9" s="1270"/>
      <c r="C9" s="1271"/>
      <c r="D9" s="363"/>
      <c r="E9" s="363"/>
      <c r="F9" s="364"/>
      <c r="G9" s="145"/>
      <c r="H9" s="365">
        <v>-3</v>
      </c>
      <c r="J9" s="367"/>
      <c r="K9" s="367"/>
    </row>
    <row r="10" spans="1:11" s="366" customFormat="1" x14ac:dyDescent="0.2">
      <c r="A10" s="360"/>
      <c r="B10" s="361">
        <v>45609</v>
      </c>
      <c r="C10" s="362">
        <v>45612</v>
      </c>
      <c r="D10" s="363">
        <v>0.33333333333333331</v>
      </c>
      <c r="E10" s="363">
        <v>0.33333333333333331</v>
      </c>
      <c r="F10" s="364"/>
      <c r="G10" s="145"/>
      <c r="H10" s="365">
        <v>2</v>
      </c>
      <c r="J10" s="367"/>
      <c r="K10" s="367"/>
    </row>
    <row r="11" spans="1:11" s="366" customFormat="1" x14ac:dyDescent="0.2">
      <c r="A11" s="360"/>
      <c r="B11" s="361">
        <v>45749</v>
      </c>
      <c r="C11" s="362">
        <v>45757</v>
      </c>
      <c r="D11" s="778">
        <v>0.33333333333333331</v>
      </c>
      <c r="E11" s="778">
        <v>0.33333333333333331</v>
      </c>
      <c r="F11" s="364"/>
      <c r="G11" s="145"/>
      <c r="H11" s="365">
        <v>8</v>
      </c>
      <c r="J11" s="367"/>
      <c r="K11" s="367"/>
    </row>
    <row r="12" spans="1:11" s="366" customFormat="1" x14ac:dyDescent="0.2">
      <c r="A12" s="360"/>
      <c r="B12" s="361"/>
      <c r="C12" s="362"/>
      <c r="D12" s="363"/>
      <c r="E12" s="363"/>
      <c r="F12" s="364"/>
      <c r="G12" s="287"/>
      <c r="H12" s="365"/>
      <c r="J12" s="367"/>
      <c r="K12" s="367"/>
    </row>
    <row r="13" spans="1:11" s="366" customFormat="1" x14ac:dyDescent="0.2">
      <c r="A13" s="360"/>
      <c r="B13" s="361"/>
      <c r="C13" s="362"/>
      <c r="D13" s="363"/>
      <c r="E13" s="363"/>
      <c r="F13" s="364"/>
      <c r="G13" s="287"/>
      <c r="H13" s="365"/>
      <c r="J13" s="367"/>
      <c r="K13" s="367"/>
    </row>
    <row r="14" spans="1:11" s="366" customFormat="1" x14ac:dyDescent="0.2">
      <c r="A14" s="360"/>
      <c r="B14" s="361"/>
      <c r="C14" s="362"/>
      <c r="D14" s="363"/>
      <c r="E14" s="363"/>
      <c r="F14" s="364"/>
      <c r="G14" s="287"/>
      <c r="H14" s="365"/>
      <c r="J14" s="367"/>
      <c r="K14" s="367"/>
    </row>
    <row r="15" spans="1:11" s="366" customFormat="1" x14ac:dyDescent="0.2">
      <c r="A15" s="360"/>
      <c r="B15" s="361"/>
      <c r="C15" s="362"/>
      <c r="D15" s="363"/>
      <c r="E15" s="363"/>
      <c r="F15" s="364"/>
      <c r="G15" s="287"/>
      <c r="H15" s="365"/>
      <c r="J15" s="367"/>
      <c r="K15" s="367"/>
    </row>
    <row r="16" spans="1:11" s="366" customFormat="1" x14ac:dyDescent="0.2">
      <c r="A16" s="360"/>
      <c r="B16" s="361"/>
      <c r="C16" s="362"/>
      <c r="D16" s="363"/>
      <c r="E16" s="363"/>
      <c r="F16" s="364"/>
      <c r="G16" s="287"/>
      <c r="H16" s="365"/>
      <c r="J16" s="367"/>
      <c r="K16" s="367"/>
    </row>
    <row r="17" spans="1:11" s="366" customFormat="1" x14ac:dyDescent="0.2">
      <c r="A17" s="360"/>
      <c r="B17" s="361"/>
      <c r="C17" s="362"/>
      <c r="D17" s="363"/>
      <c r="E17" s="363"/>
      <c r="F17" s="364"/>
      <c r="G17" s="287"/>
      <c r="H17" s="365"/>
      <c r="J17" s="367"/>
      <c r="K17" s="367"/>
    </row>
    <row r="18" spans="1:11" s="366" customFormat="1" x14ac:dyDescent="0.2">
      <c r="A18" s="360"/>
      <c r="B18" s="361"/>
      <c r="C18" s="362"/>
      <c r="D18" s="363"/>
      <c r="E18" s="363"/>
      <c r="F18" s="364"/>
      <c r="G18" s="287"/>
      <c r="H18" s="365"/>
      <c r="J18" s="367"/>
      <c r="K18" s="367"/>
    </row>
    <row r="19" spans="1:11" x14ac:dyDescent="0.2">
      <c r="A19" s="142"/>
      <c r="B19" s="142"/>
      <c r="C19" s="143"/>
      <c r="D19" s="144"/>
      <c r="E19" s="144"/>
      <c r="F19" s="253"/>
      <c r="G19" s="145"/>
      <c r="H19" s="274"/>
    </row>
    <row r="20" spans="1:11" x14ac:dyDescent="0.2">
      <c r="A20" s="142"/>
      <c r="B20" s="142"/>
      <c r="C20" s="143"/>
      <c r="D20" s="144"/>
      <c r="E20" s="144"/>
      <c r="F20" s="81"/>
      <c r="G20" s="66"/>
      <c r="H20" s="274"/>
    </row>
    <row r="21" spans="1:11" x14ac:dyDescent="0.2">
      <c r="A21" s="142"/>
      <c r="B21" s="142"/>
      <c r="C21" s="143"/>
      <c r="D21" s="144"/>
      <c r="E21" s="144"/>
      <c r="F21" s="81"/>
      <c r="G21" s="66"/>
      <c r="H21" s="274"/>
    </row>
    <row r="22" spans="1:11" x14ac:dyDescent="0.2">
      <c r="A22" s="142"/>
      <c r="B22" s="142"/>
      <c r="C22" s="143"/>
      <c r="D22" s="144"/>
      <c r="E22" s="144"/>
      <c r="F22" s="81"/>
      <c r="G22" s="66"/>
      <c r="H22" s="274"/>
    </row>
    <row r="23" spans="1:11" x14ac:dyDescent="0.2">
      <c r="A23" s="142"/>
      <c r="B23" s="142"/>
      <c r="C23" s="143"/>
      <c r="D23" s="144"/>
      <c r="E23" s="144"/>
      <c r="F23" s="81"/>
      <c r="G23" s="66"/>
      <c r="H23" s="274"/>
    </row>
    <row r="24" spans="1:11" x14ac:dyDescent="0.2">
      <c r="A24" s="142"/>
      <c r="B24" s="142"/>
      <c r="C24" s="143"/>
      <c r="D24" s="144"/>
      <c r="E24" s="144"/>
      <c r="F24" s="81"/>
      <c r="G24" s="66"/>
      <c r="H24" s="274"/>
    </row>
    <row r="25" spans="1:11" x14ac:dyDescent="0.2">
      <c r="A25" s="142"/>
      <c r="B25" s="142"/>
      <c r="C25" s="143"/>
      <c r="D25" s="144"/>
      <c r="E25" s="144"/>
      <c r="F25" s="81"/>
      <c r="G25" s="66"/>
      <c r="H25" s="274"/>
    </row>
    <row r="26" spans="1:11" x14ac:dyDescent="0.2">
      <c r="A26" s="142"/>
      <c r="B26" s="142"/>
      <c r="C26" s="143"/>
      <c r="D26" s="144"/>
      <c r="E26" s="144"/>
      <c r="F26" s="81"/>
      <c r="G26" s="66"/>
      <c r="H26" s="274"/>
    </row>
    <row r="27" spans="1:11" x14ac:dyDescent="0.2">
      <c r="A27" s="142"/>
      <c r="B27" s="142"/>
      <c r="C27" s="143"/>
      <c r="D27" s="144"/>
      <c r="E27" s="144"/>
      <c r="F27" s="81"/>
      <c r="G27" s="66"/>
      <c r="H27" s="274"/>
    </row>
    <row r="28" spans="1:11" x14ac:dyDescent="0.2">
      <c r="A28" s="142"/>
      <c r="B28" s="142"/>
      <c r="C28" s="143"/>
      <c r="D28" s="144"/>
      <c r="E28" s="144"/>
      <c r="F28" s="81"/>
      <c r="G28" s="66"/>
      <c r="H28" s="274"/>
    </row>
    <row r="29" spans="1:11" x14ac:dyDescent="0.2">
      <c r="A29" s="142"/>
      <c r="B29" s="142"/>
      <c r="C29" s="143"/>
      <c r="D29" s="144"/>
      <c r="E29" s="144"/>
      <c r="F29" s="81"/>
      <c r="G29" s="66"/>
      <c r="H29" s="274"/>
    </row>
    <row r="30" spans="1:11" x14ac:dyDescent="0.2">
      <c r="A30" s="142"/>
      <c r="B30" s="142"/>
      <c r="C30" s="143"/>
      <c r="D30" s="144"/>
      <c r="E30" s="144"/>
      <c r="F30" s="81"/>
      <c r="G30" s="66"/>
      <c r="H30" s="274"/>
    </row>
    <row r="31" spans="1:11" x14ac:dyDescent="0.2">
      <c r="A31" s="143"/>
      <c r="B31" s="143"/>
      <c r="C31" s="142"/>
      <c r="D31" s="301"/>
      <c r="E31" s="301"/>
      <c r="F31" s="81"/>
      <c r="G31" s="66"/>
      <c r="H31" s="296"/>
    </row>
    <row r="32" spans="1:11" x14ac:dyDescent="0.2">
      <c r="F32" s="294" t="s">
        <v>123</v>
      </c>
      <c r="G32" s="132">
        <f>SUM(G7:G30)</f>
        <v>28</v>
      </c>
      <c r="H32" s="338">
        <f>SUM(H7:H31)</f>
        <v>10</v>
      </c>
    </row>
    <row r="33" spans="6:8" x14ac:dyDescent="0.2">
      <c r="F33" s="62"/>
      <c r="G33" s="63"/>
      <c r="H33" s="368"/>
    </row>
    <row r="34" spans="6:8" ht="14.25" x14ac:dyDescent="0.2">
      <c r="F34" s="1153" t="s">
        <v>8</v>
      </c>
      <c r="G34" s="1154"/>
      <c r="H34" s="369">
        <f>G32-H32</f>
        <v>18</v>
      </c>
    </row>
  </sheetData>
  <mergeCells count="5">
    <mergeCell ref="F34:G34"/>
    <mergeCell ref="C1:H5"/>
    <mergeCell ref="J1:J3"/>
    <mergeCell ref="A8:C8"/>
    <mergeCell ref="A9:C9"/>
  </mergeCells>
  <hyperlinks>
    <hyperlink ref="J1:J3" location="'ANA SAYFA'!A1" display="ANA SAYFA"/>
  </hyperlinks>
  <pageMargins left="0.7" right="0.2" top="0.28000000000000003" bottom="0.75" header="0.3" footer="0.3"/>
  <pageSetup paperSize="9" scale="71"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
  <sheetViews>
    <sheetView zoomScaleNormal="100" workbookViewId="0">
      <selection activeCell="J1" sqref="J1:J3"/>
    </sheetView>
  </sheetViews>
  <sheetFormatPr defaultColWidth="9.140625" defaultRowHeight="11.25" x14ac:dyDescent="0.15"/>
  <cols>
    <col min="1" max="1" width="18.5703125" style="113" bestFit="1" customWidth="1"/>
    <col min="2" max="2" width="26.7109375" style="113" bestFit="1" customWidth="1"/>
    <col min="3" max="3" width="26.5703125" style="113" bestFit="1" customWidth="1"/>
    <col min="4" max="4" width="7" style="113" customWidth="1"/>
    <col min="5" max="5" width="8.85546875" style="113" bestFit="1" customWidth="1"/>
    <col min="6" max="6" width="20.140625" style="113" bestFit="1" customWidth="1"/>
    <col min="7" max="7" width="13.5703125" style="113" bestFit="1" customWidth="1"/>
    <col min="8" max="8" width="12.5703125" style="113" bestFit="1" customWidth="1"/>
    <col min="9" max="9" width="4.140625" style="113" customWidth="1"/>
    <col min="10" max="10" width="13" style="113" customWidth="1"/>
    <col min="11" max="16384" width="9.140625" style="113"/>
  </cols>
  <sheetData>
    <row r="1" spans="1:11" x14ac:dyDescent="0.15">
      <c r="A1" s="669" t="s">
        <v>135</v>
      </c>
      <c r="B1" s="151" t="str">
        <f>'ANA SAYFA'!B70</f>
        <v>ABDULKADİR SARIDOĞAN</v>
      </c>
      <c r="C1" s="1166" t="s">
        <v>136</v>
      </c>
      <c r="D1" s="1166"/>
      <c r="E1" s="1166"/>
      <c r="F1" s="1166"/>
      <c r="G1" s="1166"/>
      <c r="H1" s="1166"/>
      <c r="J1" s="1272" t="s">
        <v>712</v>
      </c>
      <c r="K1" s="670"/>
    </row>
    <row r="2" spans="1:11" x14ac:dyDescent="0.15">
      <c r="A2" s="669" t="s">
        <v>137</v>
      </c>
      <c r="B2" s="161">
        <f>'ANA SAYFA'!D70</f>
        <v>36740023870</v>
      </c>
      <c r="C2" s="1166"/>
      <c r="D2" s="1166"/>
      <c r="E2" s="1166"/>
      <c r="F2" s="1166"/>
      <c r="G2" s="1166"/>
      <c r="H2" s="1166"/>
      <c r="J2" s="1272"/>
      <c r="K2" s="670"/>
    </row>
    <row r="3" spans="1:11" x14ac:dyDescent="0.15">
      <c r="A3" s="669" t="s">
        <v>131</v>
      </c>
      <c r="B3" s="162" t="str">
        <f>'ANA SAYFA'!C70</f>
        <v>KAMYON ŞOFÖRÜ</v>
      </c>
      <c r="C3" s="1166"/>
      <c r="D3" s="1166"/>
      <c r="E3" s="1166"/>
      <c r="F3" s="1166"/>
      <c r="G3" s="1166"/>
      <c r="H3" s="1166"/>
      <c r="J3" s="1272"/>
      <c r="K3" s="670"/>
    </row>
    <row r="4" spans="1:11" x14ac:dyDescent="0.15">
      <c r="A4" s="669" t="s">
        <v>120</v>
      </c>
      <c r="B4" s="89">
        <f>'ANA SAYFA'!E70</f>
        <v>45999</v>
      </c>
      <c r="C4" s="1166"/>
      <c r="D4" s="1166"/>
      <c r="E4" s="1166"/>
      <c r="F4" s="1166"/>
      <c r="G4" s="1166"/>
      <c r="H4" s="1166"/>
      <c r="K4" s="670"/>
    </row>
    <row r="5" spans="1:11" x14ac:dyDescent="0.15">
      <c r="A5" s="669" t="s">
        <v>130</v>
      </c>
      <c r="B5" s="89">
        <f>'ANA SAYFA'!F70</f>
        <v>23774</v>
      </c>
      <c r="C5" s="1166"/>
      <c r="D5" s="1166"/>
      <c r="E5" s="1166"/>
      <c r="F5" s="1166"/>
      <c r="G5" s="1166"/>
      <c r="H5" s="1166"/>
    </row>
    <row r="6" spans="1:11" ht="31.5" x14ac:dyDescent="0.15">
      <c r="A6" s="693" t="s">
        <v>0</v>
      </c>
      <c r="B6" s="694" t="s">
        <v>1</v>
      </c>
      <c r="C6" s="693" t="s">
        <v>2</v>
      </c>
      <c r="D6" s="695" t="s">
        <v>133</v>
      </c>
      <c r="E6" s="695" t="s">
        <v>4</v>
      </c>
      <c r="F6" s="695" t="s">
        <v>7</v>
      </c>
      <c r="G6" s="695" t="s">
        <v>6</v>
      </c>
      <c r="H6" s="695" t="s">
        <v>16</v>
      </c>
      <c r="I6" s="672"/>
    </row>
    <row r="7" spans="1:11" ht="14.25" customHeight="1" x14ac:dyDescent="0.15">
      <c r="A7" s="673"/>
      <c r="B7" s="674">
        <v>46024</v>
      </c>
      <c r="C7" s="675">
        <v>46025</v>
      </c>
      <c r="D7" s="676"/>
      <c r="E7" s="676"/>
      <c r="F7" s="704"/>
      <c r="G7" s="691"/>
      <c r="H7" s="681">
        <v>1</v>
      </c>
      <c r="I7" s="684"/>
      <c r="J7" s="670"/>
      <c r="K7" s="670"/>
    </row>
    <row r="8" spans="1:11" ht="14.25" customHeight="1" x14ac:dyDescent="0.15">
      <c r="A8" s="679"/>
      <c r="B8" s="674">
        <v>46069</v>
      </c>
      <c r="C8" s="680">
        <v>46071</v>
      </c>
      <c r="D8" s="676"/>
      <c r="E8" s="676"/>
      <c r="F8" s="704"/>
      <c r="G8" s="691"/>
      <c r="H8" s="681">
        <v>2</v>
      </c>
      <c r="I8" s="684"/>
      <c r="J8" s="670"/>
      <c r="K8" s="670"/>
    </row>
    <row r="9" spans="1:11" ht="14.25" customHeight="1" x14ac:dyDescent="0.15">
      <c r="A9" s="679"/>
      <c r="B9" s="1181" t="s">
        <v>987</v>
      </c>
      <c r="C9" s="1182"/>
      <c r="D9" s="1029"/>
      <c r="E9" s="1029"/>
      <c r="F9" s="1016"/>
      <c r="G9" s="802"/>
      <c r="H9" s="1041">
        <v>-3</v>
      </c>
      <c r="I9" s="684"/>
      <c r="J9" s="670"/>
      <c r="K9" s="670"/>
    </row>
    <row r="10" spans="1:11" ht="14.25" customHeight="1" x14ac:dyDescent="0.15">
      <c r="A10" s="679"/>
      <c r="B10" s="52">
        <v>46148</v>
      </c>
      <c r="C10" s="53">
        <v>46150</v>
      </c>
      <c r="D10" s="676"/>
      <c r="E10" s="676"/>
      <c r="F10" s="704"/>
      <c r="G10" s="691"/>
      <c r="H10" s="691">
        <v>2</v>
      </c>
      <c r="I10" s="684"/>
      <c r="J10" s="670"/>
    </row>
    <row r="11" spans="1:11" ht="14.25" customHeight="1" x14ac:dyDescent="0.15">
      <c r="A11" s="679"/>
      <c r="B11" s="52">
        <v>46189</v>
      </c>
      <c r="C11" s="53">
        <v>46190</v>
      </c>
      <c r="D11" s="676"/>
      <c r="E11" s="676"/>
      <c r="F11" s="704"/>
      <c r="G11" s="691"/>
      <c r="H11" s="691">
        <v>1</v>
      </c>
    </row>
    <row r="12" spans="1:11" ht="14.25" customHeight="1" x14ac:dyDescent="0.15">
      <c r="A12" s="679"/>
      <c r="B12" s="52">
        <v>46202</v>
      </c>
      <c r="C12" s="53">
        <v>46204</v>
      </c>
      <c r="D12" s="54"/>
      <c r="E12" s="676"/>
      <c r="F12" s="981"/>
      <c r="G12" s="691"/>
      <c r="H12" s="691">
        <v>2</v>
      </c>
    </row>
    <row r="13" spans="1:11" ht="14.25" customHeight="1" x14ac:dyDescent="0.15">
      <c r="A13" s="679"/>
      <c r="B13" s="688"/>
      <c r="C13" s="686"/>
      <c r="D13" s="687"/>
      <c r="E13" s="687"/>
      <c r="F13" s="981"/>
      <c r="G13" s="691"/>
      <c r="H13" s="691"/>
    </row>
    <row r="14" spans="1:11" ht="14.25" customHeight="1" x14ac:dyDescent="0.15">
      <c r="A14" s="679"/>
      <c r="B14" s="688"/>
      <c r="C14" s="686"/>
      <c r="D14" s="687"/>
      <c r="E14" s="687"/>
      <c r="F14" s="981"/>
      <c r="G14" s="691"/>
      <c r="H14" s="691"/>
    </row>
    <row r="15" spans="1:11" ht="14.25" customHeight="1" x14ac:dyDescent="0.15">
      <c r="A15" s="679"/>
      <c r="B15" s="688"/>
      <c r="C15" s="686"/>
      <c r="D15" s="687"/>
      <c r="E15" s="687"/>
      <c r="F15" s="691"/>
      <c r="G15" s="691"/>
      <c r="H15" s="691"/>
    </row>
    <row r="16" spans="1:11" ht="14.25" customHeight="1" x14ac:dyDescent="0.15">
      <c r="A16" s="679"/>
      <c r="B16" s="688"/>
      <c r="C16" s="686"/>
      <c r="D16" s="687"/>
      <c r="E16" s="687"/>
      <c r="F16" s="981"/>
      <c r="G16" s="691"/>
      <c r="H16" s="691"/>
    </row>
    <row r="17" spans="1:8" ht="14.25" customHeight="1" x14ac:dyDescent="0.15">
      <c r="A17" s="679"/>
      <c r="B17" s="688"/>
      <c r="C17" s="686"/>
      <c r="D17" s="687"/>
      <c r="E17" s="687"/>
      <c r="F17" s="691"/>
      <c r="G17" s="691"/>
      <c r="H17" s="691"/>
    </row>
    <row r="18" spans="1:8" ht="14.25" customHeight="1" x14ac:dyDescent="0.15">
      <c r="A18" s="679"/>
      <c r="B18" s="688"/>
      <c r="C18" s="686"/>
      <c r="D18" s="687"/>
      <c r="E18" s="687"/>
      <c r="F18" s="691"/>
      <c r="G18" s="691"/>
      <c r="H18" s="691"/>
    </row>
    <row r="19" spans="1:8" ht="14.25" customHeight="1" x14ac:dyDescent="0.15">
      <c r="A19" s="679"/>
      <c r="B19" s="688"/>
      <c r="C19" s="686"/>
      <c r="D19" s="687"/>
      <c r="E19" s="687"/>
      <c r="F19" s="691"/>
      <c r="G19" s="691"/>
      <c r="H19" s="691"/>
    </row>
    <row r="20" spans="1:8" ht="14.25" customHeight="1" x14ac:dyDescent="0.15">
      <c r="A20" s="678"/>
      <c r="B20" s="688"/>
      <c r="C20" s="686"/>
      <c r="D20" s="687"/>
      <c r="E20" s="687"/>
      <c r="F20" s="691"/>
      <c r="G20" s="691"/>
      <c r="H20" s="691"/>
    </row>
    <row r="21" spans="1:8" ht="14.25" customHeight="1" x14ac:dyDescent="0.15">
      <c r="A21" s="678"/>
      <c r="B21" s="688"/>
      <c r="C21" s="686"/>
      <c r="D21" s="687"/>
      <c r="E21" s="687"/>
      <c r="F21" s="691"/>
      <c r="G21" s="691"/>
      <c r="H21" s="691"/>
    </row>
    <row r="22" spans="1:8" ht="14.25" customHeight="1" x14ac:dyDescent="0.15">
      <c r="A22" s="678"/>
      <c r="B22" s="688"/>
      <c r="C22" s="686"/>
      <c r="D22" s="687"/>
      <c r="E22" s="687"/>
      <c r="F22" s="691"/>
      <c r="G22" s="691"/>
      <c r="H22" s="691"/>
    </row>
    <row r="23" spans="1:8" ht="14.25" customHeight="1" x14ac:dyDescent="0.15">
      <c r="A23" s="685"/>
      <c r="B23" s="688"/>
      <c r="C23" s="686"/>
      <c r="D23" s="687"/>
      <c r="E23" s="687"/>
      <c r="F23" s="691"/>
      <c r="G23" s="691"/>
      <c r="H23" s="691"/>
    </row>
    <row r="24" spans="1:8" ht="14.25" customHeight="1" x14ac:dyDescent="0.15">
      <c r="A24" s="685"/>
      <c r="B24" s="688"/>
      <c r="C24" s="686"/>
      <c r="D24" s="687"/>
      <c r="E24" s="687"/>
      <c r="F24" s="691"/>
      <c r="G24" s="691"/>
      <c r="H24" s="691"/>
    </row>
    <row r="25" spans="1:8" ht="14.25" customHeight="1" x14ac:dyDescent="0.15">
      <c r="A25" s="685"/>
      <c r="B25" s="688"/>
      <c r="C25" s="686"/>
      <c r="D25" s="687"/>
      <c r="E25" s="687"/>
      <c r="F25" s="691"/>
      <c r="G25" s="691"/>
      <c r="H25" s="691"/>
    </row>
    <row r="26" spans="1:8" ht="14.25" customHeight="1" x14ac:dyDescent="0.15">
      <c r="A26" s="685"/>
      <c r="B26" s="688"/>
      <c r="C26" s="686"/>
      <c r="D26" s="687"/>
      <c r="E26" s="687"/>
      <c r="F26" s="691"/>
      <c r="G26" s="691"/>
      <c r="H26" s="691"/>
    </row>
    <row r="27" spans="1:8" ht="14.25" customHeight="1" x14ac:dyDescent="0.15">
      <c r="A27" s="685"/>
      <c r="B27" s="688"/>
      <c r="C27" s="686"/>
      <c r="D27" s="687"/>
      <c r="E27" s="687"/>
      <c r="F27" s="691"/>
      <c r="G27" s="691"/>
      <c r="H27" s="116"/>
    </row>
    <row r="28" spans="1:8" ht="14.25" customHeight="1" x14ac:dyDescent="0.15">
      <c r="A28" s="685"/>
      <c r="B28" s="688"/>
      <c r="C28" s="686"/>
      <c r="D28" s="687"/>
      <c r="E28" s="687"/>
      <c r="F28" s="691"/>
      <c r="G28" s="691"/>
      <c r="H28" s="116"/>
    </row>
    <row r="29" spans="1:8" ht="14.25" customHeight="1" x14ac:dyDescent="0.15">
      <c r="A29" s="685"/>
      <c r="B29" s="688"/>
      <c r="C29" s="686"/>
      <c r="D29" s="687"/>
      <c r="E29" s="687"/>
      <c r="F29" s="691"/>
      <c r="G29" s="691"/>
      <c r="H29" s="691"/>
    </row>
    <row r="30" spans="1:8" ht="14.25" customHeight="1" x14ac:dyDescent="0.15">
      <c r="A30" s="685"/>
      <c r="B30" s="688"/>
      <c r="C30" s="686"/>
      <c r="D30" s="687"/>
      <c r="E30" s="687"/>
      <c r="F30" s="691"/>
      <c r="G30" s="691"/>
      <c r="H30" s="691"/>
    </row>
    <row r="31" spans="1:8" ht="14.25" customHeight="1" x14ac:dyDescent="0.15">
      <c r="A31" s="685"/>
      <c r="B31" s="688"/>
      <c r="C31" s="686"/>
      <c r="D31" s="687"/>
      <c r="E31" s="687"/>
      <c r="F31" s="691"/>
      <c r="G31" s="691"/>
      <c r="H31" s="691"/>
    </row>
    <row r="32" spans="1:8" ht="14.25" customHeight="1" x14ac:dyDescent="0.15">
      <c r="A32" s="685"/>
      <c r="B32" s="688"/>
      <c r="C32" s="686"/>
      <c r="D32" s="687"/>
      <c r="E32" s="687"/>
      <c r="F32" s="691"/>
      <c r="G32" s="691"/>
      <c r="H32" s="691"/>
    </row>
    <row r="33" spans="1:8" ht="14.25" customHeight="1" x14ac:dyDescent="0.15">
      <c r="A33" s="685"/>
      <c r="B33" s="688"/>
      <c r="C33" s="686"/>
      <c r="D33" s="687"/>
      <c r="E33" s="687"/>
      <c r="F33" s="691"/>
      <c r="G33" s="691"/>
      <c r="H33" s="692"/>
    </row>
    <row r="34" spans="1:8" ht="14.25" customHeight="1" x14ac:dyDescent="0.15">
      <c r="A34" s="685"/>
      <c r="B34" s="688"/>
      <c r="C34" s="686"/>
      <c r="D34" s="687"/>
      <c r="E34" s="687"/>
      <c r="F34" s="683"/>
      <c r="G34" s="691"/>
      <c r="H34" s="691"/>
    </row>
    <row r="35" spans="1:8" ht="14.25" customHeight="1" x14ac:dyDescent="0.15">
      <c r="F35" s="102" t="s">
        <v>123</v>
      </c>
      <c r="G35" s="103">
        <f>SUM(G7:G34)</f>
        <v>0</v>
      </c>
      <c r="H35" s="103">
        <f>SUM(H7:H34)</f>
        <v>5</v>
      </c>
    </row>
    <row r="36" spans="1:8" ht="14.25" customHeight="1" x14ac:dyDescent="0.15">
      <c r="F36" s="689"/>
      <c r="G36" s="690"/>
      <c r="H36" s="690"/>
    </row>
    <row r="37" spans="1:8" ht="14.25" customHeight="1" x14ac:dyDescent="0.15">
      <c r="F37" s="1173" t="s">
        <v>8</v>
      </c>
      <c r="G37" s="1174"/>
      <c r="H37" s="105">
        <f>G35-H35</f>
        <v>-5</v>
      </c>
    </row>
    <row r="38" spans="1:8" ht="14.25" customHeight="1" x14ac:dyDescent="0.15"/>
  </sheetData>
  <mergeCells count="4">
    <mergeCell ref="F37:G37"/>
    <mergeCell ref="C1:H5"/>
    <mergeCell ref="J1:J3"/>
    <mergeCell ref="B9:C9"/>
  </mergeCells>
  <hyperlinks>
    <hyperlink ref="J1:J3" location="'ANA SAYFA'!A1" display="ANA SAYFA"/>
  </hyperlinks>
  <pageMargins left="0.7" right="0.12" top="0.31" bottom="0.22" header="0.3" footer="0.3"/>
  <pageSetup paperSize="9" scale="6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9"/>
  <sheetViews>
    <sheetView workbookViewId="0">
      <selection activeCell="J1" sqref="J1:K3"/>
    </sheetView>
  </sheetViews>
  <sheetFormatPr defaultColWidth="9.140625" defaultRowHeight="11.25" x14ac:dyDescent="0.2"/>
  <cols>
    <col min="1" max="1" width="18.140625" style="120" bestFit="1" customWidth="1"/>
    <col min="2" max="3" width="26" style="120" bestFit="1" customWidth="1"/>
    <col min="4" max="5" width="9.28515625" style="120" bestFit="1" customWidth="1"/>
    <col min="6" max="6" width="20.7109375" style="120" customWidth="1"/>
    <col min="7" max="8" width="13" style="120" customWidth="1"/>
    <col min="9" max="9" width="9.140625" style="120"/>
    <col min="10" max="11" width="6.5703125" style="120" customWidth="1"/>
    <col min="12" max="16384" width="9.140625" style="120"/>
  </cols>
  <sheetData>
    <row r="1" spans="1:11" ht="14.25" customHeight="1" thickTop="1" x14ac:dyDescent="0.15">
      <c r="A1" s="135" t="s">
        <v>135</v>
      </c>
      <c r="B1" s="151" t="str">
        <f>'ANA SAYFA'!B71</f>
        <v>FATİH MESUT</v>
      </c>
      <c r="C1" s="119"/>
      <c r="D1" s="119"/>
      <c r="E1" s="119"/>
      <c r="F1" s="119"/>
      <c r="G1" s="119"/>
      <c r="H1" s="119"/>
      <c r="J1" s="1142" t="s">
        <v>5</v>
      </c>
      <c r="K1" s="1142"/>
    </row>
    <row r="2" spans="1:11" ht="14.25" customHeight="1" x14ac:dyDescent="0.15">
      <c r="A2" s="135" t="s">
        <v>137</v>
      </c>
      <c r="B2" s="437">
        <f>'ANA SAYFA'!D71</f>
        <v>51235273288</v>
      </c>
      <c r="C2" s="119"/>
      <c r="D2" s="119"/>
      <c r="E2" s="119"/>
      <c r="F2" s="119"/>
      <c r="G2" s="119"/>
      <c r="H2" s="119"/>
      <c r="J2" s="1143"/>
      <c r="K2" s="1143"/>
    </row>
    <row r="3" spans="1:11" ht="14.25" customHeight="1" x14ac:dyDescent="0.15">
      <c r="A3" s="135" t="s">
        <v>131</v>
      </c>
      <c r="B3" s="151" t="str">
        <f>'ANA SAYFA'!C71</f>
        <v>TIR ÇEKİCİ ŞOFÖRÜ</v>
      </c>
      <c r="C3" s="119"/>
      <c r="D3" s="119"/>
      <c r="E3" s="119"/>
      <c r="F3" s="119"/>
      <c r="G3" s="119"/>
      <c r="H3" s="119"/>
      <c r="J3" s="1143"/>
      <c r="K3" s="1143"/>
    </row>
    <row r="4" spans="1:11" ht="14.25" customHeight="1" x14ac:dyDescent="0.2">
      <c r="A4" s="135" t="s">
        <v>120</v>
      </c>
      <c r="B4" s="89">
        <f>'ANA SAYFA'!E71</f>
        <v>45961</v>
      </c>
      <c r="C4" s="119"/>
      <c r="D4" s="119"/>
      <c r="E4" s="119"/>
      <c r="F4" s="119"/>
      <c r="G4" s="119"/>
      <c r="H4" s="119"/>
    </row>
    <row r="5" spans="1:11" ht="14.25" customHeight="1" x14ac:dyDescent="0.2">
      <c r="A5" s="135" t="s">
        <v>130</v>
      </c>
      <c r="B5" s="89">
        <f>'ANA SAYFA'!F71</f>
        <v>34335</v>
      </c>
      <c r="C5" s="119"/>
      <c r="D5" s="119"/>
      <c r="E5" s="119"/>
      <c r="F5" s="119"/>
      <c r="G5" s="119"/>
      <c r="H5" s="119"/>
      <c r="J5" s="33"/>
      <c r="K5" s="33"/>
    </row>
    <row r="6" spans="1:11" x14ac:dyDescent="0.2">
      <c r="A6" s="1141" t="s">
        <v>136</v>
      </c>
      <c r="B6" s="1141"/>
      <c r="C6" s="1141"/>
      <c r="D6" s="1141"/>
      <c r="E6" s="1141"/>
      <c r="F6" s="1141"/>
      <c r="G6" s="1141"/>
      <c r="H6" s="1141"/>
    </row>
    <row r="7" spans="1:11" ht="31.5" x14ac:dyDescent="0.2">
      <c r="A7" s="69" t="s">
        <v>0</v>
      </c>
      <c r="B7" s="70" t="s">
        <v>1</v>
      </c>
      <c r="C7" s="69" t="s">
        <v>2</v>
      </c>
      <c r="D7" s="71" t="s">
        <v>133</v>
      </c>
      <c r="E7" s="71" t="s">
        <v>4</v>
      </c>
      <c r="F7" s="71" t="s">
        <v>7</v>
      </c>
      <c r="G7" s="71" t="s">
        <v>6</v>
      </c>
      <c r="H7" s="71" t="s">
        <v>16</v>
      </c>
    </row>
    <row r="8" spans="1:11" x14ac:dyDescent="0.2">
      <c r="A8" s="121"/>
      <c r="B8" s="36">
        <v>46004</v>
      </c>
      <c r="C8" s="492">
        <v>46006</v>
      </c>
      <c r="D8" s="38"/>
      <c r="E8" s="38"/>
      <c r="F8" s="122"/>
      <c r="G8" s="123"/>
      <c r="H8" s="115">
        <v>1</v>
      </c>
      <c r="J8" s="124"/>
      <c r="K8" s="124"/>
    </row>
    <row r="9" spans="1:11" x14ac:dyDescent="0.2">
      <c r="A9" s="121"/>
      <c r="B9" s="36">
        <v>46038</v>
      </c>
      <c r="C9" s="37">
        <v>46039</v>
      </c>
      <c r="D9" s="38"/>
      <c r="E9" s="38"/>
      <c r="F9" s="122"/>
      <c r="G9" s="123"/>
      <c r="H9" s="115">
        <v>1</v>
      </c>
      <c r="J9" s="124"/>
      <c r="K9" s="124"/>
    </row>
    <row r="10" spans="1:11" x14ac:dyDescent="0.15">
      <c r="A10" s="121"/>
      <c r="B10" s="1019" t="s">
        <v>947</v>
      </c>
      <c r="C10" s="1020"/>
      <c r="D10" s="1021"/>
      <c r="E10" s="1021"/>
      <c r="F10" s="1016"/>
      <c r="G10" s="1017"/>
      <c r="H10" s="1018">
        <v>-2</v>
      </c>
      <c r="J10" s="124"/>
      <c r="K10" s="124"/>
    </row>
    <row r="11" spans="1:11" x14ac:dyDescent="0.2">
      <c r="A11" s="121"/>
      <c r="B11" s="36">
        <v>46050</v>
      </c>
      <c r="C11" s="37">
        <v>46051</v>
      </c>
      <c r="D11" s="38"/>
      <c r="E11" s="38"/>
      <c r="F11" s="122"/>
      <c r="G11" s="123"/>
      <c r="H11" s="115">
        <v>1</v>
      </c>
      <c r="I11" s="120" t="s">
        <v>830</v>
      </c>
      <c r="J11" s="124"/>
      <c r="K11" s="124"/>
    </row>
    <row r="12" spans="1:11" ht="15" customHeight="1" x14ac:dyDescent="0.2">
      <c r="A12" s="125"/>
      <c r="B12" s="36">
        <v>46199</v>
      </c>
      <c r="C12" s="37">
        <v>46200</v>
      </c>
      <c r="D12" s="38"/>
      <c r="E12" s="38"/>
      <c r="F12" s="122"/>
      <c r="G12" s="123"/>
      <c r="H12" s="115">
        <v>0.5</v>
      </c>
      <c r="J12" s="33"/>
      <c r="K12" s="33"/>
    </row>
    <row r="13" spans="1:11" ht="22.5" customHeight="1" x14ac:dyDescent="0.2">
      <c r="A13" s="125"/>
      <c r="B13" s="36"/>
      <c r="C13" s="36"/>
      <c r="D13" s="38"/>
      <c r="E13" s="38"/>
      <c r="F13" s="126"/>
      <c r="G13" s="127"/>
      <c r="H13" s="223"/>
      <c r="J13" s="440"/>
      <c r="K13" s="33"/>
    </row>
    <row r="14" spans="1:11" x14ac:dyDescent="0.2">
      <c r="A14" s="128"/>
      <c r="B14" s="36"/>
      <c r="C14" s="129"/>
      <c r="D14" s="38"/>
      <c r="E14" s="38"/>
      <c r="F14" s="122"/>
      <c r="G14" s="123"/>
      <c r="H14" s="115"/>
    </row>
    <row r="15" spans="1:11" x14ac:dyDescent="0.2">
      <c r="A15" s="131"/>
      <c r="B15" s="36"/>
      <c r="C15" s="129"/>
      <c r="D15" s="38"/>
      <c r="E15" s="38"/>
      <c r="F15" s="122"/>
      <c r="G15" s="123"/>
      <c r="H15" s="115"/>
      <c r="J15" s="124"/>
      <c r="K15" s="124"/>
    </row>
    <row r="16" spans="1:11" x14ac:dyDescent="0.2">
      <c r="A16" s="125"/>
      <c r="B16" s="36"/>
      <c r="C16" s="37"/>
      <c r="D16" s="38"/>
      <c r="E16" s="38"/>
      <c r="F16" s="127"/>
      <c r="G16" s="127"/>
      <c r="H16" s="223"/>
      <c r="J16" s="33"/>
      <c r="K16" s="33"/>
    </row>
    <row r="17" spans="1:8" x14ac:dyDescent="0.2">
      <c r="A17" s="125"/>
      <c r="B17" s="36"/>
      <c r="C17" s="37"/>
      <c r="D17" s="38"/>
      <c r="E17" s="38"/>
      <c r="F17" s="127"/>
      <c r="G17" s="127"/>
      <c r="H17" s="127"/>
    </row>
    <row r="18" spans="1:8" x14ac:dyDescent="0.2">
      <c r="A18" s="125"/>
      <c r="B18" s="36"/>
      <c r="C18" s="37"/>
      <c r="D18" s="38"/>
      <c r="E18" s="38"/>
      <c r="F18" s="127"/>
      <c r="G18" s="127"/>
      <c r="H18" s="127"/>
    </row>
    <row r="19" spans="1:8" x14ac:dyDescent="0.2">
      <c r="A19" s="125"/>
      <c r="B19" s="36"/>
      <c r="C19" s="37"/>
      <c r="D19" s="38"/>
      <c r="E19" s="38"/>
      <c r="F19" s="127"/>
      <c r="G19" s="127"/>
      <c r="H19" s="127"/>
    </row>
    <row r="20" spans="1:8" x14ac:dyDescent="0.2">
      <c r="A20" s="125"/>
      <c r="B20" s="36"/>
      <c r="C20" s="37"/>
      <c r="D20" s="38"/>
      <c r="E20" s="38"/>
      <c r="F20" s="127"/>
      <c r="G20" s="127"/>
      <c r="H20" s="127"/>
    </row>
    <row r="21" spans="1:8" x14ac:dyDescent="0.2">
      <c r="A21" s="125"/>
      <c r="B21" s="36"/>
      <c r="C21" s="37"/>
      <c r="D21" s="38"/>
      <c r="E21" s="38"/>
      <c r="F21" s="127"/>
      <c r="G21" s="127"/>
      <c r="H21" s="127"/>
    </row>
    <row r="22" spans="1:8" x14ac:dyDescent="0.2">
      <c r="A22" s="125"/>
      <c r="B22" s="36"/>
      <c r="C22" s="37"/>
      <c r="D22" s="38"/>
      <c r="E22" s="38"/>
      <c r="F22" s="127"/>
      <c r="G22" s="127"/>
      <c r="H22" s="127"/>
    </row>
    <row r="23" spans="1:8" x14ac:dyDescent="0.2">
      <c r="A23" s="125"/>
      <c r="B23" s="36"/>
      <c r="C23" s="37"/>
      <c r="D23" s="38"/>
      <c r="E23" s="38"/>
      <c r="F23" s="127"/>
      <c r="G23" s="127"/>
      <c r="H23" s="127"/>
    </row>
    <row r="24" spans="1:8" x14ac:dyDescent="0.2">
      <c r="A24" s="125"/>
      <c r="B24" s="36"/>
      <c r="C24" s="37"/>
      <c r="D24" s="38"/>
      <c r="E24" s="38"/>
      <c r="F24" s="127"/>
      <c r="G24" s="127"/>
      <c r="H24" s="127"/>
    </row>
    <row r="25" spans="1:8" x14ac:dyDescent="0.2">
      <c r="A25" s="125"/>
      <c r="B25" s="36"/>
      <c r="C25" s="37"/>
      <c r="D25" s="38"/>
      <c r="E25" s="38"/>
      <c r="F25" s="127"/>
      <c r="G25" s="127"/>
      <c r="H25" s="127"/>
    </row>
    <row r="26" spans="1:8" x14ac:dyDescent="0.2">
      <c r="A26" s="125"/>
      <c r="B26" s="36"/>
      <c r="C26" s="37"/>
      <c r="D26" s="38"/>
      <c r="E26" s="38"/>
      <c r="F26" s="127"/>
      <c r="G26" s="127"/>
      <c r="H26" s="127"/>
    </row>
    <row r="27" spans="1:8" x14ac:dyDescent="0.2">
      <c r="F27" s="132" t="s">
        <v>123</v>
      </c>
      <c r="G27" s="132">
        <f>SUM(G8:G18)</f>
        <v>0</v>
      </c>
      <c r="H27" s="338">
        <f>SUM(H8:H25)</f>
        <v>1.5</v>
      </c>
    </row>
    <row r="28" spans="1:8" x14ac:dyDescent="0.2">
      <c r="F28" s="33"/>
      <c r="G28" s="133"/>
      <c r="H28" s="133"/>
    </row>
    <row r="29" spans="1:8" x14ac:dyDescent="0.2">
      <c r="F29" s="1169" t="s">
        <v>8</v>
      </c>
      <c r="G29" s="1170"/>
      <c r="H29" s="134">
        <f>G27-H27</f>
        <v>-1.5</v>
      </c>
    </row>
  </sheetData>
  <mergeCells count="3">
    <mergeCell ref="A6:H6"/>
    <mergeCell ref="F29:G29"/>
    <mergeCell ref="J1:K3"/>
  </mergeCells>
  <hyperlinks>
    <hyperlink ref="J1:K3" location="'ANA SAYFA'!A1" display="Ana Sayfa"/>
  </hyperlinks>
  <pageMargins left="0.7" right="0.7" top="0.75" bottom="0.75" header="0.3" footer="0.3"/>
  <pageSetup paperSize="9"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workbookViewId="0">
      <pane ySplit="5" topLeftCell="A6" activePane="bottomLeft" state="frozen"/>
      <selection pane="bottomLeft" activeCell="J1" sqref="J1:K4"/>
    </sheetView>
  </sheetViews>
  <sheetFormatPr defaultColWidth="9.140625" defaultRowHeight="11.25" x14ac:dyDescent="0.15"/>
  <cols>
    <col min="1" max="1" width="18.140625" style="113" bestFit="1" customWidth="1"/>
    <col min="2" max="2" width="26.7109375" style="113" bestFit="1" customWidth="1"/>
    <col min="3" max="3" width="26.140625" style="113" bestFit="1" customWidth="1"/>
    <col min="4" max="5" width="9.28515625" style="113" customWidth="1"/>
    <col min="6" max="6" width="20.140625" style="113" bestFit="1" customWidth="1"/>
    <col min="7" max="7" width="15.28515625" style="113" customWidth="1"/>
    <col min="8" max="8" width="13.85546875" style="113" customWidth="1"/>
    <col min="9" max="16384" width="9.140625" style="113"/>
  </cols>
  <sheetData>
    <row r="1" spans="1:11" ht="12.75" customHeight="1" thickTop="1" x14ac:dyDescent="0.15">
      <c r="A1" s="29" t="s">
        <v>135</v>
      </c>
      <c r="B1" s="151" t="str">
        <f>'ANA SAYFA'!B72</f>
        <v>ALİ DELİGÖZ</v>
      </c>
      <c r="E1" s="152"/>
      <c r="F1" s="152"/>
      <c r="G1" s="152"/>
      <c r="H1" s="152"/>
      <c r="I1" s="152"/>
      <c r="J1" s="1273" t="s">
        <v>5</v>
      </c>
      <c r="K1" s="1273"/>
    </row>
    <row r="2" spans="1:11" ht="12.75" customHeight="1" x14ac:dyDescent="0.15">
      <c r="A2" s="29" t="s">
        <v>137</v>
      </c>
      <c r="B2" s="151">
        <f>'ANA SAYFA'!D72</f>
        <v>42304564604</v>
      </c>
      <c r="C2" s="28"/>
      <c r="D2" s="28"/>
      <c r="E2" s="28"/>
      <c r="F2" s="28"/>
      <c r="G2" s="28"/>
      <c r="H2" s="28"/>
      <c r="I2" s="28"/>
      <c r="J2" s="1274"/>
      <c r="K2" s="1274"/>
    </row>
    <row r="3" spans="1:11" ht="12.75" customHeight="1" x14ac:dyDescent="0.15">
      <c r="A3" s="29" t="s">
        <v>131</v>
      </c>
      <c r="B3" s="151" t="str">
        <f>'ANA SAYFA'!C72</f>
        <v>KAMYON ŞOFÖRÜ</v>
      </c>
      <c r="C3" s="28"/>
      <c r="D3" s="28"/>
      <c r="E3" s="28"/>
      <c r="F3" s="28"/>
      <c r="G3" s="28"/>
      <c r="H3" s="28"/>
      <c r="I3" s="28"/>
      <c r="J3" s="1274"/>
      <c r="K3" s="1274"/>
    </row>
    <row r="4" spans="1:11" ht="12.75" customHeight="1" x14ac:dyDescent="0.15">
      <c r="A4" s="29" t="s">
        <v>120</v>
      </c>
      <c r="B4" s="89">
        <f>'ANA SAYFA'!E72</f>
        <v>44926</v>
      </c>
      <c r="C4" s="28"/>
      <c r="D4" s="28"/>
      <c r="E4" s="28"/>
      <c r="F4" s="28"/>
      <c r="G4" s="28"/>
      <c r="H4" s="28"/>
      <c r="I4" s="28"/>
      <c r="J4" s="1274"/>
      <c r="K4" s="1274"/>
    </row>
    <row r="5" spans="1:11" ht="12.75" customHeight="1" x14ac:dyDescent="0.15">
      <c r="A5" s="29" t="s">
        <v>130</v>
      </c>
      <c r="B5" s="89">
        <f>'ANA SAYFA'!F72</f>
        <v>29367</v>
      </c>
      <c r="C5" s="28"/>
      <c r="D5" s="28"/>
      <c r="E5" s="28"/>
      <c r="F5" s="28"/>
      <c r="G5" s="28"/>
      <c r="H5" s="28"/>
      <c r="I5" s="28"/>
      <c r="J5" s="30"/>
      <c r="K5" s="30"/>
    </row>
    <row r="6" spans="1:11" ht="13.9" customHeight="1" x14ac:dyDescent="0.15">
      <c r="A6" s="1141" t="s">
        <v>136</v>
      </c>
      <c r="B6" s="1141"/>
      <c r="C6" s="1141"/>
      <c r="D6" s="1141"/>
      <c r="E6" s="1141"/>
      <c r="F6" s="1141"/>
      <c r="G6" s="1141"/>
      <c r="H6" s="1141"/>
      <c r="I6" s="32"/>
    </row>
    <row r="7" spans="1:11" ht="45" x14ac:dyDescent="0.15">
      <c r="A7" s="99" t="s">
        <v>0</v>
      </c>
      <c r="B7" s="100" t="s">
        <v>1</v>
      </c>
      <c r="C7" s="99" t="s">
        <v>2</v>
      </c>
      <c r="D7" s="101" t="s">
        <v>133</v>
      </c>
      <c r="E7" s="101" t="s">
        <v>4</v>
      </c>
      <c r="F7" s="101" t="s">
        <v>7</v>
      </c>
      <c r="G7" s="101" t="s">
        <v>6</v>
      </c>
      <c r="H7" s="101" t="s">
        <v>16</v>
      </c>
      <c r="I7" s="34"/>
    </row>
    <row r="8" spans="1:11" x14ac:dyDescent="0.15">
      <c r="A8" s="35"/>
      <c r="B8" s="58">
        <v>45181</v>
      </c>
      <c r="C8" s="56">
        <v>45182</v>
      </c>
      <c r="D8" s="57">
        <v>0.33333333333333331</v>
      </c>
      <c r="E8" s="57">
        <v>0.33333333333333331</v>
      </c>
      <c r="F8" s="66" t="s">
        <v>471</v>
      </c>
      <c r="G8" s="127">
        <v>14</v>
      </c>
      <c r="H8" s="127">
        <v>1</v>
      </c>
    </row>
    <row r="9" spans="1:11" x14ac:dyDescent="0.15">
      <c r="A9" s="35"/>
      <c r="B9" s="52">
        <v>45234</v>
      </c>
      <c r="C9" s="53">
        <v>45236</v>
      </c>
      <c r="D9" s="57">
        <v>0.33333333333333331</v>
      </c>
      <c r="E9" s="57">
        <v>0.33333333333333331</v>
      </c>
      <c r="F9" s="66" t="s">
        <v>679</v>
      </c>
      <c r="G9" s="127">
        <v>14</v>
      </c>
      <c r="H9" s="127">
        <v>1</v>
      </c>
      <c r="I9" s="49"/>
      <c r="J9" s="30"/>
      <c r="K9" s="30"/>
    </row>
    <row r="10" spans="1:11" x14ac:dyDescent="0.15">
      <c r="A10" s="43"/>
      <c r="B10" s="52">
        <v>45311</v>
      </c>
      <c r="C10" s="53">
        <v>45320</v>
      </c>
      <c r="D10" s="54">
        <v>0.33333333333333331</v>
      </c>
      <c r="E10" s="54">
        <v>0.33333333333333331</v>
      </c>
      <c r="F10" s="66" t="s">
        <v>944</v>
      </c>
      <c r="G10" s="127">
        <v>14</v>
      </c>
      <c r="H10" s="123">
        <v>7</v>
      </c>
      <c r="I10" s="49"/>
      <c r="J10" s="30"/>
      <c r="K10" s="30"/>
    </row>
    <row r="11" spans="1:11" x14ac:dyDescent="0.15">
      <c r="A11" s="43"/>
      <c r="B11" s="52">
        <v>45506</v>
      </c>
      <c r="C11" s="53">
        <v>45506</v>
      </c>
      <c r="D11" s="54">
        <v>0.33333333333333331</v>
      </c>
      <c r="E11" s="54">
        <v>0.33333333333333331</v>
      </c>
      <c r="F11" s="66"/>
      <c r="G11" s="127"/>
      <c r="H11" s="123">
        <v>1</v>
      </c>
      <c r="I11" s="49"/>
      <c r="J11" s="30"/>
      <c r="K11" s="30"/>
    </row>
    <row r="12" spans="1:11" x14ac:dyDescent="0.15">
      <c r="A12" s="43"/>
      <c r="B12" s="58">
        <v>45589</v>
      </c>
      <c r="C12" s="56">
        <v>45591</v>
      </c>
      <c r="D12" s="54">
        <v>0.33333333333333331</v>
      </c>
      <c r="E12" s="54">
        <v>0.33333333333333331</v>
      </c>
      <c r="F12" s="57"/>
      <c r="G12" s="127"/>
      <c r="H12" s="127">
        <v>3</v>
      </c>
      <c r="I12" s="49"/>
      <c r="J12" s="30"/>
      <c r="K12" s="30"/>
    </row>
    <row r="13" spans="1:11" x14ac:dyDescent="0.15">
      <c r="A13" s="43"/>
      <c r="B13" s="58">
        <v>45727</v>
      </c>
      <c r="C13" s="56">
        <v>45727</v>
      </c>
      <c r="D13" s="54">
        <v>0.33333333333333331</v>
      </c>
      <c r="E13" s="54">
        <v>0.33333333333333331</v>
      </c>
      <c r="F13" s="57"/>
      <c r="G13" s="127"/>
      <c r="H13" s="127">
        <v>1</v>
      </c>
      <c r="I13" s="49"/>
      <c r="J13" s="30"/>
      <c r="K13" s="30"/>
    </row>
    <row r="14" spans="1:11" x14ac:dyDescent="0.15">
      <c r="A14" s="43"/>
      <c r="B14" s="58">
        <v>45768</v>
      </c>
      <c r="C14" s="56">
        <v>45768</v>
      </c>
      <c r="D14" s="57">
        <v>0.33333333333333331</v>
      </c>
      <c r="E14" s="57">
        <v>0.33333333333333331</v>
      </c>
      <c r="F14" s="57"/>
      <c r="G14" s="127"/>
      <c r="H14" s="123">
        <v>1</v>
      </c>
    </row>
    <row r="15" spans="1:11" x14ac:dyDescent="0.15">
      <c r="A15" s="43"/>
      <c r="B15" s="58">
        <v>45818</v>
      </c>
      <c r="C15" s="56">
        <v>45819</v>
      </c>
      <c r="D15" s="687">
        <v>0.33333333333333331</v>
      </c>
      <c r="E15" s="687">
        <v>0.33333333333333331</v>
      </c>
      <c r="F15" s="57"/>
      <c r="G15" s="127"/>
      <c r="H15" s="123">
        <v>2</v>
      </c>
    </row>
    <row r="16" spans="1:11" x14ac:dyDescent="0.15">
      <c r="A16" s="43"/>
      <c r="B16" s="58">
        <v>45897</v>
      </c>
      <c r="C16" s="56">
        <v>45901</v>
      </c>
      <c r="D16" s="687">
        <v>0.33333333333333331</v>
      </c>
      <c r="E16" s="687">
        <v>0.33333333333333331</v>
      </c>
      <c r="F16" s="57"/>
      <c r="G16" s="127"/>
      <c r="H16" s="127">
        <v>2</v>
      </c>
    </row>
    <row r="17" spans="1:8" x14ac:dyDescent="0.15">
      <c r="A17" s="43"/>
      <c r="B17" s="58">
        <v>46059</v>
      </c>
      <c r="C17" s="56">
        <v>46069</v>
      </c>
      <c r="D17" s="57"/>
      <c r="E17" s="57"/>
      <c r="F17" s="57"/>
      <c r="G17" s="127"/>
      <c r="H17" s="127">
        <v>8</v>
      </c>
    </row>
    <row r="18" spans="1:8" x14ac:dyDescent="0.15">
      <c r="A18" s="43"/>
      <c r="B18" s="58">
        <v>46164</v>
      </c>
      <c r="C18" s="56">
        <v>46174</v>
      </c>
      <c r="D18" s="57"/>
      <c r="E18" s="57"/>
      <c r="F18" s="57"/>
      <c r="G18" s="127"/>
      <c r="H18" s="127">
        <v>3</v>
      </c>
    </row>
    <row r="19" spans="1:8" x14ac:dyDescent="0.15">
      <c r="A19" s="43"/>
      <c r="B19" s="58"/>
      <c r="C19" s="56"/>
      <c r="D19" s="57"/>
      <c r="E19" s="57"/>
      <c r="F19" s="66"/>
      <c r="G19" s="127"/>
      <c r="H19" s="127"/>
    </row>
    <row r="20" spans="1:8" x14ac:dyDescent="0.15">
      <c r="A20" s="43"/>
      <c r="B20" s="58"/>
      <c r="C20" s="56"/>
      <c r="D20" s="57"/>
      <c r="E20" s="57"/>
      <c r="F20" s="66"/>
      <c r="G20" s="127"/>
      <c r="H20" s="127"/>
    </row>
    <row r="21" spans="1:8" x14ac:dyDescent="0.15">
      <c r="A21" s="43"/>
      <c r="B21" s="58"/>
      <c r="C21" s="56"/>
      <c r="D21" s="57"/>
      <c r="E21" s="57"/>
      <c r="F21" s="66"/>
      <c r="G21" s="127"/>
      <c r="H21" s="127"/>
    </row>
    <row r="22" spans="1:8" x14ac:dyDescent="0.15">
      <c r="A22" s="42"/>
      <c r="B22" s="58"/>
      <c r="C22" s="56"/>
      <c r="D22" s="57"/>
      <c r="E22" s="57"/>
      <c r="F22" s="66"/>
      <c r="G22" s="127"/>
      <c r="H22" s="127"/>
    </row>
    <row r="23" spans="1:8" x14ac:dyDescent="0.15">
      <c r="A23" s="55"/>
      <c r="B23" s="58"/>
      <c r="C23" s="56"/>
      <c r="D23" s="57"/>
      <c r="E23" s="57"/>
      <c r="F23" s="66"/>
      <c r="G23" s="127"/>
      <c r="H23" s="127"/>
    </row>
    <row r="24" spans="1:8" x14ac:dyDescent="0.15">
      <c r="A24" s="55"/>
      <c r="B24" s="58"/>
      <c r="C24" s="56"/>
      <c r="D24" s="57"/>
      <c r="E24" s="57"/>
      <c r="F24" s="66"/>
      <c r="G24" s="127"/>
      <c r="H24" s="127"/>
    </row>
    <row r="25" spans="1:8" x14ac:dyDescent="0.15">
      <c r="A25" s="55"/>
      <c r="B25" s="58"/>
      <c r="C25" s="56"/>
      <c r="D25" s="57"/>
      <c r="E25" s="57"/>
      <c r="F25" s="48"/>
      <c r="G25" s="127"/>
      <c r="H25" s="127"/>
    </row>
    <row r="26" spans="1:8" x14ac:dyDescent="0.15">
      <c r="A26" s="55"/>
      <c r="B26" s="58"/>
      <c r="C26" s="56"/>
      <c r="D26" s="57"/>
      <c r="E26" s="57"/>
      <c r="F26" s="48"/>
      <c r="G26" s="127"/>
      <c r="H26" s="127"/>
    </row>
    <row r="27" spans="1:8" x14ac:dyDescent="0.15">
      <c r="A27" s="55"/>
      <c r="B27" s="58"/>
      <c r="C27" s="56"/>
      <c r="D27" s="57"/>
      <c r="E27" s="57"/>
      <c r="F27" s="48"/>
      <c r="G27" s="127"/>
      <c r="H27" s="127"/>
    </row>
    <row r="28" spans="1:8" x14ac:dyDescent="0.15">
      <c r="A28" s="55"/>
      <c r="B28" s="58"/>
      <c r="C28" s="56"/>
      <c r="D28" s="57"/>
      <c r="E28" s="57"/>
      <c r="F28" s="48"/>
      <c r="G28" s="127"/>
      <c r="H28" s="127"/>
    </row>
    <row r="29" spans="1:8" x14ac:dyDescent="0.15">
      <c r="A29" s="55"/>
      <c r="B29" s="58"/>
      <c r="C29" s="56"/>
      <c r="D29" s="57"/>
      <c r="E29" s="57"/>
      <c r="F29" s="48"/>
      <c r="G29" s="127"/>
      <c r="H29" s="127"/>
    </row>
    <row r="30" spans="1:8" x14ac:dyDescent="0.15">
      <c r="A30" s="55"/>
      <c r="B30" s="58"/>
      <c r="C30" s="56"/>
      <c r="D30" s="57"/>
      <c r="E30" s="57"/>
      <c r="F30" s="48"/>
      <c r="G30" s="127"/>
      <c r="H30" s="127"/>
    </row>
    <row r="31" spans="1:8" x14ac:dyDescent="0.15">
      <c r="A31" s="55"/>
      <c r="B31" s="58"/>
      <c r="C31" s="56"/>
      <c r="D31" s="57"/>
      <c r="E31" s="57"/>
      <c r="F31" s="48"/>
      <c r="G31" s="127"/>
      <c r="H31" s="127"/>
    </row>
    <row r="32" spans="1:8" x14ac:dyDescent="0.15">
      <c r="A32" s="55"/>
      <c r="B32" s="58"/>
      <c r="C32" s="56"/>
      <c r="D32" s="57"/>
      <c r="E32" s="57"/>
      <c r="F32" s="48"/>
      <c r="G32" s="127"/>
      <c r="H32" s="127"/>
    </row>
    <row r="33" spans="1:8" x14ac:dyDescent="0.15">
      <c r="A33" s="55"/>
      <c r="B33" s="58"/>
      <c r="C33" s="56"/>
      <c r="D33" s="57"/>
      <c r="E33" s="57"/>
      <c r="F33" s="48"/>
      <c r="G33" s="127"/>
      <c r="H33" s="127"/>
    </row>
    <row r="34" spans="1:8" x14ac:dyDescent="0.15">
      <c r="A34" s="55"/>
      <c r="B34" s="58"/>
      <c r="C34" s="56"/>
      <c r="D34" s="57"/>
      <c r="E34" s="57"/>
      <c r="F34" s="48"/>
      <c r="G34" s="127"/>
      <c r="H34" s="127"/>
    </row>
    <row r="35" spans="1:8" x14ac:dyDescent="0.15">
      <c r="F35" s="102" t="s">
        <v>123</v>
      </c>
      <c r="G35" s="132">
        <f>SUM(G5:G34)</f>
        <v>42</v>
      </c>
      <c r="H35" s="132">
        <f>SUM(H8:H34)</f>
        <v>30</v>
      </c>
    </row>
    <row r="36" spans="1:8" x14ac:dyDescent="0.15">
      <c r="F36" s="62"/>
      <c r="G36" s="63"/>
      <c r="H36" s="63"/>
    </row>
    <row r="37" spans="1:8" x14ac:dyDescent="0.15">
      <c r="F37" s="1173" t="s">
        <v>8</v>
      </c>
      <c r="G37" s="1174"/>
      <c r="H37" s="107">
        <f>G35-H35</f>
        <v>12</v>
      </c>
    </row>
  </sheetData>
  <sortState ref="B8:K32">
    <sortCondition ref="B8"/>
  </sortState>
  <mergeCells count="3">
    <mergeCell ref="A6:H6"/>
    <mergeCell ref="F37:G37"/>
    <mergeCell ref="J1:K4"/>
  </mergeCells>
  <hyperlinks>
    <hyperlink ref="J1:K4" location="'ANA SAYFA'!A1" display="Ana Sayfa"/>
  </hyperlinks>
  <pageMargins left="0.7" right="0.7" top="0.75" bottom="0.75" header="0.3" footer="0.3"/>
  <pageSetup paperSize="9" scale="98" orientation="landscape"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zoomScaleNormal="100" workbookViewId="0">
      <selection activeCell="J1" sqref="J1:K3"/>
    </sheetView>
  </sheetViews>
  <sheetFormatPr defaultColWidth="9.140625" defaultRowHeight="11.25" x14ac:dyDescent="0.15"/>
  <cols>
    <col min="1" max="1" width="18.140625" style="113" bestFit="1" customWidth="1"/>
    <col min="2" max="3" width="26.5703125" style="113" bestFit="1" customWidth="1"/>
    <col min="4" max="5" width="9.28515625" style="113" bestFit="1" customWidth="1"/>
    <col min="6" max="6" width="18" style="113" bestFit="1" customWidth="1"/>
    <col min="7" max="7" width="16.5703125" style="113" customWidth="1"/>
    <col min="8" max="8" width="13.5703125" style="113" customWidth="1"/>
    <col min="9" max="9" width="6.140625" style="113" customWidth="1"/>
    <col min="10" max="16384" width="9.140625" style="113"/>
  </cols>
  <sheetData>
    <row r="1" spans="1:11" ht="15" customHeight="1" x14ac:dyDescent="0.15">
      <c r="A1" s="29" t="s">
        <v>135</v>
      </c>
      <c r="B1" s="151" t="str">
        <f>'ANA SAYFA'!B73</f>
        <v>CENGİZ AÇIKGÖZ</v>
      </c>
      <c r="C1" s="1166" t="s">
        <v>136</v>
      </c>
      <c r="D1" s="1166"/>
      <c r="E1" s="1166"/>
      <c r="F1" s="1166"/>
      <c r="G1" s="1166"/>
      <c r="H1" s="1166"/>
      <c r="J1" s="1275" t="s">
        <v>5</v>
      </c>
      <c r="K1" s="1275"/>
    </row>
    <row r="2" spans="1:11" ht="15" customHeight="1" x14ac:dyDescent="0.15">
      <c r="A2" s="29" t="s">
        <v>137</v>
      </c>
      <c r="B2" s="161">
        <f>'ANA SAYFA'!D73</f>
        <v>35213303594</v>
      </c>
      <c r="C2" s="1166"/>
      <c r="D2" s="1166"/>
      <c r="E2" s="1166"/>
      <c r="F2" s="1166"/>
      <c r="G2" s="1166"/>
      <c r="H2" s="1166"/>
      <c r="J2" s="1276"/>
      <c r="K2" s="1276"/>
    </row>
    <row r="3" spans="1:11" ht="15" customHeight="1" x14ac:dyDescent="0.15">
      <c r="A3" s="29" t="s">
        <v>131</v>
      </c>
      <c r="B3" s="162" t="str">
        <f>'ANA SAYFA'!C73</f>
        <v>KAMYON ŞOFÖRÜ</v>
      </c>
      <c r="C3" s="1166"/>
      <c r="D3" s="1166"/>
      <c r="E3" s="1166"/>
      <c r="F3" s="1166"/>
      <c r="G3" s="1166"/>
      <c r="H3" s="1166"/>
      <c r="J3" s="1276"/>
      <c r="K3" s="1276"/>
    </row>
    <row r="4" spans="1:11" ht="15" customHeight="1" x14ac:dyDescent="0.15">
      <c r="A4" s="29" t="s">
        <v>120</v>
      </c>
      <c r="B4" s="89">
        <f>'ANA SAYFA'!E73</f>
        <v>44662</v>
      </c>
      <c r="C4" s="1166"/>
      <c r="D4" s="1166"/>
      <c r="E4" s="1166"/>
      <c r="F4" s="1166"/>
      <c r="G4" s="1166"/>
      <c r="H4" s="1166"/>
    </row>
    <row r="5" spans="1:11" ht="15" customHeight="1" x14ac:dyDescent="0.15">
      <c r="A5" s="29" t="s">
        <v>130</v>
      </c>
      <c r="B5" s="89">
        <f>'ANA SAYFA'!F73</f>
        <v>24127</v>
      </c>
      <c r="C5" s="1166"/>
      <c r="D5" s="1166"/>
      <c r="E5" s="1166"/>
      <c r="F5" s="1166"/>
      <c r="G5" s="1166"/>
      <c r="H5" s="1166"/>
    </row>
    <row r="6" spans="1:11" ht="45" x14ac:dyDescent="0.15">
      <c r="A6" s="99" t="s">
        <v>0</v>
      </c>
      <c r="B6" s="100" t="s">
        <v>1</v>
      </c>
      <c r="C6" s="99" t="s">
        <v>2</v>
      </c>
      <c r="D6" s="101" t="s">
        <v>133</v>
      </c>
      <c r="E6" s="101" t="s">
        <v>4</v>
      </c>
      <c r="F6" s="101" t="s">
        <v>7</v>
      </c>
      <c r="G6" s="101" t="s">
        <v>6</v>
      </c>
      <c r="H6" s="101" t="s">
        <v>16</v>
      </c>
    </row>
    <row r="7" spans="1:11" ht="13.5" customHeight="1" x14ac:dyDescent="0.15">
      <c r="A7" s="99"/>
      <c r="B7" s="372" t="s">
        <v>451</v>
      </c>
      <c r="C7" s="373">
        <v>44761</v>
      </c>
      <c r="D7" s="38">
        <v>0.33333333333333331</v>
      </c>
      <c r="E7" s="38">
        <v>0.33333333333333331</v>
      </c>
      <c r="F7" s="117" t="s">
        <v>363</v>
      </c>
      <c r="G7" s="106">
        <v>20</v>
      </c>
      <c r="H7" s="487">
        <v>1</v>
      </c>
    </row>
    <row r="8" spans="1:11" ht="13.5" customHeight="1" x14ac:dyDescent="0.15">
      <c r="A8" s="35"/>
      <c r="B8" s="560">
        <v>44884</v>
      </c>
      <c r="C8" s="37">
        <v>44886</v>
      </c>
      <c r="D8" s="38">
        <v>0.33333333333333331</v>
      </c>
      <c r="E8" s="38">
        <v>0.33333333333333331</v>
      </c>
      <c r="F8" s="594" t="s">
        <v>544</v>
      </c>
      <c r="G8" s="595">
        <v>20</v>
      </c>
      <c r="H8" s="115">
        <v>1</v>
      </c>
    </row>
    <row r="9" spans="1:11" ht="13.5" customHeight="1" x14ac:dyDescent="0.15">
      <c r="A9" s="42"/>
      <c r="B9" s="560">
        <v>44998</v>
      </c>
      <c r="C9" s="37">
        <v>45004</v>
      </c>
      <c r="D9" s="38">
        <v>0.33333333333333331</v>
      </c>
      <c r="E9" s="57">
        <v>0.33333333333333331</v>
      </c>
      <c r="F9" s="117" t="s">
        <v>713</v>
      </c>
      <c r="G9" s="106">
        <v>20</v>
      </c>
      <c r="H9" s="115">
        <v>6</v>
      </c>
    </row>
    <row r="10" spans="1:11" ht="13.5" customHeight="1" x14ac:dyDescent="0.15">
      <c r="A10" s="42"/>
      <c r="B10" s="560">
        <v>45110</v>
      </c>
      <c r="C10" s="37">
        <v>45118</v>
      </c>
      <c r="D10" s="38">
        <v>0.33333333333333331</v>
      </c>
      <c r="E10" s="57">
        <v>0.33333333333333331</v>
      </c>
      <c r="F10" s="79"/>
      <c r="G10" s="66"/>
      <c r="H10" s="115">
        <v>7</v>
      </c>
    </row>
    <row r="11" spans="1:11" ht="13.5" customHeight="1" x14ac:dyDescent="0.15">
      <c r="A11" s="47"/>
      <c r="B11" s="560">
        <v>45181</v>
      </c>
      <c r="C11" s="44">
        <v>45187</v>
      </c>
      <c r="D11" s="38">
        <v>0.33333333333333331</v>
      </c>
      <c r="E11" s="57">
        <v>0.33333333333333331</v>
      </c>
      <c r="F11" s="81"/>
      <c r="G11" s="66"/>
      <c r="H11" s="106">
        <v>5</v>
      </c>
    </row>
    <row r="12" spans="1:11" ht="13.5" customHeight="1" x14ac:dyDescent="0.15">
      <c r="A12" s="55"/>
      <c r="B12" s="58">
        <v>45301</v>
      </c>
      <c r="C12" s="56">
        <v>45302</v>
      </c>
      <c r="D12" s="38">
        <v>0.5</v>
      </c>
      <c r="E12" s="38">
        <v>0.33333333333333331</v>
      </c>
      <c r="F12" s="81"/>
      <c r="G12" s="66"/>
      <c r="H12" s="296">
        <v>0.5</v>
      </c>
    </row>
    <row r="13" spans="1:11" ht="13.5" customHeight="1" x14ac:dyDescent="0.15">
      <c r="A13" s="55"/>
      <c r="B13" s="58">
        <v>45469</v>
      </c>
      <c r="C13" s="56">
        <v>45487</v>
      </c>
      <c r="D13" s="676">
        <v>0.33333333333333331</v>
      </c>
      <c r="E13" s="687">
        <v>0.33333333333333331</v>
      </c>
      <c r="F13" s="81"/>
      <c r="G13" s="66"/>
      <c r="H13" s="66">
        <v>16</v>
      </c>
    </row>
    <row r="14" spans="1:11" ht="13.5" customHeight="1" x14ac:dyDescent="0.15">
      <c r="A14" s="55"/>
      <c r="B14" s="58">
        <v>45525</v>
      </c>
      <c r="C14" s="56">
        <v>45525</v>
      </c>
      <c r="D14" s="676">
        <v>0.33333333333333331</v>
      </c>
      <c r="E14" s="687">
        <v>0.33333333333333331</v>
      </c>
      <c r="F14" s="81"/>
      <c r="G14" s="66"/>
      <c r="H14" s="66">
        <v>1</v>
      </c>
    </row>
    <row r="15" spans="1:11" ht="13.5" customHeight="1" x14ac:dyDescent="0.15">
      <c r="A15" s="55"/>
      <c r="B15" s="58">
        <v>45548</v>
      </c>
      <c r="C15" s="56">
        <v>45549</v>
      </c>
      <c r="D15" s="676">
        <v>0.33333333333333331</v>
      </c>
      <c r="E15" s="687">
        <v>0.33333333333333331</v>
      </c>
      <c r="F15" s="81"/>
      <c r="G15" s="66"/>
      <c r="H15" s="66">
        <v>2</v>
      </c>
    </row>
    <row r="16" spans="1:11" ht="13.5" customHeight="1" x14ac:dyDescent="0.15">
      <c r="A16" s="55"/>
      <c r="B16" s="58">
        <v>45797</v>
      </c>
      <c r="C16" s="56">
        <v>45797</v>
      </c>
      <c r="D16" s="676">
        <v>0.33333333333333331</v>
      </c>
      <c r="E16" s="687">
        <v>0.33333333333333331</v>
      </c>
      <c r="F16" s="48"/>
      <c r="G16" s="66"/>
      <c r="H16" s="66">
        <v>1</v>
      </c>
    </row>
    <row r="17" spans="1:10" ht="13.5" customHeight="1" x14ac:dyDescent="0.15">
      <c r="A17" s="55"/>
      <c r="B17" s="58">
        <v>45845</v>
      </c>
      <c r="C17" s="56">
        <v>45857</v>
      </c>
      <c r="D17" s="57">
        <v>0.33333333333333331</v>
      </c>
      <c r="E17" s="57">
        <v>0.33333333333333331</v>
      </c>
      <c r="F17" s="48"/>
      <c r="G17" s="66"/>
      <c r="H17" s="66">
        <v>11</v>
      </c>
    </row>
    <row r="18" spans="1:10" ht="13.5" customHeight="1" x14ac:dyDescent="0.15">
      <c r="A18" s="55"/>
      <c r="B18" s="58">
        <v>45995</v>
      </c>
      <c r="C18" s="56">
        <v>45999</v>
      </c>
      <c r="D18" s="57"/>
      <c r="E18" s="57"/>
      <c r="F18" s="48"/>
      <c r="G18" s="66"/>
      <c r="H18" s="66">
        <v>3</v>
      </c>
    </row>
    <row r="19" spans="1:10" ht="13.5" customHeight="1" x14ac:dyDescent="0.15">
      <c r="A19" s="55"/>
      <c r="B19" s="58">
        <v>46009</v>
      </c>
      <c r="C19" s="56">
        <v>46010</v>
      </c>
      <c r="D19" s="57"/>
      <c r="E19" s="57"/>
      <c r="F19" s="48"/>
      <c r="G19" s="66"/>
      <c r="H19" s="66">
        <v>1</v>
      </c>
      <c r="J19" s="113" t="s">
        <v>830</v>
      </c>
    </row>
    <row r="20" spans="1:10" ht="13.5" customHeight="1" x14ac:dyDescent="0.15">
      <c r="A20" s="685"/>
      <c r="B20" s="688">
        <v>46037</v>
      </c>
      <c r="C20" s="686">
        <v>46038</v>
      </c>
      <c r="D20" s="687"/>
      <c r="E20" s="687"/>
      <c r="F20" s="683"/>
      <c r="G20" s="691"/>
      <c r="H20" s="691">
        <v>1</v>
      </c>
    </row>
    <row r="21" spans="1:10" ht="13.5" customHeight="1" x14ac:dyDescent="0.15">
      <c r="A21" s="685"/>
      <c r="B21" s="688"/>
      <c r="C21" s="686"/>
      <c r="D21" s="687"/>
      <c r="E21" s="687"/>
      <c r="F21" s="683"/>
      <c r="G21" s="691"/>
      <c r="H21" s="691"/>
    </row>
    <row r="22" spans="1:10" ht="13.5" customHeight="1" x14ac:dyDescent="0.15">
      <c r="A22" s="55"/>
      <c r="B22" s="58"/>
      <c r="C22" s="56"/>
      <c r="D22" s="57"/>
      <c r="E22" s="57"/>
      <c r="F22" s="48"/>
      <c r="G22" s="66"/>
      <c r="H22" s="66"/>
    </row>
    <row r="23" spans="1:10" ht="13.5" customHeight="1" x14ac:dyDescent="0.15">
      <c r="A23" s="55"/>
      <c r="B23" s="58"/>
      <c r="C23" s="56"/>
      <c r="D23" s="57"/>
      <c r="E23" s="57"/>
      <c r="F23" s="48"/>
      <c r="G23" s="66"/>
      <c r="H23" s="66"/>
    </row>
    <row r="24" spans="1:10" ht="13.5" customHeight="1" x14ac:dyDescent="0.15">
      <c r="F24" s="102" t="s">
        <v>123</v>
      </c>
      <c r="G24" s="102">
        <f>SUM(G7:G14)</f>
        <v>60</v>
      </c>
      <c r="H24" s="102">
        <f>SUM(H7:H22)</f>
        <v>56.5</v>
      </c>
    </row>
    <row r="25" spans="1:10" ht="13.5" customHeight="1" x14ac:dyDescent="0.15">
      <c r="F25" s="62"/>
      <c r="G25" s="63"/>
      <c r="H25" s="63"/>
    </row>
    <row r="26" spans="1:10" ht="13.5" customHeight="1" x14ac:dyDescent="0.15">
      <c r="F26" s="1173" t="s">
        <v>8</v>
      </c>
      <c r="G26" s="1174"/>
      <c r="H26" s="105">
        <f>G24-H24</f>
        <v>3.5</v>
      </c>
    </row>
  </sheetData>
  <mergeCells count="3">
    <mergeCell ref="F26:G26"/>
    <mergeCell ref="C1:H5"/>
    <mergeCell ref="J1:K3"/>
  </mergeCells>
  <hyperlinks>
    <hyperlink ref="J1:K3" location="'ANA SAYFA'!A1" display="Ana Sayfa"/>
  </hyperlinks>
  <pageMargins left="0.7" right="0.7" top="0.75" bottom="0.75" header="0.3" footer="0.3"/>
  <pageSetup paperSize="9" scale="54" orientation="portrait" r:id="rId1"/>
  <colBreaks count="1" manualBreakCount="1">
    <brk id="9" max="1048575" man="1"/>
  </colBreak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workbookViewId="0">
      <pane ySplit="6" topLeftCell="A7" activePane="bottomLeft" state="frozen"/>
      <selection pane="bottomLeft" activeCell="J1" sqref="J1:K3"/>
    </sheetView>
  </sheetViews>
  <sheetFormatPr defaultColWidth="9.140625" defaultRowHeight="11.25" x14ac:dyDescent="0.2"/>
  <cols>
    <col min="1" max="1" width="18.140625" style="120" bestFit="1" customWidth="1"/>
    <col min="2" max="3" width="26.5703125" style="120" bestFit="1" customWidth="1"/>
    <col min="4" max="5" width="9.28515625" style="120" bestFit="1" customWidth="1"/>
    <col min="6" max="6" width="20.140625" style="120" bestFit="1" customWidth="1"/>
    <col min="7" max="7" width="14" style="120" customWidth="1"/>
    <col min="8" max="8" width="12.5703125" style="120" customWidth="1"/>
    <col min="9" max="9" width="4.42578125" style="120" customWidth="1"/>
    <col min="10" max="16384" width="9.140625" style="120"/>
  </cols>
  <sheetData>
    <row r="1" spans="1:11" ht="15.75" customHeight="1" x14ac:dyDescent="0.2">
      <c r="A1" s="135" t="s">
        <v>135</v>
      </c>
      <c r="B1" s="193" t="str">
        <f>'ANA SAYFA'!B74</f>
        <v>CEVAHİR ÖZTÜRK</v>
      </c>
      <c r="C1" s="1166" t="s">
        <v>136</v>
      </c>
      <c r="D1" s="1166"/>
      <c r="E1" s="1166"/>
      <c r="F1" s="1166"/>
      <c r="G1" s="1166"/>
      <c r="H1" s="1166"/>
      <c r="J1" s="1171" t="s">
        <v>5</v>
      </c>
      <c r="K1" s="1171"/>
    </row>
    <row r="2" spans="1:11" ht="15.75" customHeight="1" x14ac:dyDescent="0.2">
      <c r="A2" s="135" t="s">
        <v>137</v>
      </c>
      <c r="B2" s="186">
        <f>'ANA SAYFA'!D74</f>
        <v>60130492038</v>
      </c>
      <c r="C2" s="1166"/>
      <c r="D2" s="1166"/>
      <c r="E2" s="1166"/>
      <c r="F2" s="1166"/>
      <c r="G2" s="1166"/>
      <c r="H2" s="1166"/>
      <c r="J2" s="1172"/>
      <c r="K2" s="1172"/>
    </row>
    <row r="3" spans="1:11" ht="15.75" customHeight="1" x14ac:dyDescent="0.2">
      <c r="A3" s="135" t="s">
        <v>131</v>
      </c>
      <c r="B3" s="187" t="str">
        <f>'ANA SAYFA'!C74</f>
        <v>KAMYON ŞOFÖRÜ</v>
      </c>
      <c r="C3" s="1166"/>
      <c r="D3" s="1166"/>
      <c r="E3" s="1166"/>
      <c r="F3" s="1166"/>
      <c r="G3" s="1166"/>
      <c r="H3" s="1166"/>
      <c r="J3" s="1172"/>
      <c r="K3" s="1172"/>
    </row>
    <row r="4" spans="1:11" ht="15.75" customHeight="1" x14ac:dyDescent="0.2">
      <c r="A4" s="135" t="s">
        <v>120</v>
      </c>
      <c r="B4" s="136">
        <f>'ANA SAYFA'!E74</f>
        <v>44627</v>
      </c>
      <c r="C4" s="1166"/>
      <c r="D4" s="1166"/>
      <c r="E4" s="1166"/>
      <c r="F4" s="1166"/>
      <c r="G4" s="1166"/>
      <c r="H4" s="1166"/>
    </row>
    <row r="5" spans="1:11" ht="15.75" customHeight="1" x14ac:dyDescent="0.2">
      <c r="A5" s="135" t="s">
        <v>130</v>
      </c>
      <c r="B5" s="136">
        <f>'ANA SAYFA'!F74</f>
        <v>24690</v>
      </c>
      <c r="C5" s="1166"/>
      <c r="D5" s="1166"/>
      <c r="E5" s="1166"/>
      <c r="F5" s="1166"/>
      <c r="G5" s="1166"/>
      <c r="H5" s="1166"/>
      <c r="J5" s="33"/>
      <c r="K5" s="33"/>
    </row>
    <row r="6" spans="1:11" ht="31.5" x14ac:dyDescent="0.2">
      <c r="A6" s="69" t="s">
        <v>0</v>
      </c>
      <c r="B6" s="70" t="s">
        <v>1</v>
      </c>
      <c r="C6" s="69" t="s">
        <v>2</v>
      </c>
      <c r="D6" s="71" t="s">
        <v>133</v>
      </c>
      <c r="E6" s="71" t="s">
        <v>4</v>
      </c>
      <c r="F6" s="71" t="s">
        <v>7</v>
      </c>
      <c r="G6" s="71" t="s">
        <v>6</v>
      </c>
      <c r="H6" s="71" t="s">
        <v>16</v>
      </c>
    </row>
    <row r="7" spans="1:11" ht="13.5" customHeight="1" x14ac:dyDescent="0.2">
      <c r="A7" s="121"/>
      <c r="B7" s="560">
        <v>45144</v>
      </c>
      <c r="C7" s="37">
        <v>45163</v>
      </c>
      <c r="D7" s="38">
        <v>0.33333333333333331</v>
      </c>
      <c r="E7" s="38">
        <v>0.33333333333333331</v>
      </c>
      <c r="F7" s="126" t="s">
        <v>364</v>
      </c>
      <c r="G7" s="126">
        <v>20</v>
      </c>
      <c r="H7" s="127">
        <v>15</v>
      </c>
      <c r="J7" s="124"/>
    </row>
    <row r="8" spans="1:11" ht="13.5" customHeight="1" x14ac:dyDescent="0.2">
      <c r="A8" s="125"/>
      <c r="B8" s="560">
        <v>45276</v>
      </c>
      <c r="C8" s="37">
        <v>45279</v>
      </c>
      <c r="D8" s="38">
        <v>0.33333333333333331</v>
      </c>
      <c r="E8" s="38">
        <v>0.33333333333333331</v>
      </c>
      <c r="F8" s="122" t="s">
        <v>542</v>
      </c>
      <c r="G8" s="127">
        <v>20</v>
      </c>
      <c r="H8" s="127">
        <v>2</v>
      </c>
      <c r="J8" s="33"/>
      <c r="K8" s="124"/>
    </row>
    <row r="9" spans="1:11" ht="13.5" customHeight="1" x14ac:dyDescent="0.2">
      <c r="A9" s="125"/>
      <c r="B9" s="560">
        <v>45509</v>
      </c>
      <c r="C9" s="129" t="s">
        <v>600</v>
      </c>
      <c r="D9" s="38">
        <v>0.33333333333333331</v>
      </c>
      <c r="E9" s="38">
        <v>0.33333333333333331</v>
      </c>
      <c r="F9" s="122" t="s">
        <v>683</v>
      </c>
      <c r="G9" s="127">
        <v>20</v>
      </c>
      <c r="H9" s="127">
        <v>24</v>
      </c>
      <c r="J9" s="33"/>
      <c r="K9" s="33"/>
    </row>
    <row r="10" spans="1:11" ht="13.5" customHeight="1" x14ac:dyDescent="0.2">
      <c r="A10" s="128"/>
      <c r="B10" s="1277" t="s">
        <v>631</v>
      </c>
      <c r="C10" s="1277"/>
      <c r="D10" s="38"/>
      <c r="E10" s="38"/>
      <c r="F10" s="122" t="s">
        <v>978</v>
      </c>
      <c r="G10" s="126">
        <v>20</v>
      </c>
      <c r="H10" s="521">
        <v>-2</v>
      </c>
    </row>
    <row r="11" spans="1:11" ht="13.5" customHeight="1" x14ac:dyDescent="0.2">
      <c r="A11" s="131"/>
      <c r="B11" s="560">
        <v>45782</v>
      </c>
      <c r="C11" s="129">
        <v>45782</v>
      </c>
      <c r="D11" s="130">
        <v>0.33333333333333331</v>
      </c>
      <c r="E11" s="130">
        <v>0.33333333333333331</v>
      </c>
      <c r="F11" s="126"/>
      <c r="G11" s="126"/>
      <c r="H11" s="126">
        <v>1</v>
      </c>
      <c r="J11" s="124"/>
    </row>
    <row r="12" spans="1:11" ht="13.5" customHeight="1" x14ac:dyDescent="0.2">
      <c r="A12" s="125"/>
      <c r="B12" s="560">
        <v>45873</v>
      </c>
      <c r="C12" s="129">
        <v>45901</v>
      </c>
      <c r="D12" s="712">
        <v>0.33333333333333331</v>
      </c>
      <c r="E12" s="712">
        <v>0.33333333333333331</v>
      </c>
      <c r="F12" s="126"/>
      <c r="G12" s="126"/>
      <c r="H12" s="126">
        <v>23</v>
      </c>
      <c r="J12" s="33"/>
    </row>
    <row r="13" spans="1:11" ht="13.5" customHeight="1" x14ac:dyDescent="0.2">
      <c r="A13" s="125"/>
      <c r="B13" s="560">
        <v>45969</v>
      </c>
      <c r="C13" s="129">
        <v>45972</v>
      </c>
      <c r="D13" s="712">
        <v>0.33333333333333331</v>
      </c>
      <c r="E13" s="712">
        <v>0.33333333333333331</v>
      </c>
      <c r="F13" s="127"/>
      <c r="G13" s="127"/>
      <c r="H13" s="126">
        <v>2</v>
      </c>
    </row>
    <row r="14" spans="1:11" ht="13.5" customHeight="1" x14ac:dyDescent="0.2">
      <c r="A14" s="125"/>
      <c r="B14" s="560">
        <v>46010</v>
      </c>
      <c r="C14" s="37">
        <v>46013</v>
      </c>
      <c r="D14" s="130"/>
      <c r="E14" s="130"/>
      <c r="F14" s="127"/>
      <c r="G14" s="127"/>
      <c r="H14" s="126">
        <v>2</v>
      </c>
    </row>
    <row r="15" spans="1:11" ht="13.5" customHeight="1" x14ac:dyDescent="0.2">
      <c r="A15" s="125"/>
      <c r="B15" s="560"/>
      <c r="C15" s="37"/>
      <c r="D15" s="130"/>
      <c r="E15" s="130"/>
      <c r="F15" s="127"/>
      <c r="G15" s="127"/>
      <c r="H15" s="126"/>
    </row>
    <row r="16" spans="1:11" ht="13.5" customHeight="1" x14ac:dyDescent="0.2">
      <c r="A16" s="125"/>
      <c r="B16" s="560"/>
      <c r="C16" s="37"/>
      <c r="D16" s="38"/>
      <c r="E16" s="38"/>
      <c r="F16" s="127"/>
      <c r="G16" s="127"/>
      <c r="H16" s="126"/>
    </row>
    <row r="17" spans="1:11" ht="13.5" customHeight="1" x14ac:dyDescent="0.2">
      <c r="A17" s="125"/>
      <c r="B17" s="198"/>
      <c r="C17" s="198"/>
      <c r="D17" s="198"/>
      <c r="E17" s="198"/>
      <c r="F17" s="127"/>
      <c r="G17" s="127"/>
      <c r="H17" s="198"/>
      <c r="K17" s="124"/>
    </row>
    <row r="18" spans="1:11" ht="13.5" customHeight="1" x14ac:dyDescent="0.2">
      <c r="A18" s="125"/>
      <c r="B18" s="198"/>
      <c r="C18" s="198"/>
      <c r="D18" s="198"/>
      <c r="E18" s="198"/>
      <c r="F18" s="127"/>
      <c r="G18" s="127"/>
      <c r="H18" s="198"/>
      <c r="K18" s="33"/>
    </row>
    <row r="19" spans="1:11" ht="13.5" customHeight="1" x14ac:dyDescent="0.2">
      <c r="A19" s="125"/>
      <c r="B19" s="198"/>
      <c r="C19" s="198"/>
      <c r="D19" s="198"/>
      <c r="E19" s="198"/>
      <c r="F19" s="127"/>
      <c r="G19" s="127"/>
      <c r="H19" s="198"/>
      <c r="K19" s="33"/>
    </row>
    <row r="20" spans="1:11" x14ac:dyDescent="0.2">
      <c r="A20" s="125"/>
      <c r="B20" s="198"/>
      <c r="C20" s="198"/>
      <c r="D20" s="198"/>
      <c r="E20" s="198"/>
      <c r="F20" s="127"/>
      <c r="G20" s="127"/>
      <c r="H20" s="198"/>
    </row>
    <row r="21" spans="1:11" ht="13.5" customHeight="1" x14ac:dyDescent="0.2">
      <c r="A21" s="125"/>
      <c r="B21" s="560"/>
      <c r="C21" s="37"/>
      <c r="D21" s="38"/>
      <c r="E21" s="38"/>
      <c r="F21" s="127"/>
      <c r="G21" s="127"/>
      <c r="H21" s="138"/>
    </row>
    <row r="22" spans="1:11" ht="13.5" customHeight="1" x14ac:dyDescent="0.2">
      <c r="A22" s="125"/>
      <c r="B22" s="560"/>
      <c r="C22" s="37"/>
      <c r="D22" s="38"/>
      <c r="E22" s="38"/>
      <c r="F22" s="127"/>
      <c r="G22" s="127"/>
      <c r="H22" s="138"/>
    </row>
    <row r="23" spans="1:11" ht="13.5" customHeight="1" x14ac:dyDescent="0.2">
      <c r="A23" s="125"/>
      <c r="B23" s="560"/>
      <c r="C23" s="37"/>
      <c r="D23" s="38"/>
      <c r="E23" s="38"/>
      <c r="F23" s="127"/>
      <c r="G23" s="127"/>
      <c r="H23" s="138"/>
    </row>
    <row r="24" spans="1:11" ht="13.5" customHeight="1" x14ac:dyDescent="0.2">
      <c r="A24" s="125"/>
      <c r="B24" s="560"/>
      <c r="C24" s="37"/>
      <c r="D24" s="38"/>
      <c r="E24" s="38"/>
      <c r="F24" s="127"/>
      <c r="G24" s="127"/>
      <c r="H24" s="127"/>
    </row>
    <row r="25" spans="1:11" ht="13.5" customHeight="1" x14ac:dyDescent="0.2">
      <c r="A25" s="599"/>
      <c r="B25" s="180"/>
      <c r="C25" s="179"/>
      <c r="D25" s="600"/>
      <c r="E25" s="600"/>
      <c r="F25" s="132" t="s">
        <v>123</v>
      </c>
      <c r="G25" s="182">
        <f>SUM(G7:G21)</f>
        <v>80</v>
      </c>
      <c r="H25" s="182">
        <f>SUM(H7:H21)</f>
        <v>67</v>
      </c>
    </row>
    <row r="26" spans="1:11" ht="13.5" customHeight="1" x14ac:dyDescent="0.2">
      <c r="A26" s="596"/>
      <c r="B26" s="194"/>
      <c r="C26" s="195"/>
      <c r="D26" s="196"/>
      <c r="E26" s="196"/>
      <c r="F26" s="597"/>
      <c r="G26" s="598"/>
      <c r="H26" s="598"/>
    </row>
    <row r="27" spans="1:11" ht="16.5" customHeight="1" x14ac:dyDescent="0.2">
      <c r="B27" s="194"/>
      <c r="C27" s="195"/>
      <c r="D27" s="196"/>
      <c r="E27" s="197"/>
      <c r="F27" s="1169" t="s">
        <v>8</v>
      </c>
      <c r="G27" s="1170"/>
      <c r="H27" s="134">
        <f>G25-H25</f>
        <v>13</v>
      </c>
    </row>
  </sheetData>
  <sortState ref="F8:J20">
    <sortCondition ref="F8"/>
  </sortState>
  <mergeCells count="4">
    <mergeCell ref="F27:G27"/>
    <mergeCell ref="J1:K3"/>
    <mergeCell ref="C1:H5"/>
    <mergeCell ref="B10:C10"/>
  </mergeCells>
  <hyperlinks>
    <hyperlink ref="J1:K3" location="'ANA SAYFA'!A1" display="Ana Sayfa"/>
  </hyperlinks>
  <pageMargins left="0.41" right="0.12" top="0.24" bottom="0.75" header="0.12" footer="0.3"/>
  <pageSetup paperSize="9" orientation="landscape"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workbookViewId="0">
      <selection activeCell="J1" sqref="J1:J3"/>
    </sheetView>
  </sheetViews>
  <sheetFormatPr defaultColWidth="9.140625" defaultRowHeight="11.25" x14ac:dyDescent="0.2"/>
  <cols>
    <col min="1" max="1" width="18.5703125" style="120" bestFit="1" customWidth="1"/>
    <col min="2" max="2" width="27.28515625" style="120" bestFit="1" customWidth="1"/>
    <col min="3" max="3" width="25.140625" style="120" bestFit="1" customWidth="1"/>
    <col min="4" max="5" width="9.28515625" style="120" bestFit="1" customWidth="1"/>
    <col min="6" max="6" width="20.28515625" style="120" customWidth="1"/>
    <col min="7" max="7" width="14.85546875" style="120" customWidth="1"/>
    <col min="8" max="8" width="12.5703125" style="120" bestFit="1" customWidth="1"/>
    <col min="9" max="9" width="4.140625" style="120" customWidth="1"/>
    <col min="10" max="10" width="11" style="120" customWidth="1"/>
    <col min="11" max="16384" width="9.140625" style="120"/>
  </cols>
  <sheetData>
    <row r="1" spans="1:10" ht="12.75" customHeight="1" x14ac:dyDescent="0.2">
      <c r="A1" s="135" t="s">
        <v>135</v>
      </c>
      <c r="B1" s="193" t="str">
        <f>'ANA SAYFA'!B75</f>
        <v xml:space="preserve">CİHAT ECER </v>
      </c>
      <c r="C1" s="1166" t="s">
        <v>136</v>
      </c>
      <c r="D1" s="1166"/>
      <c r="E1" s="1166"/>
      <c r="F1" s="1166"/>
      <c r="G1" s="1166"/>
      <c r="H1" s="1166"/>
      <c r="J1" s="1228" t="s">
        <v>5</v>
      </c>
    </row>
    <row r="2" spans="1:10" ht="12.75" customHeight="1" x14ac:dyDescent="0.2">
      <c r="A2" s="135" t="s">
        <v>137</v>
      </c>
      <c r="B2" s="186">
        <f>'ANA SAYFA'!D75</f>
        <v>60130492038</v>
      </c>
      <c r="C2" s="1166"/>
      <c r="D2" s="1166"/>
      <c r="E2" s="1166"/>
      <c r="F2" s="1166"/>
      <c r="G2" s="1166"/>
      <c r="H2" s="1166"/>
      <c r="J2" s="1229"/>
    </row>
    <row r="3" spans="1:10" ht="12.75" customHeight="1" thickBot="1" x14ac:dyDescent="0.25">
      <c r="A3" s="135" t="s">
        <v>131</v>
      </c>
      <c r="B3" s="186" t="str">
        <f>'ANA SAYFA'!C75</f>
        <v>EKSKAVATÖR OPERATÖRÜ</v>
      </c>
      <c r="C3" s="1166"/>
      <c r="D3" s="1166"/>
      <c r="E3" s="1166"/>
      <c r="F3" s="1166"/>
      <c r="G3" s="1166"/>
      <c r="H3" s="1166"/>
      <c r="J3" s="1230"/>
    </row>
    <row r="4" spans="1:10" ht="12.75" customHeight="1" x14ac:dyDescent="0.2">
      <c r="A4" s="135" t="s">
        <v>120</v>
      </c>
      <c r="B4" s="136">
        <f>'ANA SAYFA'!E75</f>
        <v>44903</v>
      </c>
      <c r="C4" s="1166"/>
      <c r="D4" s="1166"/>
      <c r="E4" s="1166"/>
      <c r="F4" s="1166"/>
      <c r="G4" s="1166"/>
      <c r="H4" s="1166"/>
    </row>
    <row r="5" spans="1:10" ht="12.75" customHeight="1" x14ac:dyDescent="0.2">
      <c r="A5" s="135" t="s">
        <v>130</v>
      </c>
      <c r="B5" s="136">
        <f>'ANA SAYFA'!F75</f>
        <v>34955</v>
      </c>
      <c r="C5" s="1166"/>
      <c r="D5" s="1166"/>
      <c r="E5" s="1166"/>
      <c r="F5" s="1166"/>
      <c r="G5" s="1166"/>
      <c r="H5" s="1166"/>
    </row>
    <row r="6" spans="1:10" ht="31.5" x14ac:dyDescent="0.2">
      <c r="A6" s="69" t="s">
        <v>0</v>
      </c>
      <c r="B6" s="70" t="s">
        <v>1</v>
      </c>
      <c r="C6" s="69" t="s">
        <v>2</v>
      </c>
      <c r="D6" s="71" t="s">
        <v>133</v>
      </c>
      <c r="E6" s="71" t="s">
        <v>4</v>
      </c>
      <c r="F6" s="71" t="s">
        <v>7</v>
      </c>
      <c r="G6" s="71" t="s">
        <v>6</v>
      </c>
      <c r="H6" s="71" t="s">
        <v>16</v>
      </c>
    </row>
    <row r="7" spans="1:10" ht="15" customHeight="1" x14ac:dyDescent="0.2">
      <c r="A7" s="121"/>
      <c r="B7" s="36">
        <v>44971</v>
      </c>
      <c r="C7" s="37">
        <v>44972</v>
      </c>
      <c r="D7" s="38">
        <v>0.33333333333333331</v>
      </c>
      <c r="E7" s="38">
        <v>0.33333333333333331</v>
      </c>
      <c r="F7" s="122" t="s">
        <v>714</v>
      </c>
      <c r="G7" s="123">
        <v>14</v>
      </c>
      <c r="H7" s="115">
        <v>1</v>
      </c>
    </row>
    <row r="8" spans="1:10" ht="15" customHeight="1" x14ac:dyDescent="0.2">
      <c r="A8" s="125"/>
      <c r="B8" s="36">
        <v>45035</v>
      </c>
      <c r="C8" s="37">
        <v>45048</v>
      </c>
      <c r="D8" s="38">
        <v>0.33333333333333331</v>
      </c>
      <c r="E8" s="38">
        <v>0.33333333333333331</v>
      </c>
      <c r="F8" s="122" t="s">
        <v>715</v>
      </c>
      <c r="G8" s="123">
        <v>14</v>
      </c>
      <c r="H8" s="115">
        <v>8</v>
      </c>
    </row>
    <row r="9" spans="1:10" ht="15" customHeight="1" x14ac:dyDescent="0.2">
      <c r="A9" s="125"/>
      <c r="B9" s="36">
        <v>45251</v>
      </c>
      <c r="C9" s="37">
        <v>45257</v>
      </c>
      <c r="D9" s="38">
        <v>0.33333333333333331</v>
      </c>
      <c r="E9" s="38">
        <v>0.33333333333333331</v>
      </c>
      <c r="F9" s="126" t="s">
        <v>926</v>
      </c>
      <c r="G9" s="127">
        <v>14</v>
      </c>
      <c r="H9" s="115">
        <v>5</v>
      </c>
    </row>
    <row r="10" spans="1:10" ht="15" customHeight="1" x14ac:dyDescent="0.2">
      <c r="A10" s="125"/>
      <c r="B10" s="560">
        <v>45278</v>
      </c>
      <c r="C10" s="37">
        <v>45279</v>
      </c>
      <c r="D10" s="38">
        <v>0.5</v>
      </c>
      <c r="E10" s="38">
        <v>0.33333333333333331</v>
      </c>
      <c r="F10" s="126"/>
      <c r="G10" s="127"/>
      <c r="H10" s="39">
        <v>0.5</v>
      </c>
    </row>
    <row r="11" spans="1:10" ht="15" customHeight="1" x14ac:dyDescent="0.2">
      <c r="A11" s="131"/>
      <c r="B11" s="36">
        <v>45301</v>
      </c>
      <c r="C11" s="129">
        <v>45302</v>
      </c>
      <c r="D11" s="38">
        <v>0.33333333333333331</v>
      </c>
      <c r="E11" s="38">
        <v>0.33333333333333331</v>
      </c>
      <c r="F11" s="127"/>
      <c r="G11" s="127"/>
      <c r="H11" s="123">
        <v>1</v>
      </c>
    </row>
    <row r="12" spans="1:10" ht="15" customHeight="1" x14ac:dyDescent="0.2">
      <c r="A12" s="125"/>
      <c r="B12" s="1208" t="s">
        <v>484</v>
      </c>
      <c r="C12" s="1209"/>
      <c r="D12" s="38"/>
      <c r="E12" s="38"/>
      <c r="F12" s="127"/>
      <c r="G12" s="127"/>
      <c r="H12" s="601">
        <v>-1</v>
      </c>
    </row>
    <row r="13" spans="1:10" ht="15" customHeight="1" x14ac:dyDescent="0.2">
      <c r="A13" s="125"/>
      <c r="B13" s="36">
        <v>45583</v>
      </c>
      <c r="C13" s="37">
        <v>45587</v>
      </c>
      <c r="D13" s="676">
        <v>0.33333333333333331</v>
      </c>
      <c r="E13" s="676">
        <v>0.33333333333333331</v>
      </c>
      <c r="F13" s="127"/>
      <c r="G13" s="127"/>
      <c r="H13" s="127">
        <v>4</v>
      </c>
    </row>
    <row r="14" spans="1:10" ht="15" customHeight="1" x14ac:dyDescent="0.2">
      <c r="A14" s="125"/>
      <c r="B14" s="36">
        <v>45647</v>
      </c>
      <c r="C14" s="37">
        <v>45647</v>
      </c>
      <c r="D14" s="676">
        <v>0.33333333333333331</v>
      </c>
      <c r="E14" s="676">
        <v>0.33333333333333331</v>
      </c>
      <c r="F14" s="127"/>
      <c r="G14" s="127"/>
      <c r="H14" s="127">
        <v>1</v>
      </c>
    </row>
    <row r="15" spans="1:10" ht="15" customHeight="1" x14ac:dyDescent="0.2">
      <c r="A15" s="125"/>
      <c r="B15" s="36">
        <v>45850</v>
      </c>
      <c r="C15" s="37">
        <v>45759</v>
      </c>
      <c r="D15" s="676">
        <v>0.33333333333333331</v>
      </c>
      <c r="E15" s="676">
        <v>0.33333333333333331</v>
      </c>
      <c r="F15" s="127"/>
      <c r="G15" s="127"/>
      <c r="H15" s="127">
        <v>1</v>
      </c>
    </row>
    <row r="16" spans="1:10" ht="15" customHeight="1" x14ac:dyDescent="0.2">
      <c r="A16" s="125"/>
      <c r="B16" s="36" t="s">
        <v>766</v>
      </c>
      <c r="C16" s="880" t="s">
        <v>766</v>
      </c>
      <c r="D16" s="676">
        <v>0.33333333333333331</v>
      </c>
      <c r="E16" s="676">
        <v>0.33333333333333331</v>
      </c>
      <c r="F16" s="127"/>
      <c r="G16" s="127"/>
      <c r="H16" s="127">
        <v>1</v>
      </c>
    </row>
    <row r="17" spans="1:8" ht="15" customHeight="1" x14ac:dyDescent="0.2">
      <c r="A17" s="125"/>
      <c r="B17" s="881" t="s">
        <v>776</v>
      </c>
      <c r="C17" s="881" t="s">
        <v>776</v>
      </c>
      <c r="D17" s="676">
        <v>0.33333333333333331</v>
      </c>
      <c r="E17" s="676">
        <v>0.33333333333333331</v>
      </c>
      <c r="F17" s="127"/>
      <c r="G17" s="127"/>
      <c r="H17" s="127">
        <v>1</v>
      </c>
    </row>
    <row r="18" spans="1:8" ht="15" customHeight="1" x14ac:dyDescent="0.2">
      <c r="A18" s="125"/>
      <c r="B18" s="36">
        <v>45801</v>
      </c>
      <c r="C18" s="37">
        <v>45801</v>
      </c>
      <c r="D18" s="38">
        <v>0.33333333333333331</v>
      </c>
      <c r="E18" s="38">
        <v>0.33333333333333331</v>
      </c>
      <c r="F18" s="127"/>
      <c r="G18" s="127"/>
      <c r="H18" s="127">
        <v>1</v>
      </c>
    </row>
    <row r="19" spans="1:8" ht="15" customHeight="1" x14ac:dyDescent="0.2">
      <c r="A19" s="125"/>
      <c r="B19" s="36">
        <v>45811</v>
      </c>
      <c r="C19" s="37">
        <v>45813</v>
      </c>
      <c r="D19" s="38"/>
      <c r="E19" s="38"/>
      <c r="F19" s="127"/>
      <c r="G19" s="127"/>
      <c r="H19" s="127">
        <v>2</v>
      </c>
    </row>
    <row r="20" spans="1:8" ht="15" customHeight="1" x14ac:dyDescent="0.2">
      <c r="A20" s="125"/>
      <c r="B20" s="36">
        <v>45850</v>
      </c>
      <c r="C20" s="37">
        <v>45853</v>
      </c>
      <c r="D20" s="38">
        <v>0.33333333333333331</v>
      </c>
      <c r="E20" s="38">
        <v>0.33333333333333331</v>
      </c>
      <c r="F20" s="127"/>
      <c r="G20" s="127"/>
      <c r="H20" s="127">
        <v>2</v>
      </c>
    </row>
    <row r="21" spans="1:8" ht="15" customHeight="1" x14ac:dyDescent="0.2">
      <c r="A21" s="125"/>
      <c r="B21" s="36">
        <v>45989</v>
      </c>
      <c r="C21" s="37">
        <v>45999</v>
      </c>
      <c r="D21" s="38"/>
      <c r="E21" s="38"/>
      <c r="F21" s="127"/>
      <c r="G21" s="127"/>
      <c r="H21" s="127">
        <v>8</v>
      </c>
    </row>
    <row r="22" spans="1:8" s="706" customFormat="1" ht="15" customHeight="1" x14ac:dyDescent="0.2">
      <c r="A22" s="707"/>
      <c r="B22" s="1087">
        <v>46174</v>
      </c>
      <c r="C22" s="675">
        <v>46175</v>
      </c>
      <c r="D22" s="676"/>
      <c r="E22" s="676"/>
      <c r="F22" s="709"/>
      <c r="G22" s="709"/>
      <c r="H22" s="709">
        <v>1</v>
      </c>
    </row>
    <row r="23" spans="1:8" ht="15" customHeight="1" x14ac:dyDescent="0.2">
      <c r="A23" s="125"/>
      <c r="B23" s="36"/>
      <c r="C23" s="37"/>
      <c r="D23" s="38"/>
      <c r="E23" s="38"/>
      <c r="F23" s="127"/>
      <c r="G23" s="127"/>
      <c r="H23" s="127"/>
    </row>
    <row r="24" spans="1:8" ht="15" customHeight="1" x14ac:dyDescent="0.2">
      <c r="F24" s="132" t="s">
        <v>123</v>
      </c>
      <c r="G24" s="132">
        <f>SUM(G7:G14)</f>
        <v>42</v>
      </c>
      <c r="H24" s="132">
        <f>SUM(H7:H22)</f>
        <v>36.5</v>
      </c>
    </row>
    <row r="25" spans="1:8" ht="15" customHeight="1" x14ac:dyDescent="0.2">
      <c r="F25" s="33"/>
      <c r="G25" s="133"/>
      <c r="H25" s="133"/>
    </row>
    <row r="26" spans="1:8" ht="15" customHeight="1" x14ac:dyDescent="0.2">
      <c r="F26" s="1169" t="s">
        <v>8</v>
      </c>
      <c r="G26" s="1170"/>
      <c r="H26" s="341">
        <f>G24-H24</f>
        <v>5.5</v>
      </c>
    </row>
  </sheetData>
  <mergeCells count="4">
    <mergeCell ref="F26:G26"/>
    <mergeCell ref="B12:C12"/>
    <mergeCell ref="C1:H5"/>
    <mergeCell ref="J1:J3"/>
  </mergeCells>
  <hyperlinks>
    <hyperlink ref="J1:J3" location="'ANA SAYFA'!A1" display="Ana Sayfa"/>
  </hyperlinks>
  <pageMargins left="0.49" right="0.12" top="0.3" bottom="0.75" header="0.3" footer="0.3"/>
  <pageSetup paperSize="9" orientation="landscape"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9"/>
  <sheetViews>
    <sheetView zoomScaleNormal="100" workbookViewId="0">
      <selection activeCell="J1" sqref="J1:J3"/>
    </sheetView>
  </sheetViews>
  <sheetFormatPr defaultColWidth="9.140625" defaultRowHeight="11.25" x14ac:dyDescent="0.2"/>
  <cols>
    <col min="1" max="1" width="18.5703125" style="120" bestFit="1" customWidth="1"/>
    <col min="2" max="2" width="26.42578125" style="120" bestFit="1" customWidth="1"/>
    <col min="3" max="3" width="26.7109375" style="120" bestFit="1" customWidth="1"/>
    <col min="4" max="4" width="9.28515625" style="120" bestFit="1" customWidth="1"/>
    <col min="5" max="5" width="8.85546875" style="120" bestFit="1" customWidth="1"/>
    <col min="6" max="6" width="18" style="120" bestFit="1" customWidth="1"/>
    <col min="7" max="7" width="11.42578125" style="120" bestFit="1" customWidth="1"/>
    <col min="8" max="8" width="12.5703125" style="120" customWidth="1"/>
    <col min="9" max="9" width="3.28515625" style="120" customWidth="1"/>
    <col min="10" max="10" width="11" style="120" customWidth="1"/>
    <col min="11" max="16384" width="9.140625" style="120"/>
  </cols>
  <sheetData>
    <row r="1" spans="1:11" ht="12.75" customHeight="1" x14ac:dyDescent="0.15">
      <c r="A1" s="29" t="s">
        <v>135</v>
      </c>
      <c r="B1" s="193" t="str">
        <f>'ANA SAYFA'!B76</f>
        <v>ÖMER AĞ</v>
      </c>
      <c r="C1" s="1166" t="s">
        <v>136</v>
      </c>
      <c r="D1" s="1166"/>
      <c r="E1" s="1166"/>
      <c r="F1" s="1166"/>
      <c r="G1" s="1166"/>
      <c r="H1" s="1166"/>
      <c r="I1" s="119"/>
      <c r="J1" s="1183" t="s">
        <v>712</v>
      </c>
    </row>
    <row r="2" spans="1:11" ht="12.75" customHeight="1" x14ac:dyDescent="0.15">
      <c r="A2" s="29" t="s">
        <v>137</v>
      </c>
      <c r="B2" s="186">
        <f>'ANA SAYFA'!D76</f>
        <v>14585930690</v>
      </c>
      <c r="C2" s="1166"/>
      <c r="D2" s="1166"/>
      <c r="E2" s="1166"/>
      <c r="F2" s="1166"/>
      <c r="G2" s="1166"/>
      <c r="H2" s="1166"/>
      <c r="I2" s="119"/>
      <c r="J2" s="1184"/>
    </row>
    <row r="3" spans="1:11" ht="12.75" customHeight="1" thickBot="1" x14ac:dyDescent="0.2">
      <c r="A3" s="29" t="s">
        <v>131</v>
      </c>
      <c r="B3" s="187" t="str">
        <f>'ANA SAYFA'!C76</f>
        <v>BEDEN İŞÇİSİ</v>
      </c>
      <c r="C3" s="1166"/>
      <c r="D3" s="1166"/>
      <c r="E3" s="1166"/>
      <c r="F3" s="1166"/>
      <c r="G3" s="1166"/>
      <c r="H3" s="1166"/>
      <c r="I3" s="119"/>
      <c r="J3" s="1185"/>
    </row>
    <row r="4" spans="1:11" ht="12.75" customHeight="1" x14ac:dyDescent="0.15">
      <c r="A4" s="29" t="s">
        <v>120</v>
      </c>
      <c r="B4" s="136">
        <f>'ANA SAYFA'!E76</f>
        <v>45957</v>
      </c>
      <c r="C4" s="1166"/>
      <c r="D4" s="1166"/>
      <c r="E4" s="1166"/>
      <c r="F4" s="1166"/>
      <c r="G4" s="1166"/>
      <c r="H4" s="1166"/>
      <c r="I4" s="119"/>
    </row>
    <row r="5" spans="1:11" ht="12.75" customHeight="1" x14ac:dyDescent="0.15">
      <c r="A5" s="29" t="s">
        <v>130</v>
      </c>
      <c r="B5" s="136">
        <f>'ANA SAYFA'!F76</f>
        <v>38155</v>
      </c>
      <c r="C5" s="1166"/>
      <c r="D5" s="1166"/>
      <c r="E5" s="1166"/>
      <c r="F5" s="1166"/>
      <c r="G5" s="1166"/>
      <c r="H5" s="1166"/>
      <c r="I5" s="119"/>
    </row>
    <row r="6" spans="1:11" ht="31.5" x14ac:dyDescent="0.2">
      <c r="A6" s="561" t="s">
        <v>0</v>
      </c>
      <c r="B6" s="624" t="s">
        <v>1</v>
      </c>
      <c r="C6" s="561" t="s">
        <v>2</v>
      </c>
      <c r="D6" s="625" t="s">
        <v>133</v>
      </c>
      <c r="E6" s="625" t="s">
        <v>4</v>
      </c>
      <c r="F6" s="625" t="s">
        <v>7</v>
      </c>
      <c r="G6" s="625" t="s">
        <v>6</v>
      </c>
      <c r="H6" s="625" t="s">
        <v>16</v>
      </c>
      <c r="I6" s="34"/>
    </row>
    <row r="7" spans="1:11" ht="15.75" customHeight="1" x14ac:dyDescent="0.2">
      <c r="A7" s="125"/>
      <c r="B7" s="560">
        <v>46034</v>
      </c>
      <c r="C7" s="37">
        <v>46039</v>
      </c>
      <c r="D7" s="38"/>
      <c r="E7" s="38"/>
      <c r="F7" s="602"/>
      <c r="G7" s="126"/>
      <c r="H7" s="487">
        <v>5</v>
      </c>
      <c r="I7" s="374"/>
      <c r="K7" s="914"/>
    </row>
    <row r="8" spans="1:11" ht="15.75" customHeight="1" x14ac:dyDescent="0.2">
      <c r="A8" s="125"/>
      <c r="B8" s="560"/>
      <c r="C8" s="37"/>
      <c r="D8" s="38"/>
      <c r="E8" s="38"/>
      <c r="F8" s="602"/>
      <c r="G8" s="126"/>
      <c r="H8" s="487"/>
      <c r="I8" s="374"/>
    </row>
    <row r="9" spans="1:11" ht="15.75" customHeight="1" x14ac:dyDescent="0.15">
      <c r="A9" s="125"/>
      <c r="B9" s="1019" t="s">
        <v>947</v>
      </c>
      <c r="C9" s="1020"/>
      <c r="D9" s="1021"/>
      <c r="E9" s="1021"/>
      <c r="F9" s="1016"/>
      <c r="G9" s="1017"/>
      <c r="H9" s="1018">
        <v>-5</v>
      </c>
      <c r="I9" s="374"/>
    </row>
    <row r="10" spans="1:11" ht="15.75" customHeight="1" x14ac:dyDescent="0.2">
      <c r="A10" s="125"/>
      <c r="B10" s="560">
        <v>46076</v>
      </c>
      <c r="C10" s="37">
        <v>46076</v>
      </c>
      <c r="D10" s="38">
        <v>0.33333333333333331</v>
      </c>
      <c r="E10" s="38">
        <v>0.58333333333333337</v>
      </c>
      <c r="F10" s="602"/>
      <c r="G10" s="126"/>
      <c r="H10" s="182">
        <v>0.5</v>
      </c>
      <c r="I10" s="374"/>
    </row>
    <row r="11" spans="1:11" ht="15.75" customHeight="1" x14ac:dyDescent="0.2">
      <c r="A11" s="125"/>
      <c r="B11" s="1053">
        <v>46097</v>
      </c>
      <c r="C11" s="1028">
        <v>46107</v>
      </c>
      <c r="D11" s="1054" t="s">
        <v>983</v>
      </c>
      <c r="E11" s="1029"/>
      <c r="F11" s="1055"/>
      <c r="G11" s="1038">
        <v>6</v>
      </c>
      <c r="H11" s="1038">
        <v>6</v>
      </c>
      <c r="I11" s="374"/>
    </row>
    <row r="12" spans="1:11" ht="15.75" customHeight="1" x14ac:dyDescent="0.2">
      <c r="A12" s="125"/>
      <c r="B12" s="560">
        <v>46148</v>
      </c>
      <c r="C12" s="37">
        <v>46151</v>
      </c>
      <c r="D12" s="38"/>
      <c r="E12" s="38"/>
      <c r="F12" s="626"/>
      <c r="G12" s="626"/>
      <c r="H12" s="487">
        <v>3</v>
      </c>
      <c r="I12" s="374"/>
    </row>
    <row r="13" spans="1:11" ht="15.75" customHeight="1" x14ac:dyDescent="0.2">
      <c r="A13" s="125"/>
      <c r="B13" s="560">
        <v>46167</v>
      </c>
      <c r="C13" s="37">
        <v>46179</v>
      </c>
      <c r="D13" s="38"/>
      <c r="E13" s="38"/>
      <c r="F13" s="626"/>
      <c r="G13" s="626"/>
      <c r="H13" s="182">
        <v>7</v>
      </c>
      <c r="I13" s="374"/>
    </row>
    <row r="14" spans="1:11" ht="15.75" customHeight="1" x14ac:dyDescent="0.2">
      <c r="A14" s="125"/>
      <c r="B14" s="560"/>
      <c r="C14" s="37"/>
      <c r="D14" s="38"/>
      <c r="E14" s="38"/>
      <c r="F14" s="626"/>
      <c r="G14" s="626"/>
      <c r="H14" s="182"/>
      <c r="I14" s="374"/>
    </row>
    <row r="15" spans="1:11" ht="15.75" customHeight="1" x14ac:dyDescent="0.2">
      <c r="A15" s="125"/>
      <c r="B15" s="560"/>
      <c r="C15" s="37"/>
      <c r="D15" s="38"/>
      <c r="E15" s="38"/>
      <c r="F15" s="626"/>
      <c r="G15" s="626"/>
      <c r="H15" s="132"/>
      <c r="I15" s="374"/>
    </row>
    <row r="16" spans="1:11" ht="15.75" customHeight="1" x14ac:dyDescent="0.2">
      <c r="A16" s="125"/>
      <c r="B16" s="560"/>
      <c r="C16" s="37"/>
      <c r="D16" s="38"/>
      <c r="E16" s="38"/>
      <c r="F16" s="626"/>
      <c r="G16" s="626"/>
      <c r="H16" s="132"/>
      <c r="I16" s="374"/>
    </row>
    <row r="17" spans="1:9" ht="15.75" customHeight="1" x14ac:dyDescent="0.2">
      <c r="A17" s="121"/>
      <c r="B17" s="560"/>
      <c r="C17" s="129"/>
      <c r="D17" s="38"/>
      <c r="E17" s="38"/>
      <c r="F17" s="198"/>
      <c r="G17" s="198"/>
      <c r="H17" s="123"/>
      <c r="I17" s="171"/>
    </row>
    <row r="18" spans="1:9" ht="15.75" customHeight="1" x14ac:dyDescent="0.2">
      <c r="A18" s="121"/>
      <c r="B18" s="560"/>
      <c r="C18" s="560"/>
      <c r="D18" s="38"/>
      <c r="E18" s="38"/>
      <c r="F18" s="38"/>
      <c r="G18" s="126"/>
      <c r="H18" s="200"/>
      <c r="I18" s="171"/>
    </row>
    <row r="19" spans="1:9" ht="15.75" customHeight="1" x14ac:dyDescent="0.2">
      <c r="A19" s="121"/>
      <c r="B19" s="560"/>
      <c r="C19" s="560"/>
      <c r="D19" s="38"/>
      <c r="E19" s="38"/>
      <c r="F19" s="38"/>
      <c r="G19" s="126"/>
      <c r="H19" s="200"/>
      <c r="I19" s="171"/>
    </row>
    <row r="20" spans="1:9" ht="15.75" customHeight="1" x14ac:dyDescent="0.2">
      <c r="A20" s="198"/>
      <c r="B20" s="37"/>
      <c r="C20" s="560"/>
      <c r="D20" s="38"/>
      <c r="E20" s="38"/>
      <c r="F20" s="38"/>
      <c r="G20" s="126"/>
      <c r="H20" s="182"/>
      <c r="I20" s="171"/>
    </row>
    <row r="21" spans="1:9" ht="15.75" customHeight="1" x14ac:dyDescent="0.2">
      <c r="A21" s="121"/>
      <c r="B21" s="560"/>
      <c r="C21" s="37"/>
      <c r="D21" s="38"/>
      <c r="E21" s="38"/>
      <c r="F21" s="198"/>
      <c r="G21" s="198"/>
      <c r="H21" s="200"/>
      <c r="I21" s="171"/>
    </row>
    <row r="22" spans="1:9" ht="15.75" customHeight="1" x14ac:dyDescent="0.2">
      <c r="A22" s="128"/>
      <c r="B22" s="560"/>
      <c r="C22" s="37"/>
      <c r="D22" s="38"/>
      <c r="E22" s="38"/>
      <c r="F22" s="38"/>
      <c r="G22" s="126"/>
      <c r="H22" s="200"/>
      <c r="I22" s="171"/>
    </row>
    <row r="23" spans="1:9" ht="15.75" customHeight="1" x14ac:dyDescent="0.2">
      <c r="A23" s="128"/>
      <c r="B23" s="560"/>
      <c r="C23" s="129"/>
      <c r="D23" s="38"/>
      <c r="E23" s="38"/>
      <c r="F23" s="38"/>
      <c r="G23" s="127"/>
      <c r="H23" s="199"/>
      <c r="I23" s="171"/>
    </row>
    <row r="24" spans="1:9" ht="15.75" customHeight="1" x14ac:dyDescent="0.2">
      <c r="A24" s="128"/>
      <c r="B24" s="172"/>
      <c r="C24" s="173"/>
      <c r="D24" s="38"/>
      <c r="E24" s="38"/>
      <c r="F24" s="38"/>
      <c r="G24" s="127"/>
      <c r="H24" s="200"/>
      <c r="I24" s="171"/>
    </row>
    <row r="25" spans="1:9" ht="14.25" customHeight="1" x14ac:dyDescent="0.2">
      <c r="A25" s="128"/>
      <c r="B25" s="560"/>
      <c r="C25" s="37"/>
      <c r="D25" s="38"/>
      <c r="E25" s="38"/>
      <c r="F25" s="38"/>
      <c r="G25" s="127"/>
      <c r="H25" s="138"/>
    </row>
    <row r="26" spans="1:9" ht="14.25" customHeight="1" x14ac:dyDescent="0.2">
      <c r="A26" s="128"/>
      <c r="B26" s="560"/>
      <c r="C26" s="37"/>
      <c r="D26" s="38"/>
      <c r="E26" s="38"/>
      <c r="F26" s="38"/>
      <c r="G26" s="127"/>
      <c r="H26" s="138"/>
    </row>
    <row r="27" spans="1:9" ht="14.25" customHeight="1" x14ac:dyDescent="0.2">
      <c r="A27" s="128"/>
      <c r="B27" s="560"/>
      <c r="C27" s="37"/>
      <c r="D27" s="38"/>
      <c r="E27" s="38"/>
      <c r="F27" s="38"/>
      <c r="G27" s="127"/>
      <c r="H27" s="138"/>
    </row>
    <row r="28" spans="1:9" ht="14.25" customHeight="1" x14ac:dyDescent="0.2">
      <c r="A28" s="128"/>
      <c r="B28" s="560"/>
      <c r="C28" s="37"/>
      <c r="D28" s="38"/>
      <c r="E28" s="38"/>
      <c r="F28" s="38"/>
      <c r="G28" s="127"/>
      <c r="H28" s="138"/>
    </row>
    <row r="29" spans="1:9" ht="14.25" customHeight="1" x14ac:dyDescent="0.2">
      <c r="A29" s="128"/>
      <c r="B29" s="560"/>
      <c r="C29" s="37"/>
      <c r="D29" s="38"/>
      <c r="E29" s="38"/>
      <c r="F29" s="38"/>
      <c r="G29" s="127"/>
      <c r="H29" s="138"/>
    </row>
    <row r="30" spans="1:9" ht="14.25" customHeight="1" x14ac:dyDescent="0.2">
      <c r="A30" s="128"/>
      <c r="B30" s="560"/>
      <c r="C30" s="37"/>
      <c r="D30" s="38"/>
      <c r="E30" s="38"/>
      <c r="F30" s="176"/>
      <c r="G30" s="127"/>
      <c r="H30" s="127"/>
    </row>
    <row r="31" spans="1:9" ht="14.25" customHeight="1" x14ac:dyDescent="0.2">
      <c r="A31" s="128"/>
      <c r="B31" s="560"/>
      <c r="C31" s="37"/>
      <c r="D31" s="38"/>
      <c r="E31" s="38"/>
      <c r="F31" s="176"/>
      <c r="G31" s="127"/>
      <c r="H31" s="127"/>
    </row>
    <row r="32" spans="1:9" ht="14.25" customHeight="1" x14ac:dyDescent="0.2">
      <c r="A32" s="128"/>
      <c r="B32" s="560"/>
      <c r="C32" s="37"/>
      <c r="D32" s="38"/>
      <c r="E32" s="38"/>
      <c r="F32" s="176"/>
      <c r="G32" s="127"/>
      <c r="H32" s="127"/>
    </row>
    <row r="33" spans="1:8" ht="14.25" customHeight="1" x14ac:dyDescent="0.2">
      <c r="A33" s="128"/>
      <c r="B33" s="560"/>
      <c r="C33" s="37"/>
      <c r="D33" s="38"/>
      <c r="E33" s="38"/>
      <c r="F33" s="176"/>
      <c r="G33" s="127"/>
      <c r="H33" s="138"/>
    </row>
    <row r="34" spans="1:8" ht="14.25" customHeight="1" x14ac:dyDescent="0.2">
      <c r="A34" s="125"/>
      <c r="B34" s="560"/>
      <c r="C34" s="37"/>
      <c r="D34" s="38"/>
      <c r="E34" s="38"/>
      <c r="F34" s="176"/>
      <c r="G34" s="127"/>
      <c r="H34" s="138"/>
    </row>
    <row r="35" spans="1:8" ht="14.25" customHeight="1" x14ac:dyDescent="0.2">
      <c r="A35" s="125"/>
      <c r="B35" s="560"/>
      <c r="C35" s="37"/>
      <c r="D35" s="38"/>
      <c r="E35" s="38"/>
      <c r="F35" s="176"/>
      <c r="G35" s="127"/>
      <c r="H35" s="127"/>
    </row>
    <row r="36" spans="1:8" ht="14.25" customHeight="1" x14ac:dyDescent="0.2">
      <c r="A36" s="125"/>
      <c r="B36" s="560"/>
      <c r="C36" s="37"/>
      <c r="D36" s="38"/>
      <c r="E36" s="38"/>
      <c r="F36" s="176"/>
      <c r="G36" s="127"/>
      <c r="H36" s="127"/>
    </row>
    <row r="37" spans="1:8" ht="14.25" customHeight="1" x14ac:dyDescent="0.2">
      <c r="F37" s="132" t="s">
        <v>123</v>
      </c>
      <c r="G37" s="182">
        <f>SUM(G5:G36)</f>
        <v>6</v>
      </c>
      <c r="H37" s="182">
        <f>SUM(H7:H36)</f>
        <v>16.5</v>
      </c>
    </row>
    <row r="38" spans="1:8" ht="14.25" customHeight="1" x14ac:dyDescent="0.2">
      <c r="F38" s="33"/>
      <c r="G38" s="133"/>
      <c r="H38" s="133"/>
    </row>
    <row r="39" spans="1:8" ht="14.25" customHeight="1" x14ac:dyDescent="0.2">
      <c r="F39" s="1169" t="s">
        <v>8</v>
      </c>
      <c r="G39" s="1170"/>
      <c r="H39" s="134">
        <f>G37-H37</f>
        <v>-10.5</v>
      </c>
    </row>
  </sheetData>
  <mergeCells count="3">
    <mergeCell ref="F39:G39"/>
    <mergeCell ref="C1:H5"/>
    <mergeCell ref="J1:J3"/>
  </mergeCells>
  <hyperlinks>
    <hyperlink ref="J1:J3" location="'ANA SAYFA'!A1" display="ANA SAYFA"/>
  </hyperlinks>
  <pageMargins left="0.42" right="0.12" top="0.32" bottom="0.75" header="0.3" footer="0.3"/>
  <pageSetup paperSize="9" scale="75" orientation="portrait" r:id="rId1"/>
  <colBreaks count="1" manualBreakCount="1">
    <brk id="8" max="1048575" man="1"/>
  </colBreak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
  <sheetViews>
    <sheetView zoomScaleNormal="100" workbookViewId="0">
      <selection activeCell="J1" sqref="J1:J3"/>
    </sheetView>
  </sheetViews>
  <sheetFormatPr defaultColWidth="9.140625" defaultRowHeight="11.25" x14ac:dyDescent="0.2"/>
  <cols>
    <col min="1" max="1" width="18.5703125" style="120" bestFit="1" customWidth="1"/>
    <col min="2" max="3" width="27.140625" style="120" bestFit="1" customWidth="1"/>
    <col min="4" max="5" width="9.42578125" style="120" bestFit="1" customWidth="1"/>
    <col min="6" max="6" width="20.7109375" style="120" bestFit="1" customWidth="1"/>
    <col min="7" max="7" width="14.85546875" style="120" customWidth="1"/>
    <col min="8" max="8" width="14.85546875" style="501" customWidth="1"/>
    <col min="9" max="9" width="3.5703125" style="120" customWidth="1"/>
    <col min="10" max="10" width="10.28515625" style="120" customWidth="1"/>
    <col min="11" max="16384" width="9.140625" style="120"/>
  </cols>
  <sheetData>
    <row r="1" spans="1:11" ht="12.75" customHeight="1" x14ac:dyDescent="0.2">
      <c r="A1" s="322" t="s">
        <v>135</v>
      </c>
      <c r="B1" s="326" t="str">
        <f>'ANA SAYFA'!B77</f>
        <v>SAKIP KARACA</v>
      </c>
      <c r="C1" s="1166" t="s">
        <v>136</v>
      </c>
      <c r="D1" s="1166"/>
      <c r="E1" s="1166"/>
      <c r="F1" s="1166"/>
      <c r="G1" s="1166"/>
      <c r="H1" s="1166"/>
      <c r="I1" s="119"/>
      <c r="J1" s="1183" t="s">
        <v>712</v>
      </c>
      <c r="K1" s="33"/>
    </row>
    <row r="2" spans="1:11" ht="12.75" customHeight="1" x14ac:dyDescent="0.2">
      <c r="A2" s="322" t="s">
        <v>137</v>
      </c>
      <c r="B2" s="217">
        <f>'ANA SAYFA'!D77</f>
        <v>27400650734</v>
      </c>
      <c r="C2" s="1166"/>
      <c r="D2" s="1166"/>
      <c r="E2" s="1166"/>
      <c r="F2" s="1166"/>
      <c r="G2" s="1166"/>
      <c r="H2" s="1166"/>
      <c r="I2" s="119"/>
      <c r="J2" s="1184"/>
      <c r="K2" s="33"/>
    </row>
    <row r="3" spans="1:11" ht="12.75" customHeight="1" thickBot="1" x14ac:dyDescent="0.25">
      <c r="A3" s="322" t="s">
        <v>131</v>
      </c>
      <c r="B3" s="216" t="str">
        <f>'ANA SAYFA'!C77</f>
        <v>EKSKAVATÖR OPERATÖR</v>
      </c>
      <c r="C3" s="1166"/>
      <c r="D3" s="1166"/>
      <c r="E3" s="1166"/>
      <c r="F3" s="1166"/>
      <c r="G3" s="1166"/>
      <c r="H3" s="1166"/>
      <c r="I3" s="119"/>
      <c r="J3" s="1185"/>
      <c r="K3" s="33"/>
    </row>
    <row r="4" spans="1:11" ht="12.75" customHeight="1" x14ac:dyDescent="0.2">
      <c r="A4" s="322" t="s">
        <v>120</v>
      </c>
      <c r="B4" s="218">
        <f>'ANA SAYFA'!E77</f>
        <v>44657</v>
      </c>
      <c r="C4" s="1166"/>
      <c r="D4" s="1166"/>
      <c r="E4" s="1166"/>
      <c r="F4" s="1166"/>
      <c r="G4" s="1166"/>
      <c r="H4" s="1166"/>
      <c r="I4" s="119"/>
      <c r="J4" s="33"/>
      <c r="K4" s="33"/>
    </row>
    <row r="5" spans="1:11" ht="12.75" customHeight="1" x14ac:dyDescent="0.2">
      <c r="A5" s="322" t="s">
        <v>130</v>
      </c>
      <c r="B5" s="218">
        <f>'ANA SAYFA'!F77</f>
        <v>31726</v>
      </c>
      <c r="C5" s="1166"/>
      <c r="D5" s="1166"/>
      <c r="E5" s="1166"/>
      <c r="F5" s="1166"/>
      <c r="G5" s="1166"/>
      <c r="H5" s="1166"/>
      <c r="I5" s="119"/>
      <c r="J5" s="706"/>
      <c r="K5" s="706"/>
    </row>
    <row r="6" spans="1:11" ht="31.5" x14ac:dyDescent="0.2">
      <c r="A6" s="69" t="s">
        <v>0</v>
      </c>
      <c r="B6" s="70" t="s">
        <v>1</v>
      </c>
      <c r="C6" s="69" t="s">
        <v>2</v>
      </c>
      <c r="D6" s="71" t="s">
        <v>133</v>
      </c>
      <c r="E6" s="71" t="s">
        <v>4</v>
      </c>
      <c r="F6" s="71" t="s">
        <v>7</v>
      </c>
      <c r="G6" s="71" t="s">
        <v>6</v>
      </c>
      <c r="H6" s="493" t="s">
        <v>16</v>
      </c>
      <c r="I6" s="34"/>
      <c r="J6" s="706"/>
      <c r="K6" s="706"/>
    </row>
    <row r="7" spans="1:11" ht="14.25" customHeight="1" x14ac:dyDescent="0.2">
      <c r="A7" s="69"/>
      <c r="B7" s="372">
        <v>44735</v>
      </c>
      <c r="C7" s="372">
        <v>44735</v>
      </c>
      <c r="D7" s="168">
        <v>0.33333333333333331</v>
      </c>
      <c r="E7" s="168">
        <v>0.75</v>
      </c>
      <c r="F7" s="736" t="s">
        <v>756</v>
      </c>
      <c r="G7" s="328">
        <v>14</v>
      </c>
      <c r="H7" s="494">
        <v>1</v>
      </c>
      <c r="I7" s="34"/>
      <c r="J7" s="370"/>
      <c r="K7" s="370"/>
    </row>
    <row r="8" spans="1:11" ht="14.25" customHeight="1" x14ac:dyDescent="0.2">
      <c r="A8" s="69"/>
      <c r="B8" s="372">
        <v>44834</v>
      </c>
      <c r="C8" s="373">
        <v>44835</v>
      </c>
      <c r="D8" s="168">
        <v>0.33333333333333331</v>
      </c>
      <c r="E8" s="168">
        <v>0.75</v>
      </c>
      <c r="F8" s="736" t="s">
        <v>757</v>
      </c>
      <c r="G8" s="867">
        <v>14</v>
      </c>
      <c r="H8" s="494">
        <v>1</v>
      </c>
      <c r="I8" s="34"/>
      <c r="J8" s="370"/>
      <c r="K8" s="370"/>
    </row>
    <row r="9" spans="1:11" ht="14.25" customHeight="1" x14ac:dyDescent="0.2">
      <c r="A9" s="121"/>
      <c r="B9" s="155">
        <v>45169</v>
      </c>
      <c r="C9" s="327">
        <v>45169</v>
      </c>
      <c r="D9" s="168">
        <v>0.33333333333333331</v>
      </c>
      <c r="E9" s="168">
        <v>0.5</v>
      </c>
      <c r="F9" s="736" t="s">
        <v>758</v>
      </c>
      <c r="G9" s="867">
        <v>14</v>
      </c>
      <c r="H9" s="495">
        <v>0.5</v>
      </c>
      <c r="I9" s="171"/>
      <c r="J9" s="33"/>
      <c r="K9" s="33"/>
    </row>
    <row r="10" spans="1:11" ht="14.25" customHeight="1" x14ac:dyDescent="0.2">
      <c r="A10" s="121"/>
      <c r="B10" s="516">
        <v>45474</v>
      </c>
      <c r="C10" s="37">
        <v>45482</v>
      </c>
      <c r="D10" s="38">
        <v>0.33333333333333331</v>
      </c>
      <c r="E10" s="38">
        <v>0.33333333333333331</v>
      </c>
      <c r="F10" s="868" t="s">
        <v>1049</v>
      </c>
      <c r="G10" s="708">
        <v>14</v>
      </c>
      <c r="H10" s="496">
        <v>7</v>
      </c>
      <c r="I10" s="171"/>
      <c r="J10" s="33"/>
      <c r="K10" s="33"/>
    </row>
    <row r="11" spans="1:11" ht="14.25" customHeight="1" x14ac:dyDescent="0.2">
      <c r="A11" s="128"/>
      <c r="B11" s="36">
        <v>45548</v>
      </c>
      <c r="C11" s="37">
        <v>45551</v>
      </c>
      <c r="D11" s="676">
        <v>0.33333333333333331</v>
      </c>
      <c r="E11" s="676">
        <v>0.33333333333333331</v>
      </c>
      <c r="F11" s="868"/>
      <c r="G11" s="708"/>
      <c r="H11" s="496">
        <v>3</v>
      </c>
      <c r="I11" s="171"/>
      <c r="J11" s="33"/>
      <c r="K11" s="33"/>
    </row>
    <row r="12" spans="1:11" ht="14.25" customHeight="1" x14ac:dyDescent="0.2">
      <c r="A12" s="128"/>
      <c r="B12" s="36">
        <v>45882</v>
      </c>
      <c r="C12" s="129">
        <v>45890</v>
      </c>
      <c r="D12" s="38">
        <v>0.33333333333333331</v>
      </c>
      <c r="E12" s="38">
        <v>0.33333333333333331</v>
      </c>
      <c r="F12" s="868"/>
      <c r="G12" s="123"/>
      <c r="H12" s="497">
        <v>7</v>
      </c>
      <c r="I12" s="171"/>
      <c r="J12" s="33"/>
      <c r="K12" s="33"/>
    </row>
    <row r="13" spans="1:11" ht="14.25" customHeight="1" x14ac:dyDescent="0.2">
      <c r="A13" s="128"/>
      <c r="B13" s="172"/>
      <c r="C13" s="173"/>
      <c r="D13" s="38"/>
      <c r="E13" s="38"/>
      <c r="F13" s="868"/>
      <c r="G13" s="123"/>
      <c r="H13" s="496"/>
      <c r="I13" s="171"/>
      <c r="J13" s="33"/>
      <c r="K13" s="33"/>
    </row>
    <row r="14" spans="1:11" ht="14.25" customHeight="1" x14ac:dyDescent="0.2">
      <c r="A14" s="128"/>
      <c r="B14" s="36"/>
      <c r="C14" s="37"/>
      <c r="D14" s="38"/>
      <c r="E14" s="38"/>
      <c r="F14" s="868"/>
      <c r="G14" s="123"/>
      <c r="H14" s="498"/>
    </row>
    <row r="15" spans="1:11" ht="14.25" customHeight="1" x14ac:dyDescent="0.2">
      <c r="A15" s="128"/>
      <c r="B15" s="36"/>
      <c r="C15" s="37"/>
      <c r="D15" s="38"/>
      <c r="E15" s="38"/>
      <c r="F15" s="868"/>
      <c r="G15" s="123"/>
      <c r="H15" s="498"/>
    </row>
    <row r="16" spans="1:11" ht="14.25" customHeight="1" x14ac:dyDescent="0.2">
      <c r="A16" s="128"/>
      <c r="B16" s="36"/>
      <c r="C16" s="37"/>
      <c r="D16" s="38"/>
      <c r="E16" s="38"/>
      <c r="F16" s="868"/>
      <c r="G16" s="123"/>
      <c r="H16" s="498"/>
    </row>
    <row r="17" spans="1:8" ht="14.25" customHeight="1" x14ac:dyDescent="0.2">
      <c r="A17" s="128"/>
      <c r="B17" s="36"/>
      <c r="C17" s="37"/>
      <c r="D17" s="38"/>
      <c r="E17" s="38"/>
      <c r="F17" s="868"/>
      <c r="G17" s="123"/>
      <c r="H17" s="498"/>
    </row>
    <row r="18" spans="1:8" ht="14.25" customHeight="1" x14ac:dyDescent="0.2">
      <c r="A18" s="128"/>
      <c r="B18" s="36"/>
      <c r="C18" s="37"/>
      <c r="D18" s="38"/>
      <c r="E18" s="38"/>
      <c r="F18" s="868"/>
      <c r="G18" s="123"/>
      <c r="H18" s="498"/>
    </row>
    <row r="19" spans="1:8" ht="14.25" customHeight="1" x14ac:dyDescent="0.2">
      <c r="A19" s="128"/>
      <c r="B19" s="36"/>
      <c r="C19" s="37"/>
      <c r="D19" s="38"/>
      <c r="E19" s="38"/>
      <c r="F19" s="123"/>
      <c r="G19" s="123"/>
      <c r="H19" s="498"/>
    </row>
    <row r="20" spans="1:8" ht="14.25" customHeight="1" x14ac:dyDescent="0.2">
      <c r="A20" s="128"/>
      <c r="B20" s="36"/>
      <c r="C20" s="37"/>
      <c r="D20" s="38"/>
      <c r="E20" s="38"/>
      <c r="F20" s="123"/>
      <c r="G20" s="123"/>
      <c r="H20" s="498"/>
    </row>
    <row r="21" spans="1:8" ht="14.25" customHeight="1" x14ac:dyDescent="0.2">
      <c r="A21" s="128"/>
      <c r="B21" s="36"/>
      <c r="C21" s="37"/>
      <c r="D21" s="38"/>
      <c r="E21" s="38"/>
      <c r="F21" s="123"/>
      <c r="G21" s="123"/>
      <c r="H21" s="498"/>
    </row>
    <row r="22" spans="1:8" ht="14.25" customHeight="1" x14ac:dyDescent="0.2">
      <c r="A22" s="128"/>
      <c r="B22" s="36"/>
      <c r="C22" s="37"/>
      <c r="D22" s="38"/>
      <c r="E22" s="38"/>
      <c r="F22" s="123"/>
      <c r="G22" s="123"/>
      <c r="H22" s="498"/>
    </row>
    <row r="23" spans="1:8" ht="14.25" customHeight="1" x14ac:dyDescent="0.2">
      <c r="A23" s="125"/>
      <c r="B23" s="36"/>
      <c r="C23" s="37"/>
      <c r="D23" s="38"/>
      <c r="E23" s="38"/>
      <c r="F23" s="123"/>
      <c r="G23" s="123"/>
      <c r="H23" s="498"/>
    </row>
    <row r="24" spans="1:8" ht="14.25" customHeight="1" x14ac:dyDescent="0.2">
      <c r="A24" s="125"/>
      <c r="B24" s="36"/>
      <c r="C24" s="37"/>
      <c r="D24" s="38"/>
      <c r="E24" s="38"/>
      <c r="F24" s="123"/>
      <c r="G24" s="123"/>
      <c r="H24" s="498"/>
    </row>
    <row r="25" spans="1:8" ht="14.25" customHeight="1" x14ac:dyDescent="0.2">
      <c r="A25" s="125"/>
      <c r="B25" s="36"/>
      <c r="C25" s="37"/>
      <c r="D25" s="38"/>
      <c r="E25" s="38"/>
      <c r="F25" s="123"/>
      <c r="G25" s="123"/>
      <c r="H25" s="498"/>
    </row>
    <row r="26" spans="1:8" ht="14.25" customHeight="1" x14ac:dyDescent="0.2">
      <c r="A26" s="125"/>
      <c r="B26" s="36"/>
      <c r="C26" s="37"/>
      <c r="D26" s="38"/>
      <c r="E26" s="38"/>
      <c r="F26" s="123"/>
      <c r="G26" s="123"/>
      <c r="H26" s="498"/>
    </row>
    <row r="27" spans="1:8" ht="14.25" customHeight="1" x14ac:dyDescent="0.2">
      <c r="A27" s="125"/>
      <c r="B27" s="36"/>
      <c r="C27" s="37"/>
      <c r="D27" s="38"/>
      <c r="E27" s="38"/>
      <c r="F27" s="123"/>
      <c r="G27" s="123"/>
      <c r="H27" s="498"/>
    </row>
    <row r="28" spans="1:8" ht="14.25" customHeight="1" x14ac:dyDescent="0.2">
      <c r="A28" s="125"/>
      <c r="B28" s="36"/>
      <c r="C28" s="37"/>
      <c r="D28" s="38"/>
      <c r="E28" s="38"/>
      <c r="F28" s="123"/>
      <c r="G28" s="123"/>
      <c r="H28" s="498"/>
    </row>
    <row r="29" spans="1:8" ht="14.25" customHeight="1" x14ac:dyDescent="0.2">
      <c r="A29" s="125"/>
      <c r="B29" s="36"/>
      <c r="C29" s="37"/>
      <c r="D29" s="38"/>
      <c r="E29" s="38"/>
      <c r="F29" s="123"/>
      <c r="G29" s="123"/>
      <c r="H29" s="498"/>
    </row>
    <row r="30" spans="1:8" ht="14.25" customHeight="1" x14ac:dyDescent="0.2">
      <c r="A30" s="125"/>
      <c r="B30" s="36"/>
      <c r="C30" s="37"/>
      <c r="D30" s="38"/>
      <c r="E30" s="38"/>
      <c r="F30" s="123"/>
      <c r="G30" s="123"/>
      <c r="H30" s="498"/>
    </row>
    <row r="31" spans="1:8" ht="14.25" customHeight="1" x14ac:dyDescent="0.2">
      <c r="A31" s="125"/>
      <c r="B31" s="36"/>
      <c r="C31" s="37"/>
      <c r="D31" s="38"/>
      <c r="E31" s="38"/>
      <c r="F31" s="123"/>
      <c r="G31" s="123"/>
      <c r="H31" s="498"/>
    </row>
    <row r="32" spans="1:8" ht="14.25" customHeight="1" x14ac:dyDescent="0.2">
      <c r="A32" s="125"/>
      <c r="B32" s="36"/>
      <c r="C32" s="37"/>
      <c r="D32" s="38"/>
      <c r="E32" s="38"/>
      <c r="F32" s="123"/>
      <c r="G32" s="123"/>
      <c r="H32" s="498"/>
    </row>
    <row r="33" spans="1:8" ht="14.25" customHeight="1" x14ac:dyDescent="0.2">
      <c r="A33" s="125"/>
      <c r="B33" s="36"/>
      <c r="C33" s="37"/>
      <c r="D33" s="38"/>
      <c r="E33" s="38"/>
      <c r="F33" s="123"/>
      <c r="G33" s="123"/>
      <c r="H33" s="498"/>
    </row>
    <row r="34" spans="1:8" ht="14.25" customHeight="1" x14ac:dyDescent="0.2">
      <c r="A34" s="125"/>
      <c r="B34" s="36"/>
      <c r="C34" s="37"/>
      <c r="D34" s="38"/>
      <c r="E34" s="38"/>
      <c r="F34" s="123"/>
      <c r="G34" s="123"/>
      <c r="H34" s="498"/>
    </row>
    <row r="35" spans="1:8" ht="14.25" customHeight="1" x14ac:dyDescent="0.2">
      <c r="A35" s="125"/>
      <c r="B35" s="36"/>
      <c r="C35" s="37"/>
      <c r="D35" s="38"/>
      <c r="E35" s="38"/>
      <c r="F35" s="127"/>
      <c r="G35" s="127"/>
      <c r="H35" s="498"/>
    </row>
    <row r="36" spans="1:8" ht="14.25" customHeight="1" x14ac:dyDescent="0.2">
      <c r="F36" s="132" t="s">
        <v>123</v>
      </c>
      <c r="G36" s="182">
        <f>SUM(G7:G35)</f>
        <v>56</v>
      </c>
      <c r="H36" s="499">
        <f>SUM(H7:H35)</f>
        <v>19.5</v>
      </c>
    </row>
    <row r="37" spans="1:8" ht="14.25" customHeight="1" x14ac:dyDescent="0.2">
      <c r="F37" s="33"/>
      <c r="G37" s="133"/>
      <c r="H37" s="500"/>
    </row>
    <row r="38" spans="1:8" ht="14.25" customHeight="1" x14ac:dyDescent="0.2">
      <c r="F38" s="1169" t="s">
        <v>8</v>
      </c>
      <c r="G38" s="1170"/>
      <c r="H38" s="497">
        <f>G36-H36</f>
        <v>36.5</v>
      </c>
    </row>
  </sheetData>
  <mergeCells count="3">
    <mergeCell ref="F38:G38"/>
    <mergeCell ref="J1:J3"/>
    <mergeCell ref="C1:H5"/>
  </mergeCells>
  <hyperlinks>
    <hyperlink ref="J1:J3" location="'ANA SAYFA'!A1" display="ANA SAYFA"/>
  </hyperlinks>
  <pageMargins left="0.7" right="0.12" top="0.19" bottom="0.75" header="0.22" footer="0.3"/>
  <pageSetup paperSize="9" scale="67" orientation="portrait" r:id="rId1"/>
  <colBreaks count="1" manualBreakCount="1">
    <brk id="8" max="1048575" man="1"/>
  </colBreak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zoomScaleNormal="100" workbookViewId="0">
      <selection activeCell="J1" sqref="J1:J3"/>
    </sheetView>
  </sheetViews>
  <sheetFormatPr defaultColWidth="9.140625" defaultRowHeight="12.75" x14ac:dyDescent="0.2"/>
  <cols>
    <col min="1" max="1" width="18.5703125" style="82" bestFit="1" customWidth="1"/>
    <col min="2" max="3" width="27.5703125" style="82" bestFit="1" customWidth="1"/>
    <col min="4" max="4" width="6.85546875" style="82" bestFit="1" customWidth="1"/>
    <col min="5" max="5" width="9.28515625" style="82" bestFit="1" customWidth="1"/>
    <col min="6" max="6" width="20.85546875" style="82" bestFit="1" customWidth="1"/>
    <col min="7" max="7" width="14.28515625" style="82" bestFit="1" customWidth="1"/>
    <col min="8" max="8" width="12.5703125" style="82" bestFit="1" customWidth="1"/>
    <col min="9" max="9" width="3.7109375" style="82" customWidth="1"/>
    <col min="10" max="10" width="10.7109375" style="82" customWidth="1"/>
    <col min="11" max="16384" width="9.140625" style="82"/>
  </cols>
  <sheetData>
    <row r="1" spans="1:11" ht="14.25" customHeight="1" x14ac:dyDescent="0.2">
      <c r="A1" s="29" t="s">
        <v>135</v>
      </c>
      <c r="B1" s="188" t="str">
        <f>'ANA SAYFA'!B78</f>
        <v>DURSUN KURT</v>
      </c>
      <c r="C1" s="1166" t="s">
        <v>136</v>
      </c>
      <c r="D1" s="1166"/>
      <c r="E1" s="1166"/>
      <c r="F1" s="1166"/>
      <c r="G1" s="1166"/>
      <c r="H1" s="1166"/>
      <c r="I1" s="28"/>
      <c r="J1" s="1183" t="s">
        <v>712</v>
      </c>
      <c r="K1" s="30"/>
    </row>
    <row r="2" spans="1:11" ht="14.25" customHeight="1" x14ac:dyDescent="0.2">
      <c r="A2" s="29" t="s">
        <v>137</v>
      </c>
      <c r="B2" s="154">
        <f>'ANA SAYFA'!D78</f>
        <v>10089056942</v>
      </c>
      <c r="C2" s="1166"/>
      <c r="D2" s="1166"/>
      <c r="E2" s="1166"/>
      <c r="F2" s="1166"/>
      <c r="G2" s="1166"/>
      <c r="H2" s="1166"/>
      <c r="I2" s="28"/>
      <c r="J2" s="1184"/>
      <c r="K2" s="30"/>
    </row>
    <row r="3" spans="1:11" ht="14.25" customHeight="1" thickBot="1" x14ac:dyDescent="0.25">
      <c r="A3" s="29" t="s">
        <v>131</v>
      </c>
      <c r="B3" s="153" t="str">
        <f>'ANA SAYFA'!C78</f>
        <v>SAHA FORMENİ</v>
      </c>
      <c r="C3" s="1166"/>
      <c r="D3" s="1166"/>
      <c r="E3" s="1166"/>
      <c r="F3" s="1166"/>
      <c r="G3" s="1166"/>
      <c r="H3" s="1166"/>
      <c r="I3" s="28"/>
      <c r="J3" s="1185"/>
      <c r="K3" s="30"/>
    </row>
    <row r="4" spans="1:11" ht="14.25" customHeight="1" x14ac:dyDescent="0.2">
      <c r="A4" s="29" t="s">
        <v>120</v>
      </c>
      <c r="B4" s="83">
        <f>'ANA SAYFA'!E78</f>
        <v>35796</v>
      </c>
      <c r="C4" s="1166"/>
      <c r="D4" s="1166"/>
      <c r="E4" s="1166"/>
      <c r="F4" s="1166"/>
      <c r="G4" s="1166"/>
      <c r="H4" s="1166"/>
      <c r="I4" s="28"/>
      <c r="J4" s="30"/>
      <c r="K4" s="30"/>
    </row>
    <row r="5" spans="1:11" ht="14.25" customHeight="1" x14ac:dyDescent="0.2">
      <c r="A5" s="29" t="s">
        <v>130</v>
      </c>
      <c r="B5" s="83">
        <f>'ANA SAYFA'!F78</f>
        <v>27093</v>
      </c>
      <c r="C5" s="1166"/>
      <c r="D5" s="1166"/>
      <c r="E5" s="1166"/>
      <c r="F5" s="1166"/>
      <c r="G5" s="1166"/>
      <c r="H5" s="1166"/>
      <c r="I5" s="28"/>
      <c r="J5" s="699"/>
      <c r="K5" s="699"/>
    </row>
    <row r="6" spans="1:11" ht="31.5" x14ac:dyDescent="0.2">
      <c r="A6" s="69" t="s">
        <v>0</v>
      </c>
      <c r="B6" s="70" t="s">
        <v>1</v>
      </c>
      <c r="C6" s="69" t="s">
        <v>2</v>
      </c>
      <c r="D6" s="71" t="s">
        <v>133</v>
      </c>
      <c r="E6" s="71" t="s">
        <v>4</v>
      </c>
      <c r="F6" s="71" t="s">
        <v>7</v>
      </c>
      <c r="G6" s="71" t="s">
        <v>6</v>
      </c>
      <c r="H6" s="71" t="s">
        <v>3</v>
      </c>
      <c r="I6" s="34"/>
      <c r="J6" s="699"/>
      <c r="K6" s="699"/>
    </row>
    <row r="7" spans="1:11" x14ac:dyDescent="0.2">
      <c r="A7" s="139"/>
      <c r="B7" s="302">
        <v>40079</v>
      </c>
      <c r="C7" s="303">
        <v>40081</v>
      </c>
      <c r="D7" s="304">
        <v>0.33333333333333331</v>
      </c>
      <c r="E7" s="304">
        <v>0.33333333333333331</v>
      </c>
      <c r="F7" s="262" t="s">
        <v>94</v>
      </c>
      <c r="G7" s="1092">
        <v>14</v>
      </c>
      <c r="H7" s="1094">
        <v>2</v>
      </c>
      <c r="I7" s="49"/>
      <c r="J7" s="30"/>
      <c r="K7" s="30"/>
    </row>
    <row r="8" spans="1:11" x14ac:dyDescent="0.2">
      <c r="A8" s="139"/>
      <c r="B8" s="302">
        <v>40203</v>
      </c>
      <c r="C8" s="303">
        <v>40205</v>
      </c>
      <c r="D8" s="304">
        <v>0.33333333333333331</v>
      </c>
      <c r="E8" s="304">
        <v>0.33333333333333331</v>
      </c>
      <c r="F8" s="262" t="s">
        <v>95</v>
      </c>
      <c r="G8" s="1092">
        <v>14</v>
      </c>
      <c r="H8" s="1095">
        <v>2</v>
      </c>
      <c r="I8" s="49"/>
      <c r="J8" s="30"/>
      <c r="K8" s="30"/>
    </row>
    <row r="9" spans="1:11" x14ac:dyDescent="0.2">
      <c r="A9" s="141"/>
      <c r="B9" s="302">
        <v>40235</v>
      </c>
      <c r="C9" s="303">
        <v>40238</v>
      </c>
      <c r="D9" s="304">
        <v>0.33333333333333331</v>
      </c>
      <c r="E9" s="304">
        <v>0.33333333333333331</v>
      </c>
      <c r="F9" s="262" t="s">
        <v>96</v>
      </c>
      <c r="G9" s="1092">
        <v>14</v>
      </c>
      <c r="H9" s="1094">
        <v>2</v>
      </c>
      <c r="I9" s="49"/>
      <c r="J9" s="30"/>
      <c r="K9" s="30"/>
    </row>
    <row r="10" spans="1:11" x14ac:dyDescent="0.2">
      <c r="A10" s="141"/>
      <c r="B10" s="302">
        <v>40369</v>
      </c>
      <c r="C10" s="303">
        <v>40370</v>
      </c>
      <c r="D10" s="304">
        <v>0.33333333333333331</v>
      </c>
      <c r="E10" s="304">
        <v>0.33333333333333331</v>
      </c>
      <c r="F10" s="262" t="s">
        <v>97</v>
      </c>
      <c r="G10" s="979">
        <v>14</v>
      </c>
      <c r="H10" s="1095">
        <v>1</v>
      </c>
      <c r="I10" s="49"/>
      <c r="J10" s="30"/>
      <c r="K10" s="30"/>
    </row>
    <row r="11" spans="1:11" x14ac:dyDescent="0.2">
      <c r="A11" s="146"/>
      <c r="B11" s="307">
        <v>40544</v>
      </c>
      <c r="C11" s="308">
        <v>40550</v>
      </c>
      <c r="D11" s="304">
        <v>0.33333333333333331</v>
      </c>
      <c r="E11" s="304">
        <v>0.33333333333333331</v>
      </c>
      <c r="F11" s="262" t="s">
        <v>99</v>
      </c>
      <c r="G11" s="979">
        <v>14</v>
      </c>
      <c r="H11" s="1096">
        <v>4</v>
      </c>
      <c r="I11" s="49"/>
      <c r="J11" s="30"/>
      <c r="K11" s="30"/>
    </row>
    <row r="12" spans="1:11" x14ac:dyDescent="0.2">
      <c r="A12" s="146"/>
      <c r="B12" s="302">
        <v>40544</v>
      </c>
      <c r="C12" s="303">
        <v>40550</v>
      </c>
      <c r="D12" s="304">
        <v>0.33333333333333331</v>
      </c>
      <c r="E12" s="304">
        <v>0.33333333333333331</v>
      </c>
      <c r="F12" s="262" t="s">
        <v>98</v>
      </c>
      <c r="G12" s="979">
        <v>20</v>
      </c>
      <c r="H12" s="1095">
        <v>4</v>
      </c>
      <c r="I12" s="49"/>
      <c r="J12" s="30"/>
      <c r="K12" s="30"/>
    </row>
    <row r="13" spans="1:11" x14ac:dyDescent="0.2">
      <c r="A13" s="236"/>
      <c r="B13" s="307">
        <v>40564</v>
      </c>
      <c r="C13" s="308">
        <v>40565</v>
      </c>
      <c r="D13" s="304">
        <v>0.33333333333333331</v>
      </c>
      <c r="E13" s="304">
        <v>0.33333333333333331</v>
      </c>
      <c r="F13" s="260" t="s">
        <v>100</v>
      </c>
      <c r="G13" s="979">
        <v>20</v>
      </c>
      <c r="H13" s="1096">
        <v>1</v>
      </c>
      <c r="I13" s="49"/>
      <c r="J13" s="30"/>
      <c r="K13" s="30"/>
    </row>
    <row r="14" spans="1:11" x14ac:dyDescent="0.2">
      <c r="A14" s="236"/>
      <c r="B14" s="302">
        <v>40564</v>
      </c>
      <c r="C14" s="303">
        <v>40565</v>
      </c>
      <c r="D14" s="304">
        <v>0.33333333333333331</v>
      </c>
      <c r="E14" s="304">
        <v>0.33333333333333331</v>
      </c>
      <c r="F14" s="261" t="s">
        <v>101</v>
      </c>
      <c r="G14" s="979">
        <v>20</v>
      </c>
      <c r="H14" s="1095">
        <v>1</v>
      </c>
      <c r="I14" s="49"/>
      <c r="J14" s="30"/>
      <c r="K14" s="30"/>
    </row>
    <row r="15" spans="1:11" x14ac:dyDescent="0.2">
      <c r="A15" s="147"/>
      <c r="B15" s="302">
        <v>42005</v>
      </c>
      <c r="C15" s="303">
        <v>42035</v>
      </c>
      <c r="D15" s="304">
        <v>0.33333333333333331</v>
      </c>
      <c r="E15" s="304">
        <v>0.33333333333333331</v>
      </c>
      <c r="F15" s="253" t="s">
        <v>102</v>
      </c>
      <c r="G15" s="979">
        <v>20</v>
      </c>
      <c r="H15" s="1095">
        <v>30</v>
      </c>
      <c r="I15" s="49"/>
      <c r="J15" s="30"/>
      <c r="K15" s="30"/>
    </row>
    <row r="16" spans="1:11" x14ac:dyDescent="0.2">
      <c r="A16" s="55"/>
      <c r="B16" s="307">
        <v>43264</v>
      </c>
      <c r="C16" s="309">
        <v>43269</v>
      </c>
      <c r="D16" s="304">
        <v>0.33333333333333331</v>
      </c>
      <c r="E16" s="304">
        <v>0.33333333333333331</v>
      </c>
      <c r="F16" s="253" t="s">
        <v>103</v>
      </c>
      <c r="G16" s="979">
        <v>20</v>
      </c>
      <c r="H16" s="1094">
        <v>5</v>
      </c>
    </row>
    <row r="17" spans="1:8" x14ac:dyDescent="0.2">
      <c r="A17" s="55"/>
      <c r="B17" s="307">
        <v>43927</v>
      </c>
      <c r="C17" s="309">
        <v>43955</v>
      </c>
      <c r="D17" s="304">
        <v>0.33333333333333331</v>
      </c>
      <c r="E17" s="304">
        <v>0.33333333333333331</v>
      </c>
      <c r="F17" s="253" t="s">
        <v>104</v>
      </c>
      <c r="G17" s="979">
        <v>20</v>
      </c>
      <c r="H17" s="1094">
        <v>24</v>
      </c>
    </row>
    <row r="18" spans="1:8" x14ac:dyDescent="0.2">
      <c r="A18" s="55"/>
      <c r="B18" s="302">
        <v>43969</v>
      </c>
      <c r="C18" s="303">
        <v>43974</v>
      </c>
      <c r="D18" s="304">
        <v>0.33333333333333331</v>
      </c>
      <c r="E18" s="304">
        <v>0.33333333333333331</v>
      </c>
      <c r="F18" s="253" t="s">
        <v>105</v>
      </c>
      <c r="G18" s="979">
        <v>20</v>
      </c>
      <c r="H18" s="1095">
        <v>6</v>
      </c>
    </row>
    <row r="19" spans="1:8" x14ac:dyDescent="0.2">
      <c r="A19" s="55"/>
      <c r="B19" s="1278" t="s">
        <v>91</v>
      </c>
      <c r="C19" s="1279"/>
      <c r="D19" s="1279"/>
      <c r="E19" s="1280"/>
      <c r="F19" s="253" t="s">
        <v>106</v>
      </c>
      <c r="G19" s="979">
        <v>20</v>
      </c>
      <c r="H19" s="1095">
        <v>30</v>
      </c>
    </row>
    <row r="20" spans="1:8" x14ac:dyDescent="0.2">
      <c r="A20" s="55"/>
      <c r="B20" s="307">
        <v>44327</v>
      </c>
      <c r="C20" s="308">
        <v>44339</v>
      </c>
      <c r="D20" s="310">
        <v>0.75</v>
      </c>
      <c r="E20" s="310">
        <v>0.33333333333333331</v>
      </c>
      <c r="F20" s="253" t="s">
        <v>107</v>
      </c>
      <c r="G20" s="979">
        <v>20</v>
      </c>
      <c r="H20" s="1097">
        <v>1.5</v>
      </c>
    </row>
    <row r="21" spans="1:8" x14ac:dyDescent="0.2">
      <c r="A21" s="55"/>
      <c r="B21" s="307">
        <v>44256</v>
      </c>
      <c r="C21" s="308">
        <v>44273</v>
      </c>
      <c r="D21" s="310">
        <v>0.33333333333333331</v>
      </c>
      <c r="E21" s="310">
        <v>0.33333333333333331</v>
      </c>
      <c r="F21" s="253" t="s">
        <v>108</v>
      </c>
      <c r="G21" s="979">
        <v>26</v>
      </c>
      <c r="H21" s="306">
        <v>15</v>
      </c>
    </row>
    <row r="22" spans="1:8" x14ac:dyDescent="0.2">
      <c r="A22" s="55"/>
      <c r="B22" s="307">
        <v>44470</v>
      </c>
      <c r="C22" s="308">
        <v>44474</v>
      </c>
      <c r="D22" s="310">
        <v>0.33333333333333331</v>
      </c>
      <c r="E22" s="310">
        <v>0.33333333333333331</v>
      </c>
      <c r="F22" s="253" t="s">
        <v>109</v>
      </c>
      <c r="G22" s="979">
        <v>26</v>
      </c>
      <c r="H22" s="306">
        <v>3</v>
      </c>
    </row>
    <row r="23" spans="1:8" x14ac:dyDescent="0.2">
      <c r="A23" s="55"/>
      <c r="B23" s="307">
        <v>44515</v>
      </c>
      <c r="C23" s="308">
        <v>44527</v>
      </c>
      <c r="D23" s="310">
        <v>0.33333333333333331</v>
      </c>
      <c r="E23" s="310">
        <v>0.33333333333333331</v>
      </c>
      <c r="F23" s="253" t="s">
        <v>110</v>
      </c>
      <c r="G23" s="979">
        <v>26</v>
      </c>
      <c r="H23" s="306">
        <v>6</v>
      </c>
    </row>
    <row r="24" spans="1:8" x14ac:dyDescent="0.2">
      <c r="A24" s="55"/>
      <c r="B24" s="307">
        <v>44541</v>
      </c>
      <c r="C24" s="308">
        <v>44544</v>
      </c>
      <c r="D24" s="310">
        <v>0.75</v>
      </c>
      <c r="E24" s="310">
        <v>0.33333333333333331</v>
      </c>
      <c r="F24" s="253" t="s">
        <v>111</v>
      </c>
      <c r="G24" s="979">
        <v>26</v>
      </c>
      <c r="H24" s="306">
        <v>1</v>
      </c>
    </row>
    <row r="25" spans="1:8" x14ac:dyDescent="0.2">
      <c r="A25" s="55"/>
      <c r="B25" s="307">
        <v>44620</v>
      </c>
      <c r="C25" s="308">
        <v>44622</v>
      </c>
      <c r="D25" s="310">
        <v>0.33333333333333331</v>
      </c>
      <c r="E25" s="310">
        <v>0.33333333333333331</v>
      </c>
      <c r="F25" s="253" t="s">
        <v>112</v>
      </c>
      <c r="G25" s="979">
        <v>26</v>
      </c>
      <c r="H25" s="306">
        <v>2</v>
      </c>
    </row>
    <row r="26" spans="1:8" s="356" customFormat="1" ht="25.5" customHeight="1" x14ac:dyDescent="0.2">
      <c r="A26" s="47"/>
      <c r="B26" s="1281" t="s">
        <v>93</v>
      </c>
      <c r="C26" s="1282"/>
      <c r="D26" s="1282"/>
      <c r="E26" s="1283"/>
      <c r="F26" s="1091" t="s">
        <v>113</v>
      </c>
      <c r="G26" s="1093">
        <v>26</v>
      </c>
      <c r="H26" s="377">
        <v>143</v>
      </c>
    </row>
    <row r="27" spans="1:8" x14ac:dyDescent="0.2">
      <c r="A27" s="55"/>
      <c r="B27" s="311">
        <v>44650</v>
      </c>
      <c r="C27" s="311">
        <v>44729</v>
      </c>
      <c r="D27" s="310">
        <v>0.33333333333333331</v>
      </c>
      <c r="E27" s="310">
        <v>0.33333333333333331</v>
      </c>
      <c r="F27" s="253" t="s">
        <v>114</v>
      </c>
      <c r="G27" s="979">
        <v>26</v>
      </c>
      <c r="H27" s="306">
        <f>48+14</f>
        <v>62</v>
      </c>
    </row>
    <row r="28" spans="1:8" s="356" customFormat="1" x14ac:dyDescent="0.2">
      <c r="A28" s="47"/>
      <c r="B28" s="1281" t="s">
        <v>117</v>
      </c>
      <c r="C28" s="1282"/>
      <c r="D28" s="1282"/>
      <c r="E28" s="1283"/>
      <c r="F28" s="1091" t="s">
        <v>115</v>
      </c>
      <c r="G28" s="1093">
        <v>26</v>
      </c>
      <c r="H28" s="377">
        <v>150</v>
      </c>
    </row>
    <row r="29" spans="1:8" x14ac:dyDescent="0.2">
      <c r="A29" s="55"/>
      <c r="B29" s="142">
        <v>44750</v>
      </c>
      <c r="C29" s="143">
        <v>44767</v>
      </c>
      <c r="D29" s="144">
        <v>0.33333333333333331</v>
      </c>
      <c r="E29" s="144">
        <v>0.33333333333333331</v>
      </c>
      <c r="F29" s="253" t="s">
        <v>116</v>
      </c>
      <c r="G29" s="145">
        <v>26</v>
      </c>
      <c r="H29" s="145">
        <v>9</v>
      </c>
    </row>
    <row r="30" spans="1:8" x14ac:dyDescent="0.2">
      <c r="A30" s="55"/>
      <c r="B30" s="142">
        <v>45492</v>
      </c>
      <c r="C30" s="143">
        <v>45509</v>
      </c>
      <c r="D30" s="144">
        <v>0.33333333333333331</v>
      </c>
      <c r="E30" s="144">
        <v>0.33333333333333331</v>
      </c>
      <c r="F30" s="312" t="s">
        <v>452</v>
      </c>
      <c r="G30" s="145">
        <v>26</v>
      </c>
      <c r="H30" s="145">
        <v>15</v>
      </c>
    </row>
    <row r="31" spans="1:8" x14ac:dyDescent="0.2">
      <c r="A31" s="55"/>
      <c r="B31" s="1281" t="s">
        <v>707</v>
      </c>
      <c r="C31" s="1282"/>
      <c r="D31" s="1282"/>
      <c r="E31" s="1283"/>
      <c r="F31" s="312" t="s">
        <v>477</v>
      </c>
      <c r="G31" s="145">
        <v>26</v>
      </c>
      <c r="H31" s="145">
        <v>30</v>
      </c>
    </row>
    <row r="32" spans="1:8" x14ac:dyDescent="0.2">
      <c r="A32" s="55"/>
      <c r="B32" s="142">
        <v>45722</v>
      </c>
      <c r="C32" s="143">
        <v>45729</v>
      </c>
      <c r="D32" s="144">
        <v>0.33333333333333331</v>
      </c>
      <c r="E32" s="144">
        <v>0.33333333333333331</v>
      </c>
      <c r="F32" s="312" t="s">
        <v>676</v>
      </c>
      <c r="G32" s="145">
        <v>26</v>
      </c>
      <c r="H32" s="145">
        <v>6</v>
      </c>
    </row>
    <row r="33" spans="1:8" s="699" customFormat="1" x14ac:dyDescent="0.2">
      <c r="A33" s="685"/>
      <c r="B33" s="720"/>
      <c r="C33" s="721"/>
      <c r="D33" s="722"/>
      <c r="E33" s="722"/>
      <c r="F33" s="312" t="s">
        <v>1040</v>
      </c>
      <c r="G33" s="723">
        <v>26</v>
      </c>
      <c r="H33" s="723"/>
    </row>
    <row r="34" spans="1:8" s="699" customFormat="1" x14ac:dyDescent="0.2">
      <c r="A34" s="685"/>
      <c r="B34" s="720"/>
      <c r="C34" s="721"/>
      <c r="D34" s="722"/>
      <c r="E34" s="722"/>
      <c r="F34" s="312"/>
      <c r="G34" s="723"/>
      <c r="H34" s="723"/>
    </row>
    <row r="35" spans="1:8" x14ac:dyDescent="0.2">
      <c r="A35" s="55"/>
      <c r="B35" s="142"/>
      <c r="C35" s="143"/>
      <c r="D35" s="144"/>
      <c r="E35" s="144"/>
      <c r="F35" s="253"/>
      <c r="G35" s="145"/>
      <c r="H35" s="145"/>
    </row>
    <row r="36" spans="1:8" x14ac:dyDescent="0.2">
      <c r="A36" s="55"/>
      <c r="B36" s="142"/>
      <c r="C36" s="143"/>
      <c r="D36" s="144"/>
      <c r="E36" s="144"/>
      <c r="F36" s="282"/>
      <c r="G36" s="66"/>
      <c r="H36" s="145"/>
    </row>
    <row r="37" spans="1:8" x14ac:dyDescent="0.2">
      <c r="A37" s="55"/>
      <c r="B37" s="142"/>
      <c r="C37" s="143"/>
      <c r="D37" s="144"/>
      <c r="E37" s="144"/>
      <c r="F37" s="282"/>
      <c r="G37" s="66"/>
      <c r="H37" s="145"/>
    </row>
    <row r="38" spans="1:8" x14ac:dyDescent="0.2">
      <c r="A38" s="55"/>
      <c r="B38" s="142"/>
      <c r="C38" s="143"/>
      <c r="D38" s="144"/>
      <c r="E38" s="144"/>
      <c r="F38" s="282"/>
      <c r="G38" s="66"/>
      <c r="H38" s="145"/>
    </row>
    <row r="39" spans="1:8" x14ac:dyDescent="0.2">
      <c r="F39" s="294" t="s">
        <v>123</v>
      </c>
      <c r="G39" s="77">
        <f>SUM(G7:G38)</f>
        <v>588</v>
      </c>
      <c r="H39" s="77">
        <f>SUM(H7:H38)</f>
        <v>555.5</v>
      </c>
    </row>
    <row r="40" spans="1:8" x14ac:dyDescent="0.2">
      <c r="F40" s="62"/>
      <c r="G40" s="63"/>
      <c r="H40" s="63"/>
    </row>
    <row r="41" spans="1:8" ht="14.25" x14ac:dyDescent="0.2">
      <c r="F41" s="1153" t="s">
        <v>8</v>
      </c>
      <c r="G41" s="1154"/>
      <c r="H41" s="84">
        <f>G39-H39</f>
        <v>32.5</v>
      </c>
    </row>
  </sheetData>
  <mergeCells count="7">
    <mergeCell ref="J1:J3"/>
    <mergeCell ref="C1:H5"/>
    <mergeCell ref="F41:G41"/>
    <mergeCell ref="B19:E19"/>
    <mergeCell ref="B26:E26"/>
    <mergeCell ref="B28:E28"/>
    <mergeCell ref="B31:E31"/>
  </mergeCells>
  <hyperlinks>
    <hyperlink ref="J1:J3" location="'ANA SAYFA'!A1" display="ANA SAYFA"/>
  </hyperlinks>
  <pageMargins left="0.7" right="0.12" top="0.12" bottom="0.12" header="0.13" footer="0.12"/>
  <pageSetup paperSize="9" scale="69" orientation="portrait" r:id="rId1"/>
  <colBreaks count="1" manualBreakCount="1">
    <brk id="8" max="1048575" man="1"/>
  </colBreak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zoomScaleNormal="100" workbookViewId="0">
      <selection activeCell="J1" sqref="J1:J3"/>
    </sheetView>
  </sheetViews>
  <sheetFormatPr defaultColWidth="9.140625" defaultRowHeight="11.25" x14ac:dyDescent="0.15"/>
  <cols>
    <col min="1" max="1" width="18.5703125" style="113" bestFit="1" customWidth="1"/>
    <col min="2" max="2" width="24.140625" style="113" bestFit="1" customWidth="1"/>
    <col min="3" max="3" width="24.85546875" style="113" bestFit="1" customWidth="1"/>
    <col min="4" max="5" width="8.85546875" style="113" customWidth="1"/>
    <col min="6" max="6" width="16.28515625" style="113" bestFit="1" customWidth="1"/>
    <col min="7" max="7" width="15.140625" style="113" customWidth="1"/>
    <col min="8" max="8" width="12.7109375" style="113" bestFit="1" customWidth="1"/>
    <col min="9" max="9" width="5" style="113" customWidth="1"/>
    <col min="10" max="10" width="10.85546875" style="113" customWidth="1"/>
    <col min="11" max="16384" width="9.140625" style="113"/>
  </cols>
  <sheetData>
    <row r="1" spans="1:11" ht="13.5" customHeight="1" x14ac:dyDescent="0.15">
      <c r="A1" s="29" t="s">
        <v>135</v>
      </c>
      <c r="B1" s="151" t="str">
        <f>'ANA SAYFA'!B79</f>
        <v>MUHARREM KAN</v>
      </c>
      <c r="C1" s="1166" t="s">
        <v>136</v>
      </c>
      <c r="D1" s="1166"/>
      <c r="E1" s="1166"/>
      <c r="F1" s="1166"/>
      <c r="G1" s="1166"/>
      <c r="H1" s="1166"/>
      <c r="I1" s="28"/>
      <c r="J1" s="1183" t="s">
        <v>712</v>
      </c>
      <c r="K1" s="30"/>
    </row>
    <row r="2" spans="1:11" ht="13.5" customHeight="1" x14ac:dyDescent="0.15">
      <c r="A2" s="29" t="s">
        <v>137</v>
      </c>
      <c r="B2" s="161">
        <f>'ANA SAYFA'!D79</f>
        <v>14324514464</v>
      </c>
      <c r="C2" s="1166"/>
      <c r="D2" s="1166"/>
      <c r="E2" s="1166"/>
      <c r="F2" s="1166"/>
      <c r="G2" s="1166"/>
      <c r="H2" s="1166"/>
      <c r="I2" s="28"/>
      <c r="J2" s="1184"/>
      <c r="K2" s="30"/>
    </row>
    <row r="3" spans="1:11" ht="13.5" customHeight="1" thickBot="1" x14ac:dyDescent="0.2">
      <c r="A3" s="29" t="s">
        <v>131</v>
      </c>
      <c r="B3" s="162" t="str">
        <f>'ANA SAYFA'!C79</f>
        <v>İŞARETÇİ/SAPANCI</v>
      </c>
      <c r="C3" s="1166"/>
      <c r="D3" s="1166"/>
      <c r="E3" s="1166"/>
      <c r="F3" s="1166"/>
      <c r="G3" s="1166"/>
      <c r="H3" s="1166"/>
      <c r="I3" s="28"/>
      <c r="J3" s="1185"/>
      <c r="K3" s="30"/>
    </row>
    <row r="4" spans="1:11" ht="13.5" customHeight="1" x14ac:dyDescent="0.15">
      <c r="A4" s="29" t="s">
        <v>120</v>
      </c>
      <c r="B4" s="89">
        <f>'ANA SAYFA'!E79</f>
        <v>45512</v>
      </c>
      <c r="C4" s="1166"/>
      <c r="D4" s="1166"/>
      <c r="E4" s="1166"/>
      <c r="F4" s="1166"/>
      <c r="G4" s="1166"/>
      <c r="H4" s="1166"/>
      <c r="I4" s="28"/>
      <c r="J4" s="30"/>
      <c r="K4" s="30"/>
    </row>
    <row r="5" spans="1:11" ht="13.5" customHeight="1" x14ac:dyDescent="0.15">
      <c r="A5" s="29" t="s">
        <v>130</v>
      </c>
      <c r="B5" s="89">
        <f>'ANA SAYFA'!F79</f>
        <v>33814</v>
      </c>
      <c r="C5" s="1166"/>
      <c r="D5" s="1166"/>
      <c r="E5" s="1166"/>
      <c r="F5" s="1166"/>
      <c r="G5" s="1166"/>
      <c r="H5" s="1166"/>
      <c r="I5" s="28"/>
    </row>
    <row r="6" spans="1:11" ht="31.5" x14ac:dyDescent="0.15">
      <c r="A6" s="69" t="s">
        <v>0</v>
      </c>
      <c r="B6" s="70" t="s">
        <v>1</v>
      </c>
      <c r="C6" s="69" t="s">
        <v>2</v>
      </c>
      <c r="D6" s="71" t="s">
        <v>133</v>
      </c>
      <c r="E6" s="71" t="s">
        <v>4</v>
      </c>
      <c r="F6" s="71" t="s">
        <v>7</v>
      </c>
      <c r="G6" s="71" t="s">
        <v>6</v>
      </c>
      <c r="H6" s="71" t="s">
        <v>3</v>
      </c>
      <c r="I6" s="34"/>
    </row>
    <row r="7" spans="1:11" ht="13.5" customHeight="1" x14ac:dyDescent="0.15">
      <c r="A7" s="35"/>
      <c r="B7" s="560">
        <v>45749</v>
      </c>
      <c r="C7" s="37">
        <v>45751</v>
      </c>
      <c r="D7" s="38">
        <v>0.33333333333333331</v>
      </c>
      <c r="E7" s="38">
        <v>0.33333333333333331</v>
      </c>
      <c r="F7" s="935" t="s">
        <v>818</v>
      </c>
      <c r="G7" s="106">
        <v>14</v>
      </c>
      <c r="H7" s="66">
        <v>3</v>
      </c>
      <c r="I7" s="49"/>
      <c r="J7" s="30"/>
      <c r="K7" s="30"/>
    </row>
    <row r="8" spans="1:11" ht="13.5" customHeight="1" x14ac:dyDescent="0.2">
      <c r="A8" s="35"/>
      <c r="B8" s="1236" t="s">
        <v>777</v>
      </c>
      <c r="C8" s="1237"/>
      <c r="D8" s="38"/>
      <c r="E8" s="38"/>
      <c r="F8" s="66"/>
      <c r="G8" s="106"/>
      <c r="H8" s="647">
        <v>-3</v>
      </c>
      <c r="I8" s="49"/>
      <c r="J8" s="30"/>
      <c r="K8" s="30"/>
    </row>
    <row r="9" spans="1:11" ht="13.5" customHeight="1" x14ac:dyDescent="0.15">
      <c r="A9" s="679"/>
      <c r="B9" s="902">
        <v>45812</v>
      </c>
      <c r="C9" s="680">
        <v>45812</v>
      </c>
      <c r="D9" s="687">
        <v>0.33333333333333331</v>
      </c>
      <c r="E9" s="687">
        <v>0.33333333333333331</v>
      </c>
      <c r="F9" s="691"/>
      <c r="G9" s="691"/>
      <c r="H9" s="703">
        <v>1</v>
      </c>
      <c r="I9" s="684"/>
      <c r="J9" s="670"/>
      <c r="K9" s="670"/>
    </row>
    <row r="10" spans="1:11" ht="13.5" customHeight="1" x14ac:dyDescent="0.15">
      <c r="A10" s="43"/>
      <c r="B10" s="560">
        <v>45961</v>
      </c>
      <c r="C10" s="44">
        <v>45962</v>
      </c>
      <c r="D10" s="57"/>
      <c r="E10" s="57"/>
      <c r="F10" s="66"/>
      <c r="G10" s="66"/>
      <c r="H10" s="106">
        <v>1</v>
      </c>
      <c r="I10" s="49"/>
      <c r="J10" s="30"/>
      <c r="K10" s="30"/>
    </row>
    <row r="11" spans="1:11" ht="13.5" customHeight="1" x14ac:dyDescent="0.15">
      <c r="A11" s="42"/>
      <c r="B11" s="52">
        <v>45968</v>
      </c>
      <c r="C11" s="53">
        <v>45969</v>
      </c>
      <c r="D11" s="57"/>
      <c r="E11" s="57"/>
      <c r="F11" s="66"/>
      <c r="G11" s="66"/>
      <c r="H11" s="66">
        <v>1</v>
      </c>
      <c r="I11" s="49"/>
      <c r="J11" s="407"/>
      <c r="K11" s="30"/>
    </row>
    <row r="12" spans="1:11" ht="13.5" customHeight="1" x14ac:dyDescent="0.15">
      <c r="A12" s="42"/>
      <c r="B12" s="52">
        <v>46037</v>
      </c>
      <c r="C12" s="53">
        <v>46038</v>
      </c>
      <c r="D12" s="57"/>
      <c r="E12" s="57"/>
      <c r="F12" s="66"/>
      <c r="G12" s="66"/>
      <c r="H12" s="106">
        <v>1</v>
      </c>
      <c r="I12" s="49"/>
      <c r="J12" s="30" t="s">
        <v>830</v>
      </c>
      <c r="K12" s="30"/>
    </row>
    <row r="13" spans="1:11" ht="13.5" customHeight="1" x14ac:dyDescent="0.15">
      <c r="A13" s="51"/>
      <c r="B13" s="52">
        <v>46099</v>
      </c>
      <c r="C13" s="53">
        <v>46105</v>
      </c>
      <c r="D13" s="57"/>
      <c r="E13" s="57"/>
      <c r="F13" s="66"/>
      <c r="G13" s="66"/>
      <c r="H13" s="106">
        <v>2</v>
      </c>
      <c r="I13" s="49"/>
      <c r="J13" s="30" t="s">
        <v>830</v>
      </c>
      <c r="K13" s="30"/>
    </row>
    <row r="14" spans="1:11" ht="13.5" customHeight="1" x14ac:dyDescent="0.15">
      <c r="A14" s="51"/>
      <c r="B14" s="52">
        <v>46174</v>
      </c>
      <c r="C14" s="53">
        <v>46175</v>
      </c>
      <c r="D14" s="57"/>
      <c r="E14" s="57"/>
      <c r="F14" s="66"/>
      <c r="G14" s="66"/>
      <c r="H14" s="106">
        <v>1</v>
      </c>
      <c r="I14" s="49"/>
      <c r="J14" s="30" t="s">
        <v>830</v>
      </c>
      <c r="K14" s="30"/>
    </row>
    <row r="15" spans="1:11" ht="13.5" customHeight="1" x14ac:dyDescent="0.15">
      <c r="A15" s="55"/>
      <c r="B15" s="52"/>
      <c r="C15" s="53"/>
      <c r="D15" s="57"/>
      <c r="E15" s="57"/>
      <c r="F15" s="66"/>
      <c r="G15" s="66"/>
      <c r="H15" s="106"/>
      <c r="I15" s="49"/>
      <c r="J15" s="30"/>
      <c r="K15" s="30"/>
    </row>
    <row r="16" spans="1:11" ht="13.5" customHeight="1" x14ac:dyDescent="0.15">
      <c r="A16" s="55"/>
      <c r="B16" s="52"/>
      <c r="C16" s="53"/>
      <c r="D16" s="57"/>
      <c r="E16" s="57"/>
      <c r="F16" s="66"/>
      <c r="G16" s="66"/>
      <c r="H16" s="106"/>
    </row>
    <row r="17" spans="1:8" ht="13.5" customHeight="1" x14ac:dyDescent="0.15">
      <c r="A17" s="55"/>
      <c r="B17" s="52"/>
      <c r="C17" s="53"/>
      <c r="D17" s="57"/>
      <c r="E17" s="57"/>
      <c r="F17" s="66"/>
      <c r="G17" s="66"/>
      <c r="H17" s="106"/>
    </row>
    <row r="18" spans="1:8" ht="13.5" customHeight="1" x14ac:dyDescent="0.15">
      <c r="A18" s="55"/>
      <c r="B18" s="52"/>
      <c r="C18" s="53"/>
      <c r="D18" s="57"/>
      <c r="E18" s="57"/>
      <c r="F18" s="66"/>
      <c r="G18" s="66"/>
      <c r="H18" s="106"/>
    </row>
    <row r="19" spans="1:8" ht="13.5" customHeight="1" x14ac:dyDescent="0.15">
      <c r="A19" s="55"/>
      <c r="B19" s="58"/>
      <c r="C19" s="56"/>
      <c r="D19" s="57"/>
      <c r="E19" s="57"/>
      <c r="F19" s="66"/>
      <c r="G19" s="66"/>
      <c r="H19" s="66"/>
    </row>
    <row r="20" spans="1:8" ht="13.5" customHeight="1" x14ac:dyDescent="0.15">
      <c r="A20" s="55"/>
      <c r="B20" s="58"/>
      <c r="C20" s="56"/>
      <c r="D20" s="57"/>
      <c r="E20" s="57"/>
      <c r="F20" s="66"/>
      <c r="G20" s="66"/>
      <c r="H20" s="66"/>
    </row>
    <row r="21" spans="1:8" ht="13.5" customHeight="1" x14ac:dyDescent="0.15">
      <c r="A21" s="55"/>
      <c r="B21" s="58"/>
      <c r="C21" s="56"/>
      <c r="D21" s="57"/>
      <c r="E21" s="57"/>
      <c r="F21" s="66"/>
      <c r="G21" s="66"/>
      <c r="H21" s="66"/>
    </row>
    <row r="22" spans="1:8" ht="13.5" customHeight="1" x14ac:dyDescent="0.15">
      <c r="A22" s="55"/>
      <c r="B22" s="58"/>
      <c r="C22" s="56"/>
      <c r="D22" s="57"/>
      <c r="E22" s="57"/>
      <c r="F22" s="66"/>
      <c r="G22" s="66"/>
      <c r="H22" s="66"/>
    </row>
    <row r="23" spans="1:8" ht="13.5" customHeight="1" x14ac:dyDescent="0.15">
      <c r="A23" s="55"/>
      <c r="B23" s="58"/>
      <c r="C23" s="56"/>
      <c r="D23" s="57"/>
      <c r="E23" s="57"/>
      <c r="F23" s="66"/>
      <c r="G23" s="66"/>
      <c r="H23" s="66"/>
    </row>
    <row r="24" spans="1:8" ht="13.5" customHeight="1" x14ac:dyDescent="0.15">
      <c r="A24" s="55"/>
      <c r="B24" s="58"/>
      <c r="C24" s="56"/>
      <c r="D24" s="57"/>
      <c r="E24" s="57"/>
      <c r="F24" s="66"/>
      <c r="G24" s="66"/>
      <c r="H24" s="66"/>
    </row>
    <row r="25" spans="1:8" ht="13.5" customHeight="1" x14ac:dyDescent="0.15">
      <c r="A25" s="55"/>
      <c r="B25" s="58"/>
      <c r="C25" s="56"/>
      <c r="D25" s="57"/>
      <c r="E25" s="57"/>
      <c r="F25" s="66"/>
      <c r="G25" s="66"/>
      <c r="H25" s="66"/>
    </row>
    <row r="26" spans="1:8" ht="13.5" customHeight="1" x14ac:dyDescent="0.15">
      <c r="A26" s="55"/>
      <c r="B26" s="58"/>
      <c r="C26" s="56"/>
      <c r="D26" s="57"/>
      <c r="E26" s="57"/>
      <c r="F26" s="66"/>
      <c r="G26" s="66"/>
      <c r="H26" s="66"/>
    </row>
    <row r="27" spans="1:8" ht="13.5" customHeight="1" x14ac:dyDescent="0.15">
      <c r="A27" s="55"/>
      <c r="B27" s="58"/>
      <c r="C27" s="56"/>
      <c r="D27" s="57"/>
      <c r="E27" s="57"/>
      <c r="F27" s="66"/>
      <c r="G27" s="66"/>
      <c r="H27" s="66"/>
    </row>
    <row r="28" spans="1:8" ht="13.5" customHeight="1" x14ac:dyDescent="0.15">
      <c r="A28" s="55"/>
      <c r="B28" s="58"/>
      <c r="C28" s="56"/>
      <c r="D28" s="57"/>
      <c r="E28" s="57"/>
      <c r="F28" s="66"/>
      <c r="G28" s="66"/>
      <c r="H28" s="66"/>
    </row>
    <row r="29" spans="1:8" ht="13.5" customHeight="1" x14ac:dyDescent="0.15">
      <c r="A29" s="55"/>
      <c r="B29" s="58"/>
      <c r="C29" s="56"/>
      <c r="D29" s="57"/>
      <c r="E29" s="57"/>
      <c r="F29" s="66"/>
      <c r="G29" s="66"/>
      <c r="H29" s="66"/>
    </row>
    <row r="30" spans="1:8" ht="13.5" customHeight="1" x14ac:dyDescent="0.15">
      <c r="A30" s="55"/>
      <c r="B30" s="58"/>
      <c r="C30" s="56"/>
      <c r="D30" s="57"/>
      <c r="E30" s="57"/>
      <c r="F30" s="66"/>
      <c r="G30" s="66"/>
      <c r="H30" s="66"/>
    </row>
    <row r="31" spans="1:8" ht="13.5" customHeight="1" x14ac:dyDescent="0.15">
      <c r="A31" s="55"/>
      <c r="B31" s="58"/>
      <c r="C31" s="56"/>
      <c r="D31" s="57"/>
      <c r="E31" s="57"/>
      <c r="F31" s="66"/>
      <c r="G31" s="66"/>
      <c r="H31" s="66"/>
    </row>
    <row r="32" spans="1:8" ht="13.5" customHeight="1" x14ac:dyDescent="0.15">
      <c r="A32" s="55"/>
      <c r="B32" s="58"/>
      <c r="C32" s="56"/>
      <c r="D32" s="57"/>
      <c r="E32" s="57"/>
      <c r="F32" s="66"/>
      <c r="G32" s="66"/>
      <c r="H32" s="66"/>
    </row>
    <row r="33" spans="6:8" ht="13.5" customHeight="1" x14ac:dyDescent="0.15">
      <c r="F33" s="102" t="s">
        <v>123</v>
      </c>
      <c r="G33" s="102">
        <f>SUM(G5:G32)</f>
        <v>14</v>
      </c>
      <c r="H33" s="102">
        <f>SUM(H7:H32)</f>
        <v>7</v>
      </c>
    </row>
    <row r="34" spans="6:8" ht="13.5" customHeight="1" x14ac:dyDescent="0.15">
      <c r="F34" s="62"/>
      <c r="G34" s="63"/>
      <c r="H34" s="63"/>
    </row>
    <row r="35" spans="6:8" ht="13.5" customHeight="1" x14ac:dyDescent="0.15">
      <c r="F35" s="1173" t="s">
        <v>8</v>
      </c>
      <c r="G35" s="1174"/>
      <c r="H35" s="107">
        <f>G33-H33</f>
        <v>7</v>
      </c>
    </row>
  </sheetData>
  <sortState ref="B8:K46">
    <sortCondition ref="B8"/>
  </sortState>
  <mergeCells count="4">
    <mergeCell ref="F35:G35"/>
    <mergeCell ref="J1:J3"/>
    <mergeCell ref="C1:H5"/>
    <mergeCell ref="B8:C8"/>
  </mergeCells>
  <hyperlinks>
    <hyperlink ref="J1:J3" location="'ANA SAYFA'!A1" display="ANA SAYFA"/>
  </hyperlinks>
  <pageMargins left="0.3" right="0.2" top="0.3" bottom="0.75" header="0.3" footer="0.3"/>
  <pageSetup paperSize="9" scale="77"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7"/>
  <sheetViews>
    <sheetView zoomScaleNormal="100" workbookViewId="0">
      <selection activeCell="J1" sqref="J1:J3"/>
    </sheetView>
  </sheetViews>
  <sheetFormatPr defaultColWidth="9.140625" defaultRowHeight="11.25" x14ac:dyDescent="0.15"/>
  <cols>
    <col min="1" max="1" width="18.5703125" style="113" bestFit="1" customWidth="1"/>
    <col min="2" max="2" width="26.7109375" style="113" bestFit="1" customWidth="1"/>
    <col min="3" max="3" width="26.42578125" style="113" bestFit="1" customWidth="1"/>
    <col min="4" max="5" width="8.85546875" style="113" customWidth="1"/>
    <col min="6" max="6" width="20.140625" style="113" bestFit="1" customWidth="1"/>
    <col min="7" max="7" width="14.28515625" style="113" bestFit="1" customWidth="1"/>
    <col min="8" max="8" width="12.5703125" style="113" bestFit="1" customWidth="1"/>
    <col min="9" max="9" width="9.140625" style="113"/>
    <col min="10" max="10" width="12" style="113" customWidth="1"/>
    <col min="11" max="16384" width="9.140625" style="113"/>
  </cols>
  <sheetData>
    <row r="1" spans="1:11" x14ac:dyDescent="0.15">
      <c r="A1" s="29" t="s">
        <v>135</v>
      </c>
      <c r="B1" s="151" t="str">
        <f>'ANA SAYFA'!B80</f>
        <v>ERKAN DURMUŞ</v>
      </c>
      <c r="C1" s="1284" t="s">
        <v>136</v>
      </c>
      <c r="D1" s="1284"/>
      <c r="E1" s="1284"/>
      <c r="F1" s="1284"/>
      <c r="G1" s="1284"/>
      <c r="H1" s="1284"/>
      <c r="I1" s="28"/>
      <c r="J1" s="1157" t="s">
        <v>712</v>
      </c>
      <c r="K1" s="30"/>
    </row>
    <row r="2" spans="1:11" x14ac:dyDescent="0.15">
      <c r="A2" s="29" t="s">
        <v>137</v>
      </c>
      <c r="B2" s="161">
        <f>'ANA SAYFA'!D80</f>
        <v>16694126094</v>
      </c>
      <c r="C2" s="1284"/>
      <c r="D2" s="1284"/>
      <c r="E2" s="1284"/>
      <c r="F2" s="1284"/>
      <c r="G2" s="1284"/>
      <c r="H2" s="1284"/>
      <c r="I2" s="28"/>
      <c r="J2" s="1158"/>
      <c r="K2" s="30"/>
    </row>
    <row r="3" spans="1:11" ht="12" thickBot="1" x14ac:dyDescent="0.2">
      <c r="A3" s="29" t="s">
        <v>131</v>
      </c>
      <c r="B3" s="89" t="str">
        <f>'ANA SAYFA'!C80</f>
        <v>FORMEN</v>
      </c>
      <c r="C3" s="1284"/>
      <c r="D3" s="1284"/>
      <c r="E3" s="1284"/>
      <c r="F3" s="1284"/>
      <c r="G3" s="1284"/>
      <c r="H3" s="1284"/>
      <c r="I3" s="28"/>
      <c r="J3" s="1159"/>
      <c r="K3" s="30"/>
    </row>
    <row r="4" spans="1:11" x14ac:dyDescent="0.15">
      <c r="A4" s="29" t="s">
        <v>120</v>
      </c>
      <c r="B4" s="89">
        <f>'ANA SAYFA'!E80</f>
        <v>42078</v>
      </c>
      <c r="C4" s="1284"/>
      <c r="D4" s="1284"/>
      <c r="E4" s="1284"/>
      <c r="F4" s="1284"/>
      <c r="G4" s="1284"/>
      <c r="H4" s="1284"/>
      <c r="I4" s="28"/>
      <c r="J4" s="30"/>
      <c r="K4" s="30"/>
    </row>
    <row r="5" spans="1:11" x14ac:dyDescent="0.15">
      <c r="A5" s="29" t="s">
        <v>130</v>
      </c>
      <c r="B5" s="89">
        <f>'ANA SAYFA'!F80</f>
        <v>26299</v>
      </c>
      <c r="C5" s="1284"/>
      <c r="D5" s="1284"/>
      <c r="E5" s="1284"/>
      <c r="F5" s="1284"/>
      <c r="G5" s="1284"/>
      <c r="H5" s="1284"/>
      <c r="I5" s="28"/>
    </row>
    <row r="6" spans="1:11" ht="31.5" x14ac:dyDescent="0.15">
      <c r="A6" s="69" t="s">
        <v>0</v>
      </c>
      <c r="B6" s="70" t="s">
        <v>1</v>
      </c>
      <c r="C6" s="69" t="s">
        <v>2</v>
      </c>
      <c r="D6" s="71" t="s">
        <v>133</v>
      </c>
      <c r="E6" s="71" t="s">
        <v>4</v>
      </c>
      <c r="F6" s="71" t="s">
        <v>7</v>
      </c>
      <c r="G6" s="71" t="s">
        <v>6</v>
      </c>
      <c r="H6" s="71" t="s">
        <v>3</v>
      </c>
      <c r="I6" s="34"/>
    </row>
    <row r="7" spans="1:11" ht="13.5" customHeight="1" x14ac:dyDescent="0.15">
      <c r="A7" s="35"/>
      <c r="B7" s="36">
        <v>42116</v>
      </c>
      <c r="C7" s="37">
        <v>42117</v>
      </c>
      <c r="D7" s="38">
        <v>0.5625</v>
      </c>
      <c r="E7" s="38">
        <v>0.3125</v>
      </c>
      <c r="F7" s="112" t="s">
        <v>25</v>
      </c>
      <c r="G7" s="104">
        <v>14</v>
      </c>
      <c r="H7" s="39">
        <v>0.5</v>
      </c>
      <c r="I7" s="49"/>
      <c r="J7" s="30"/>
      <c r="K7" s="30"/>
    </row>
    <row r="8" spans="1:11" ht="13.5" customHeight="1" x14ac:dyDescent="0.15">
      <c r="A8" s="35"/>
      <c r="B8" s="36">
        <v>42205</v>
      </c>
      <c r="C8" s="37">
        <v>42206</v>
      </c>
      <c r="D8" s="57">
        <v>0.33333333333333331</v>
      </c>
      <c r="E8" s="57">
        <v>0.33333333333333331</v>
      </c>
      <c r="F8" s="39" t="s">
        <v>30</v>
      </c>
      <c r="G8" s="104">
        <v>14</v>
      </c>
      <c r="H8" s="66">
        <v>1</v>
      </c>
      <c r="I8" s="49"/>
      <c r="J8" s="30"/>
      <c r="K8" s="30"/>
    </row>
    <row r="9" spans="1:11" ht="13.5" customHeight="1" x14ac:dyDescent="0.15">
      <c r="A9" s="43"/>
      <c r="B9" s="58">
        <v>42629</v>
      </c>
      <c r="C9" s="56">
        <v>42632</v>
      </c>
      <c r="D9" s="57">
        <v>0.33333333333333331</v>
      </c>
      <c r="E9" s="57">
        <v>0.33333333333333331</v>
      </c>
      <c r="F9" s="66" t="s">
        <v>56</v>
      </c>
      <c r="G9" s="66">
        <v>14</v>
      </c>
      <c r="H9" s="66">
        <v>2</v>
      </c>
      <c r="I9" s="49"/>
      <c r="J9" s="30"/>
      <c r="K9" s="30"/>
    </row>
    <row r="10" spans="1:11" ht="13.5" customHeight="1" x14ac:dyDescent="0.15">
      <c r="A10" s="43"/>
      <c r="B10" s="58">
        <v>42682</v>
      </c>
      <c r="C10" s="56">
        <v>42683</v>
      </c>
      <c r="D10" s="57">
        <v>0.5</v>
      </c>
      <c r="E10" s="57">
        <v>0.33333333333333331</v>
      </c>
      <c r="F10" s="66" t="s">
        <v>57</v>
      </c>
      <c r="G10" s="66">
        <v>14</v>
      </c>
      <c r="H10" s="39">
        <v>0.5</v>
      </c>
      <c r="I10" s="49"/>
      <c r="J10" s="30"/>
      <c r="K10" s="30"/>
    </row>
    <row r="11" spans="1:11" ht="13.5" customHeight="1" x14ac:dyDescent="0.15">
      <c r="A11" s="42"/>
      <c r="B11" s="58">
        <v>42996</v>
      </c>
      <c r="C11" s="56">
        <v>42998</v>
      </c>
      <c r="D11" s="57">
        <v>0.33333333333333331</v>
      </c>
      <c r="E11" s="57">
        <v>0.33333333333333331</v>
      </c>
      <c r="F11" s="66" t="s">
        <v>65</v>
      </c>
      <c r="G11" s="66">
        <v>14</v>
      </c>
      <c r="H11" s="66">
        <v>2</v>
      </c>
      <c r="I11" s="49"/>
      <c r="J11" s="30"/>
      <c r="K11" s="30"/>
    </row>
    <row r="12" spans="1:11" ht="13.5" customHeight="1" x14ac:dyDescent="0.15">
      <c r="A12" s="47"/>
      <c r="B12" s="58">
        <v>43131</v>
      </c>
      <c r="C12" s="56">
        <v>43136</v>
      </c>
      <c r="D12" s="57">
        <v>0.33333333333333331</v>
      </c>
      <c r="E12" s="57">
        <v>0.33333333333333331</v>
      </c>
      <c r="F12" s="66" t="s">
        <v>73</v>
      </c>
      <c r="G12" s="66">
        <v>20</v>
      </c>
      <c r="H12" s="66">
        <v>4</v>
      </c>
      <c r="I12" s="49"/>
      <c r="J12" s="30"/>
      <c r="K12" s="30"/>
    </row>
    <row r="13" spans="1:11" ht="13.5" customHeight="1" x14ac:dyDescent="0.15">
      <c r="A13" s="51"/>
      <c r="B13" s="58">
        <v>43129</v>
      </c>
      <c r="C13" s="56">
        <v>43130</v>
      </c>
      <c r="D13" s="57">
        <v>0.33333333333333331</v>
      </c>
      <c r="E13" s="57">
        <v>0.33333333333333331</v>
      </c>
      <c r="F13" s="66" t="s">
        <v>126</v>
      </c>
      <c r="G13" s="66">
        <v>20</v>
      </c>
      <c r="H13" s="66">
        <v>1</v>
      </c>
      <c r="I13" s="49"/>
      <c r="J13" s="30"/>
      <c r="K13" s="30"/>
    </row>
    <row r="14" spans="1:11" ht="13.5" customHeight="1" x14ac:dyDescent="0.15">
      <c r="A14" s="51"/>
      <c r="B14" s="58">
        <v>43441</v>
      </c>
      <c r="C14" s="56">
        <v>43444</v>
      </c>
      <c r="D14" s="57">
        <v>0.33333333333333331</v>
      </c>
      <c r="E14" s="57">
        <v>0.33333333333333331</v>
      </c>
      <c r="F14" s="66" t="s">
        <v>125</v>
      </c>
      <c r="G14" s="66">
        <v>20</v>
      </c>
      <c r="H14" s="66">
        <v>2</v>
      </c>
      <c r="I14" s="49"/>
      <c r="J14" s="30"/>
      <c r="K14" s="30"/>
    </row>
    <row r="15" spans="1:11" ht="13.5" customHeight="1" x14ac:dyDescent="0.15">
      <c r="A15" s="55"/>
      <c r="B15" s="58">
        <v>43145</v>
      </c>
      <c r="C15" s="56">
        <v>43452</v>
      </c>
      <c r="D15" s="57">
        <v>0.33333333333333331</v>
      </c>
      <c r="E15" s="57">
        <v>0.33333333333333331</v>
      </c>
      <c r="F15" s="66" t="s">
        <v>610</v>
      </c>
      <c r="G15" s="66">
        <v>20</v>
      </c>
      <c r="H15" s="66">
        <v>3</v>
      </c>
      <c r="I15" s="49"/>
      <c r="J15" s="30"/>
      <c r="K15" s="30"/>
    </row>
    <row r="16" spans="1:11" ht="13.5" customHeight="1" x14ac:dyDescent="0.15">
      <c r="A16" s="55"/>
      <c r="B16" s="58">
        <v>43827</v>
      </c>
      <c r="C16" s="56">
        <v>43464</v>
      </c>
      <c r="D16" s="57">
        <v>0.33333333333333331</v>
      </c>
      <c r="E16" s="57">
        <v>0.33333333333333331</v>
      </c>
      <c r="F16" s="66" t="s">
        <v>718</v>
      </c>
      <c r="G16" s="66">
        <v>20</v>
      </c>
      <c r="H16" s="66">
        <v>1</v>
      </c>
      <c r="I16" s="49"/>
      <c r="J16" s="30"/>
      <c r="K16" s="30"/>
    </row>
    <row r="17" spans="1:11" ht="13.5" customHeight="1" x14ac:dyDescent="0.15">
      <c r="A17" s="55"/>
      <c r="B17" s="58">
        <v>44067</v>
      </c>
      <c r="C17" s="56">
        <v>44070</v>
      </c>
      <c r="D17" s="57">
        <v>0.33333333333333331</v>
      </c>
      <c r="E17" s="57">
        <v>0.33333333333333331</v>
      </c>
      <c r="F17" s="66" t="s">
        <v>972</v>
      </c>
      <c r="G17" s="66">
        <v>20</v>
      </c>
      <c r="H17" s="66">
        <v>3</v>
      </c>
      <c r="I17" s="49"/>
      <c r="J17" s="30"/>
      <c r="K17" s="30"/>
    </row>
    <row r="18" spans="1:11" ht="13.5" customHeight="1" x14ac:dyDescent="0.15">
      <c r="A18" s="55"/>
      <c r="B18" s="58">
        <v>44090</v>
      </c>
      <c r="C18" s="56">
        <v>44093</v>
      </c>
      <c r="D18" s="57">
        <v>0.33333333333333331</v>
      </c>
      <c r="E18" s="57">
        <v>0.33333333333333331</v>
      </c>
      <c r="F18" s="81"/>
      <c r="G18" s="66"/>
      <c r="H18" s="66">
        <v>3</v>
      </c>
      <c r="I18" s="49"/>
      <c r="J18" s="30"/>
      <c r="K18" s="30"/>
    </row>
    <row r="19" spans="1:11" ht="13.5" customHeight="1" x14ac:dyDescent="0.15">
      <c r="A19" s="55"/>
      <c r="B19" s="58">
        <v>44277</v>
      </c>
      <c r="C19" s="56">
        <v>44282</v>
      </c>
      <c r="D19" s="57">
        <v>0.33333333333333331</v>
      </c>
      <c r="E19" s="57">
        <v>0.33333333333333331</v>
      </c>
      <c r="F19" s="81"/>
      <c r="G19" s="66"/>
      <c r="H19" s="66">
        <v>5</v>
      </c>
      <c r="I19" s="46"/>
      <c r="J19" s="30"/>
      <c r="K19" s="30"/>
    </row>
    <row r="20" spans="1:11" ht="13.5" customHeight="1" x14ac:dyDescent="0.15">
      <c r="A20" s="55"/>
      <c r="B20" s="58">
        <v>44401</v>
      </c>
      <c r="C20" s="56">
        <v>44403</v>
      </c>
      <c r="D20" s="57">
        <v>0.33333333333333331</v>
      </c>
      <c r="E20" s="57">
        <v>0.33333333333333331</v>
      </c>
      <c r="F20" s="81"/>
      <c r="G20" s="66"/>
      <c r="H20" s="66">
        <v>1</v>
      </c>
      <c r="I20" s="46"/>
      <c r="J20" s="30"/>
      <c r="K20" s="30"/>
    </row>
    <row r="21" spans="1:11" ht="13.5" customHeight="1" x14ac:dyDescent="0.15">
      <c r="A21" s="55"/>
      <c r="B21" s="58">
        <v>44429</v>
      </c>
      <c r="C21" s="56">
        <v>44430</v>
      </c>
      <c r="D21" s="57">
        <v>0.33333333333333331</v>
      </c>
      <c r="E21" s="57">
        <v>0.33333333333333331</v>
      </c>
      <c r="F21" s="78"/>
      <c r="G21" s="66"/>
      <c r="H21" s="66">
        <v>1</v>
      </c>
      <c r="I21" s="40"/>
      <c r="J21" s="30"/>
      <c r="K21" s="30"/>
    </row>
    <row r="22" spans="1:11" ht="13.5" customHeight="1" x14ac:dyDescent="0.15">
      <c r="A22" s="55"/>
      <c r="B22" s="58">
        <v>44869</v>
      </c>
      <c r="C22" s="56">
        <v>44872</v>
      </c>
      <c r="D22" s="57">
        <v>0.33333333333333331</v>
      </c>
      <c r="E22" s="57">
        <v>0.33333333333333331</v>
      </c>
      <c r="F22" s="78"/>
      <c r="G22" s="66"/>
      <c r="H22" s="66">
        <v>2</v>
      </c>
      <c r="I22" s="40"/>
      <c r="J22" s="30"/>
      <c r="K22" s="30"/>
    </row>
    <row r="23" spans="1:11" ht="13.5" customHeight="1" x14ac:dyDescent="0.15">
      <c r="A23" s="55"/>
      <c r="B23" s="344">
        <v>42629</v>
      </c>
      <c r="C23" s="345">
        <v>42642</v>
      </c>
      <c r="D23" s="346">
        <v>0.33333333333333331</v>
      </c>
      <c r="E23" s="346">
        <v>0.33333333333333331</v>
      </c>
      <c r="F23" s="347"/>
      <c r="G23" s="348"/>
      <c r="H23" s="348">
        <v>11</v>
      </c>
      <c r="I23" s="352" t="s">
        <v>438</v>
      </c>
      <c r="J23" s="30"/>
      <c r="K23" s="30"/>
    </row>
    <row r="24" spans="1:11" ht="13.5" customHeight="1" x14ac:dyDescent="0.15">
      <c r="A24" s="55"/>
      <c r="B24" s="344">
        <v>42899</v>
      </c>
      <c r="C24" s="345">
        <v>42914</v>
      </c>
      <c r="D24" s="346">
        <v>0.33333333333333331</v>
      </c>
      <c r="E24" s="346">
        <v>0.33333333333333331</v>
      </c>
      <c r="F24" s="347"/>
      <c r="G24" s="349"/>
      <c r="H24" s="348">
        <v>10</v>
      </c>
      <c r="I24" s="352" t="s">
        <v>438</v>
      </c>
      <c r="J24" s="41"/>
      <c r="K24" s="41"/>
    </row>
    <row r="25" spans="1:11" ht="13.5" customHeight="1" x14ac:dyDescent="0.15">
      <c r="A25" s="51"/>
      <c r="B25" s="344">
        <v>43405</v>
      </c>
      <c r="C25" s="345">
        <v>43417</v>
      </c>
      <c r="D25" s="346">
        <v>0.33333333333333331</v>
      </c>
      <c r="E25" s="346">
        <v>0.33333333333333331</v>
      </c>
      <c r="F25" s="350"/>
      <c r="G25" s="349"/>
      <c r="H25" s="349">
        <v>10</v>
      </c>
      <c r="I25" s="352" t="s">
        <v>438</v>
      </c>
      <c r="J25" s="30"/>
      <c r="K25" s="30"/>
    </row>
    <row r="26" spans="1:11" ht="13.5" customHeight="1" x14ac:dyDescent="0.15">
      <c r="A26" s="51"/>
      <c r="B26" s="344">
        <v>43812</v>
      </c>
      <c r="C26" s="345">
        <v>43829</v>
      </c>
      <c r="D26" s="346">
        <v>0.33333333333333331</v>
      </c>
      <c r="E26" s="346">
        <v>0.33333333333333331</v>
      </c>
      <c r="F26" s="350"/>
      <c r="G26" s="349"/>
      <c r="H26" s="349">
        <v>14</v>
      </c>
      <c r="I26" s="352" t="s">
        <v>438</v>
      </c>
      <c r="J26" s="30"/>
      <c r="K26" s="30"/>
    </row>
    <row r="27" spans="1:11" ht="13.5" customHeight="1" x14ac:dyDescent="0.15">
      <c r="A27" s="55"/>
      <c r="B27" s="344">
        <v>44081</v>
      </c>
      <c r="C27" s="345">
        <v>44092</v>
      </c>
      <c r="D27" s="346">
        <v>0.33333333333333331</v>
      </c>
      <c r="E27" s="346">
        <v>0.33333333333333331</v>
      </c>
      <c r="F27" s="350"/>
      <c r="G27" s="348"/>
      <c r="H27" s="348">
        <v>10</v>
      </c>
      <c r="I27" s="352" t="s">
        <v>438</v>
      </c>
      <c r="J27" s="30"/>
      <c r="K27" s="30"/>
    </row>
    <row r="28" spans="1:11" ht="13.5" customHeight="1" x14ac:dyDescent="0.15">
      <c r="A28" s="55"/>
      <c r="B28" s="344">
        <v>44422</v>
      </c>
      <c r="C28" s="345">
        <v>44440</v>
      </c>
      <c r="D28" s="346">
        <v>0.33333333333333331</v>
      </c>
      <c r="E28" s="346">
        <v>0.33333333333333331</v>
      </c>
      <c r="F28" s="350"/>
      <c r="G28" s="348"/>
      <c r="H28" s="351">
        <v>15</v>
      </c>
      <c r="I28" s="352" t="s">
        <v>438</v>
      </c>
      <c r="J28" s="30"/>
      <c r="K28" s="30"/>
    </row>
    <row r="29" spans="1:11" ht="13.5" customHeight="1" x14ac:dyDescent="0.15">
      <c r="A29" s="55"/>
      <c r="B29" s="344">
        <v>44600</v>
      </c>
      <c r="C29" s="345">
        <v>44614</v>
      </c>
      <c r="D29" s="346">
        <v>0.33333333333333331</v>
      </c>
      <c r="E29" s="346">
        <v>0.33333333333333331</v>
      </c>
      <c r="F29" s="350"/>
      <c r="G29" s="348"/>
      <c r="H29" s="351">
        <v>12</v>
      </c>
      <c r="I29" s="352" t="s">
        <v>438</v>
      </c>
      <c r="J29" s="30"/>
      <c r="K29" s="30"/>
    </row>
    <row r="30" spans="1:11" ht="13.5" customHeight="1" x14ac:dyDescent="0.15">
      <c r="A30" s="55"/>
      <c r="B30" s="344">
        <v>45026</v>
      </c>
      <c r="C30" s="345">
        <v>45035</v>
      </c>
      <c r="D30" s="346">
        <v>0.33333333333333331</v>
      </c>
      <c r="E30" s="346">
        <v>0.33333333333333331</v>
      </c>
      <c r="F30" s="350"/>
      <c r="G30" s="348"/>
      <c r="H30" s="351">
        <v>8</v>
      </c>
      <c r="I30" s="352" t="s">
        <v>438</v>
      </c>
      <c r="J30" s="30"/>
      <c r="K30" s="30"/>
    </row>
    <row r="31" spans="1:11" s="410" customFormat="1" ht="13.5" customHeight="1" x14ac:dyDescent="0.15">
      <c r="A31" s="55"/>
      <c r="B31" s="58">
        <v>45241</v>
      </c>
      <c r="C31" s="56">
        <v>45245</v>
      </c>
      <c r="D31" s="57">
        <v>0.33333333333333331</v>
      </c>
      <c r="E31" s="57">
        <v>0.33333333333333331</v>
      </c>
      <c r="F31" s="59"/>
      <c r="G31" s="67"/>
      <c r="H31" s="408">
        <v>3</v>
      </c>
      <c r="I31" s="409"/>
      <c r="J31" s="30"/>
      <c r="K31" s="30"/>
    </row>
    <row r="32" spans="1:11" s="410" customFormat="1" ht="13.5" customHeight="1" x14ac:dyDescent="0.15">
      <c r="A32" s="55"/>
      <c r="B32" s="58" t="s">
        <v>500</v>
      </c>
      <c r="C32" s="56" t="s">
        <v>500</v>
      </c>
      <c r="D32" s="57">
        <v>0.33333333333333331</v>
      </c>
      <c r="E32" s="57">
        <v>0.33333333333333331</v>
      </c>
      <c r="F32" s="59"/>
      <c r="G32" s="67"/>
      <c r="H32" s="408">
        <v>1</v>
      </c>
      <c r="I32" s="409"/>
      <c r="J32" s="30"/>
      <c r="K32" s="30"/>
    </row>
    <row r="33" spans="1:11" s="410" customFormat="1" ht="13.5" customHeight="1" x14ac:dyDescent="0.15">
      <c r="A33" s="55"/>
      <c r="B33" s="58" t="s">
        <v>501</v>
      </c>
      <c r="C33" s="58" t="s">
        <v>501</v>
      </c>
      <c r="D33" s="57">
        <v>0.33333333333333331</v>
      </c>
      <c r="E33" s="57">
        <v>0.33333333333333331</v>
      </c>
      <c r="F33" s="59"/>
      <c r="G33" s="67"/>
      <c r="H33" s="408">
        <v>1</v>
      </c>
      <c r="I33" s="409"/>
      <c r="J33" s="30"/>
      <c r="K33" s="30"/>
    </row>
    <row r="34" spans="1:11" s="410" customFormat="1" ht="13.5" customHeight="1" x14ac:dyDescent="0.15">
      <c r="A34" s="55"/>
      <c r="B34" s="58">
        <v>45534</v>
      </c>
      <c r="C34" s="56">
        <v>45544</v>
      </c>
      <c r="D34" s="57">
        <v>0.33333333333333331</v>
      </c>
      <c r="E34" s="57">
        <v>0.33333333333333331</v>
      </c>
      <c r="F34" s="59"/>
      <c r="G34" s="67"/>
      <c r="H34" s="408">
        <v>9</v>
      </c>
      <c r="I34" s="409"/>
      <c r="J34" s="30"/>
      <c r="K34" s="30"/>
    </row>
    <row r="35" spans="1:11" s="410" customFormat="1" ht="13.5" customHeight="1" x14ac:dyDescent="0.15">
      <c r="A35" s="55"/>
      <c r="B35" s="58">
        <v>45610</v>
      </c>
      <c r="C35" s="56">
        <v>45610</v>
      </c>
      <c r="D35" s="57">
        <v>0.33333333333333331</v>
      </c>
      <c r="E35" s="57">
        <v>0.33333333333333331</v>
      </c>
      <c r="F35" s="59"/>
      <c r="G35" s="67"/>
      <c r="H35" s="408">
        <v>1</v>
      </c>
      <c r="I35" s="60"/>
      <c r="J35" s="30"/>
      <c r="K35" s="30"/>
    </row>
    <row r="36" spans="1:11" s="410" customFormat="1" ht="13.5" customHeight="1" x14ac:dyDescent="0.15">
      <c r="A36" s="55"/>
      <c r="B36" s="58">
        <v>45857</v>
      </c>
      <c r="C36" s="56">
        <v>45865</v>
      </c>
      <c r="D36" s="57"/>
      <c r="E36" s="57"/>
      <c r="F36" s="59"/>
      <c r="G36" s="67"/>
      <c r="H36" s="408">
        <v>7</v>
      </c>
      <c r="I36" s="60"/>
      <c r="J36" s="30"/>
      <c r="K36" s="30"/>
    </row>
    <row r="37" spans="1:11" s="410" customFormat="1" ht="13.5" customHeight="1" x14ac:dyDescent="0.15">
      <c r="A37" s="55"/>
      <c r="B37" s="58">
        <v>46099</v>
      </c>
      <c r="C37" s="56">
        <v>46100</v>
      </c>
      <c r="D37" s="57"/>
      <c r="E37" s="57"/>
      <c r="F37" s="59"/>
      <c r="G37" s="67"/>
      <c r="H37" s="408">
        <v>1</v>
      </c>
      <c r="I37" s="60"/>
      <c r="J37" s="30"/>
      <c r="K37" s="30"/>
    </row>
    <row r="38" spans="1:11" s="410" customFormat="1" ht="13.5" customHeight="1" x14ac:dyDescent="0.15">
      <c r="A38" s="55"/>
      <c r="B38" s="58">
        <v>46165</v>
      </c>
      <c r="C38" s="56">
        <v>46174</v>
      </c>
      <c r="D38" s="57"/>
      <c r="E38" s="57"/>
      <c r="F38" s="59"/>
      <c r="G38" s="67"/>
      <c r="H38" s="408">
        <v>2</v>
      </c>
      <c r="I38" s="60"/>
      <c r="J38" s="30"/>
      <c r="K38" s="30"/>
    </row>
    <row r="39" spans="1:11" s="410" customFormat="1" ht="13.5" customHeight="1" x14ac:dyDescent="0.15">
      <c r="A39" s="55"/>
      <c r="B39" s="58"/>
      <c r="C39" s="56"/>
      <c r="D39" s="57"/>
      <c r="E39" s="57"/>
      <c r="F39" s="59"/>
      <c r="G39" s="67"/>
      <c r="H39" s="408"/>
      <c r="I39" s="60"/>
      <c r="J39" s="30"/>
      <c r="K39" s="30"/>
    </row>
    <row r="40" spans="1:11" s="410" customFormat="1" ht="13.5" customHeight="1" x14ac:dyDescent="0.15">
      <c r="A40" s="55"/>
      <c r="B40" s="58"/>
      <c r="C40" s="56"/>
      <c r="D40" s="57"/>
      <c r="E40" s="57"/>
      <c r="F40" s="59"/>
      <c r="G40" s="67"/>
      <c r="H40" s="408"/>
      <c r="I40" s="60"/>
      <c r="J40" s="30"/>
      <c r="K40" s="30"/>
    </row>
    <row r="41" spans="1:11" s="410" customFormat="1" ht="13.5" customHeight="1" x14ac:dyDescent="0.15">
      <c r="A41" s="55"/>
      <c r="B41" s="58"/>
      <c r="C41" s="56"/>
      <c r="D41" s="57"/>
      <c r="E41" s="57"/>
      <c r="F41" s="59"/>
      <c r="G41" s="67"/>
      <c r="H41" s="408"/>
      <c r="I41" s="60"/>
      <c r="J41" s="30"/>
      <c r="K41" s="30"/>
    </row>
    <row r="42" spans="1:11" s="410" customFormat="1" ht="13.5" customHeight="1" x14ac:dyDescent="0.15">
      <c r="A42" s="55"/>
      <c r="B42" s="58"/>
      <c r="C42" s="56"/>
      <c r="D42" s="57"/>
      <c r="E42" s="57"/>
      <c r="F42" s="59"/>
      <c r="G42" s="67"/>
      <c r="H42" s="411"/>
      <c r="I42" s="60"/>
      <c r="J42" s="30"/>
      <c r="K42" s="30"/>
    </row>
    <row r="43" spans="1:11" s="410" customFormat="1" ht="13.5" customHeight="1" x14ac:dyDescent="0.15">
      <c r="A43" s="55"/>
      <c r="B43" s="58"/>
      <c r="C43" s="56"/>
      <c r="D43" s="57"/>
      <c r="E43" s="57"/>
      <c r="F43" s="59"/>
      <c r="G43" s="67"/>
      <c r="H43" s="411"/>
      <c r="I43" s="60"/>
      <c r="J43" s="30"/>
      <c r="K43" s="30"/>
    </row>
    <row r="44" spans="1:11" s="410" customFormat="1" ht="13.5" customHeight="1" x14ac:dyDescent="0.15">
      <c r="A44" s="55"/>
      <c r="B44" s="58"/>
      <c r="C44" s="56"/>
      <c r="D44" s="57"/>
      <c r="E44" s="57"/>
      <c r="F44" s="59"/>
      <c r="G44" s="67"/>
      <c r="H44" s="67"/>
      <c r="I44" s="60"/>
      <c r="J44" s="30"/>
      <c r="K44" s="30"/>
    </row>
    <row r="45" spans="1:11" x14ac:dyDescent="0.15">
      <c r="A45" s="72"/>
      <c r="B45" s="73"/>
      <c r="C45" s="74"/>
      <c r="D45" s="75"/>
      <c r="E45" s="75"/>
      <c r="F45" s="102" t="s">
        <v>123</v>
      </c>
      <c r="G45" s="103">
        <f>SUM(G5:G44)</f>
        <v>190</v>
      </c>
      <c r="H45" s="103">
        <f>SUM(H7:H44)</f>
        <v>147</v>
      </c>
      <c r="I45" s="61"/>
      <c r="J45" s="30"/>
      <c r="K45" s="30"/>
    </row>
    <row r="46" spans="1:11" x14ac:dyDescent="0.15">
      <c r="A46" s="30"/>
      <c r="B46" s="30"/>
      <c r="C46" s="30"/>
      <c r="D46" s="62"/>
      <c r="E46" s="62"/>
      <c r="F46" s="62"/>
      <c r="G46" s="63"/>
      <c r="H46" s="63"/>
      <c r="I46" s="63"/>
      <c r="J46" s="30"/>
      <c r="K46" s="30"/>
    </row>
    <row r="47" spans="1:11" x14ac:dyDescent="0.15">
      <c r="A47" s="30"/>
      <c r="B47" s="30"/>
      <c r="C47" s="30"/>
      <c r="D47" s="62"/>
      <c r="E47" s="62"/>
      <c r="F47" s="1173" t="s">
        <v>8</v>
      </c>
      <c r="G47" s="1174"/>
      <c r="H47" s="105">
        <f>G45-H45</f>
        <v>43</v>
      </c>
      <c r="I47" s="63"/>
      <c r="J47" s="30"/>
      <c r="K47" s="30"/>
    </row>
  </sheetData>
  <mergeCells count="3">
    <mergeCell ref="F47:G47"/>
    <mergeCell ref="J1:J3"/>
    <mergeCell ref="C1:H5"/>
  </mergeCells>
  <hyperlinks>
    <hyperlink ref="J1:J3" location="'ANA SAYFA'!A1" display="ANA SAYFA"/>
  </hyperlinks>
  <pageMargins left="0.78" right="0.12" top="0.3" bottom="0.75" header="0.3" footer="0.3"/>
  <pageSetup paperSize="9" scale="64" orientation="portrait" r:id="rId1"/>
  <rowBreaks count="1" manualBreakCount="1">
    <brk id="6" max="16383" man="1"/>
  </rowBreaks>
  <colBreaks count="1" manualBreakCount="1">
    <brk id="1" max="1048575" man="1"/>
  </colBreak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zoomScaleNormal="100" workbookViewId="0">
      <selection activeCell="J1" sqref="J1:J3"/>
    </sheetView>
  </sheetViews>
  <sheetFormatPr defaultColWidth="9.140625" defaultRowHeight="11.25" x14ac:dyDescent="0.15"/>
  <cols>
    <col min="1" max="1" width="18.5703125" style="113" bestFit="1" customWidth="1"/>
    <col min="2" max="2" width="24.140625" style="113" bestFit="1" customWidth="1"/>
    <col min="3" max="3" width="26" style="113" bestFit="1" customWidth="1"/>
    <col min="4" max="4" width="9.7109375" style="113" customWidth="1"/>
    <col min="5" max="5" width="8.85546875" style="113" bestFit="1" customWidth="1"/>
    <col min="6" max="6" width="20.140625" style="113" bestFit="1" customWidth="1"/>
    <col min="7" max="8" width="12.7109375" style="113" customWidth="1"/>
    <col min="9" max="9" width="4.42578125" style="113" customWidth="1"/>
    <col min="10" max="10" width="11.7109375" style="113" customWidth="1"/>
    <col min="11" max="16384" width="9.140625" style="113"/>
  </cols>
  <sheetData>
    <row r="1" spans="1:11" ht="13.5" customHeight="1" x14ac:dyDescent="0.15">
      <c r="A1" s="29" t="s">
        <v>135</v>
      </c>
      <c r="B1" s="151" t="str">
        <f>'ANA SAYFA'!B81</f>
        <v>ERTÜRK TORUK</v>
      </c>
      <c r="C1" s="1166" t="s">
        <v>136</v>
      </c>
      <c r="D1" s="1166"/>
      <c r="E1" s="1166"/>
      <c r="F1" s="1166"/>
      <c r="G1" s="1166"/>
      <c r="H1" s="1166"/>
      <c r="J1" s="1157" t="s">
        <v>712</v>
      </c>
    </row>
    <row r="2" spans="1:11" ht="13.5" customHeight="1" x14ac:dyDescent="0.15">
      <c r="A2" s="29" t="s">
        <v>137</v>
      </c>
      <c r="B2" s="161">
        <f>'ANA SAYFA'!D81</f>
        <v>29263710426</v>
      </c>
      <c r="C2" s="1166"/>
      <c r="D2" s="1166"/>
      <c r="E2" s="1166"/>
      <c r="F2" s="1166"/>
      <c r="G2" s="1166"/>
      <c r="H2" s="1166"/>
      <c r="J2" s="1158"/>
    </row>
    <row r="3" spans="1:11" ht="13.5" customHeight="1" thickBot="1" x14ac:dyDescent="0.2">
      <c r="A3" s="29" t="s">
        <v>131</v>
      </c>
      <c r="B3" s="162" t="str">
        <f>'ANA SAYFA'!C81</f>
        <v>EKSKAVATÖR OPR.</v>
      </c>
      <c r="C3" s="1166"/>
      <c r="D3" s="1166"/>
      <c r="E3" s="1166"/>
      <c r="F3" s="1166"/>
      <c r="G3" s="1166"/>
      <c r="H3" s="1166"/>
      <c r="J3" s="1159"/>
    </row>
    <row r="4" spans="1:11" ht="13.5" customHeight="1" x14ac:dyDescent="0.15">
      <c r="A4" s="29" t="s">
        <v>120</v>
      </c>
      <c r="B4" s="89">
        <f>'ANA SAYFA'!E81</f>
        <v>44817</v>
      </c>
      <c r="C4" s="1166"/>
      <c r="D4" s="1166"/>
      <c r="E4" s="1166"/>
      <c r="F4" s="1166"/>
      <c r="G4" s="1166"/>
      <c r="H4" s="1166"/>
    </row>
    <row r="5" spans="1:11" ht="13.5" customHeight="1" x14ac:dyDescent="0.15">
      <c r="A5" s="29" t="s">
        <v>130</v>
      </c>
      <c r="B5" s="89">
        <f>'ANA SAYFA'!F81</f>
        <v>28126</v>
      </c>
      <c r="C5" s="1166"/>
      <c r="D5" s="1166"/>
      <c r="E5" s="1166"/>
      <c r="F5" s="1166"/>
      <c r="G5" s="1166"/>
      <c r="H5" s="1166"/>
    </row>
    <row r="6" spans="1:11" ht="31.5" x14ac:dyDescent="0.15">
      <c r="A6" s="69" t="s">
        <v>0</v>
      </c>
      <c r="B6" s="70" t="s">
        <v>1</v>
      </c>
      <c r="C6" s="69" t="s">
        <v>2</v>
      </c>
      <c r="D6" s="71" t="s">
        <v>133</v>
      </c>
      <c r="E6" s="71" t="s">
        <v>4</v>
      </c>
      <c r="F6" s="71" t="s">
        <v>7</v>
      </c>
      <c r="G6" s="71" t="s">
        <v>6</v>
      </c>
      <c r="H6" s="71" t="s">
        <v>3</v>
      </c>
    </row>
    <row r="7" spans="1:11" ht="13.5" customHeight="1" x14ac:dyDescent="0.15">
      <c r="A7" s="35"/>
      <c r="B7" s="36">
        <v>44908</v>
      </c>
      <c r="C7" s="37">
        <v>44913</v>
      </c>
      <c r="D7" s="38">
        <v>0.33333333333333331</v>
      </c>
      <c r="E7" s="38">
        <v>0.33333333333333331</v>
      </c>
      <c r="F7" s="89" t="s">
        <v>623</v>
      </c>
      <c r="G7" s="106">
        <v>14</v>
      </c>
      <c r="H7" s="115">
        <v>4</v>
      </c>
      <c r="J7" s="41"/>
      <c r="K7" s="41"/>
    </row>
    <row r="8" spans="1:11" ht="13.5" customHeight="1" x14ac:dyDescent="0.15">
      <c r="A8" s="42"/>
      <c r="B8" s="36">
        <v>46104</v>
      </c>
      <c r="C8" s="37">
        <v>46105</v>
      </c>
      <c r="D8" s="38"/>
      <c r="E8" s="57"/>
      <c r="F8" s="89" t="s">
        <v>624</v>
      </c>
      <c r="G8" s="106">
        <v>14</v>
      </c>
      <c r="H8" s="115">
        <v>1</v>
      </c>
      <c r="J8" s="30"/>
      <c r="K8" s="30"/>
    </row>
    <row r="9" spans="1:11" ht="13.5" customHeight="1" x14ac:dyDescent="0.15">
      <c r="A9" s="42"/>
      <c r="B9" s="36">
        <v>46181</v>
      </c>
      <c r="C9" s="37">
        <v>46184</v>
      </c>
      <c r="D9" s="38"/>
      <c r="E9" s="57"/>
      <c r="F9" s="104"/>
      <c r="G9" s="66"/>
      <c r="H9" s="115">
        <v>3</v>
      </c>
      <c r="J9" s="30"/>
      <c r="K9" s="30"/>
    </row>
    <row r="10" spans="1:11" ht="13.5" customHeight="1" x14ac:dyDescent="0.15">
      <c r="A10" s="42"/>
      <c r="B10" s="566"/>
      <c r="C10" s="37"/>
      <c r="D10" s="38"/>
      <c r="E10" s="57"/>
      <c r="F10" s="564"/>
      <c r="G10" s="66"/>
      <c r="H10" s="115"/>
      <c r="J10" s="30"/>
      <c r="K10" s="30"/>
    </row>
    <row r="11" spans="1:11" ht="13.5" customHeight="1" x14ac:dyDescent="0.15">
      <c r="A11" s="42"/>
      <c r="B11" s="566"/>
      <c r="C11" s="37"/>
      <c r="D11" s="38"/>
      <c r="E11" s="57"/>
      <c r="F11" s="564"/>
      <c r="G11" s="66"/>
      <c r="H11" s="115"/>
      <c r="J11" s="30"/>
      <c r="K11" s="30"/>
    </row>
    <row r="12" spans="1:11" ht="13.5" customHeight="1" x14ac:dyDescent="0.15">
      <c r="A12" s="42"/>
      <c r="B12" s="566"/>
      <c r="C12" s="37"/>
      <c r="D12" s="38"/>
      <c r="E12" s="57"/>
      <c r="F12" s="564"/>
      <c r="G12" s="66"/>
      <c r="H12" s="115"/>
      <c r="J12" s="30"/>
      <c r="K12" s="30"/>
    </row>
    <row r="13" spans="1:11" ht="13.5" customHeight="1" x14ac:dyDescent="0.15">
      <c r="A13" s="42"/>
      <c r="B13" s="566"/>
      <c r="C13" s="37"/>
      <c r="D13" s="38"/>
      <c r="E13" s="57"/>
      <c r="F13" s="564"/>
      <c r="G13" s="66"/>
      <c r="H13" s="115"/>
      <c r="J13" s="30"/>
      <c r="K13" s="30"/>
    </row>
    <row r="14" spans="1:11" ht="13.5" customHeight="1" x14ac:dyDescent="0.15">
      <c r="A14" s="42"/>
      <c r="B14" s="566"/>
      <c r="C14" s="37"/>
      <c r="D14" s="38"/>
      <c r="E14" s="57"/>
      <c r="F14" s="564"/>
      <c r="G14" s="66"/>
      <c r="H14" s="115"/>
      <c r="J14" s="30"/>
      <c r="K14" s="30"/>
    </row>
    <row r="15" spans="1:11" ht="13.5" customHeight="1" x14ac:dyDescent="0.15">
      <c r="A15" s="42"/>
      <c r="B15" s="566"/>
      <c r="C15" s="37"/>
      <c r="D15" s="38"/>
      <c r="E15" s="57"/>
      <c r="F15" s="564"/>
      <c r="G15" s="66"/>
      <c r="H15" s="115"/>
      <c r="J15" s="30"/>
      <c r="K15" s="30"/>
    </row>
    <row r="16" spans="1:11" ht="13.5" customHeight="1" x14ac:dyDescent="0.15">
      <c r="A16" s="43"/>
      <c r="B16" s="36"/>
      <c r="C16" s="44"/>
      <c r="D16" s="86"/>
      <c r="E16" s="86"/>
      <c r="F16" s="66"/>
      <c r="G16" s="66"/>
      <c r="H16" s="115"/>
    </row>
    <row r="17" spans="1:11" ht="13.5" customHeight="1" x14ac:dyDescent="0.15">
      <c r="A17" s="47"/>
      <c r="B17" s="36"/>
      <c r="C17" s="44"/>
      <c r="D17" s="38"/>
      <c r="E17" s="38"/>
      <c r="F17" s="66"/>
      <c r="G17" s="66"/>
      <c r="H17" s="106"/>
      <c r="J17" s="41"/>
      <c r="K17" s="41"/>
    </row>
    <row r="18" spans="1:11" ht="13.5" customHeight="1" x14ac:dyDescent="0.15">
      <c r="A18" s="55"/>
      <c r="B18" s="58"/>
      <c r="C18" s="56"/>
      <c r="D18" s="38"/>
      <c r="E18" s="38"/>
      <c r="F18" s="66"/>
      <c r="G18" s="66"/>
      <c r="H18" s="66"/>
      <c r="J18" s="30"/>
      <c r="K18" s="30"/>
    </row>
    <row r="19" spans="1:11" ht="13.5" customHeight="1" x14ac:dyDescent="0.15">
      <c r="A19" s="55"/>
      <c r="B19" s="58"/>
      <c r="C19" s="56"/>
      <c r="D19" s="38"/>
      <c r="E19" s="38"/>
      <c r="F19" s="66"/>
      <c r="G19" s="66"/>
      <c r="H19" s="66"/>
    </row>
    <row r="20" spans="1:11" ht="13.5" customHeight="1" x14ac:dyDescent="0.15">
      <c r="A20" s="55"/>
      <c r="B20" s="58"/>
      <c r="C20" s="56"/>
      <c r="D20" s="57"/>
      <c r="E20" s="57"/>
      <c r="F20" s="48"/>
      <c r="G20" s="66"/>
      <c r="H20" s="66"/>
    </row>
    <row r="21" spans="1:11" ht="13.5" customHeight="1" x14ac:dyDescent="0.15">
      <c r="A21" s="55"/>
      <c r="B21" s="58"/>
      <c r="C21" s="56"/>
      <c r="D21" s="57"/>
      <c r="E21" s="57"/>
      <c r="F21" s="48"/>
      <c r="G21" s="66"/>
      <c r="H21" s="66"/>
    </row>
    <row r="22" spans="1:11" ht="13.5" customHeight="1" x14ac:dyDescent="0.15">
      <c r="A22" s="55"/>
      <c r="B22" s="58"/>
      <c r="C22" s="56"/>
      <c r="D22" s="57"/>
      <c r="E22" s="57"/>
      <c r="F22" s="48"/>
      <c r="G22" s="66"/>
      <c r="H22" s="66"/>
    </row>
    <row r="23" spans="1:11" ht="13.5" customHeight="1" x14ac:dyDescent="0.15">
      <c r="A23" s="55"/>
      <c r="B23" s="58"/>
      <c r="C23" s="56"/>
      <c r="D23" s="57"/>
      <c r="E23" s="57"/>
      <c r="F23" s="48"/>
      <c r="G23" s="66"/>
      <c r="H23" s="66"/>
    </row>
    <row r="24" spans="1:11" ht="13.5" customHeight="1" x14ac:dyDescent="0.15">
      <c r="A24" s="55"/>
      <c r="B24" s="58"/>
      <c r="C24" s="56"/>
      <c r="D24" s="57"/>
      <c r="E24" s="57"/>
      <c r="F24" s="48"/>
      <c r="G24" s="66"/>
      <c r="H24" s="66"/>
    </row>
    <row r="25" spans="1:11" ht="13.5" customHeight="1" x14ac:dyDescent="0.15">
      <c r="A25" s="55"/>
      <c r="B25" s="58"/>
      <c r="C25" s="56"/>
      <c r="D25" s="57"/>
      <c r="E25" s="57"/>
      <c r="F25" s="48"/>
      <c r="G25" s="66"/>
      <c r="H25" s="66"/>
    </row>
    <row r="26" spans="1:11" ht="13.5" customHeight="1" x14ac:dyDescent="0.15">
      <c r="A26" s="55"/>
      <c r="B26" s="58"/>
      <c r="C26" s="56"/>
      <c r="D26" s="57"/>
      <c r="E26" s="57"/>
      <c r="F26" s="48"/>
      <c r="G26" s="66"/>
      <c r="H26" s="66"/>
    </row>
    <row r="27" spans="1:11" ht="13.5" customHeight="1" x14ac:dyDescent="0.15">
      <c r="A27" s="55"/>
      <c r="B27" s="58"/>
      <c r="C27" s="56"/>
      <c r="D27" s="57"/>
      <c r="E27" s="57"/>
      <c r="F27" s="48"/>
      <c r="G27" s="66"/>
      <c r="H27" s="66"/>
    </row>
    <row r="28" spans="1:11" ht="13.5" customHeight="1" x14ac:dyDescent="0.15">
      <c r="A28" s="55"/>
      <c r="B28" s="58"/>
      <c r="C28" s="56"/>
      <c r="D28" s="57"/>
      <c r="E28" s="57"/>
      <c r="F28" s="48"/>
      <c r="G28" s="66"/>
      <c r="H28" s="66"/>
    </row>
    <row r="29" spans="1:11" ht="13.5" customHeight="1" x14ac:dyDescent="0.15">
      <c r="F29" s="102" t="s">
        <v>123</v>
      </c>
      <c r="G29" s="102">
        <f>SUM(G7:G20)</f>
        <v>28</v>
      </c>
      <c r="H29" s="102">
        <f>SUM(H7:H27)</f>
        <v>8</v>
      </c>
    </row>
    <row r="30" spans="1:11" ht="13.5" customHeight="1" x14ac:dyDescent="0.15">
      <c r="F30" s="62"/>
      <c r="G30" s="63"/>
      <c r="H30" s="63"/>
    </row>
    <row r="31" spans="1:11" ht="13.5" customHeight="1" x14ac:dyDescent="0.15">
      <c r="F31" s="1173" t="s">
        <v>8</v>
      </c>
      <c r="G31" s="1174"/>
      <c r="H31" s="107">
        <f>G29-H29</f>
        <v>20</v>
      </c>
    </row>
  </sheetData>
  <mergeCells count="3">
    <mergeCell ref="F31:G31"/>
    <mergeCell ref="C1:H5"/>
    <mergeCell ref="J1:J3"/>
  </mergeCells>
  <hyperlinks>
    <hyperlink ref="J1:J3" location="'ANA SAYFA'!A1" display="ANA SAYFA"/>
  </hyperlinks>
  <pageMargins left="0.7" right="0.12" top="0.31" bottom="0.75" header="0.3" footer="0.3"/>
  <pageSetup paperSize="9" scale="78"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5"/>
  <sheetViews>
    <sheetView zoomScaleNormal="100" workbookViewId="0">
      <selection activeCell="J1" sqref="J1:J3"/>
    </sheetView>
  </sheetViews>
  <sheetFormatPr defaultColWidth="9.140625" defaultRowHeight="12.75" x14ac:dyDescent="0.2"/>
  <cols>
    <col min="1" max="1" width="18.140625" style="82" bestFit="1" customWidth="1"/>
    <col min="2" max="3" width="27.5703125" style="82" bestFit="1" customWidth="1"/>
    <col min="4" max="4" width="9.140625" style="82"/>
    <col min="5" max="5" width="8.7109375" style="82" customWidth="1"/>
    <col min="6" max="6" width="20.85546875" style="82" bestFit="1" customWidth="1"/>
    <col min="7" max="8" width="13.85546875" style="82" customWidth="1"/>
    <col min="9" max="9" width="4.7109375" style="82" customWidth="1"/>
    <col min="10" max="10" width="12" style="82" customWidth="1"/>
    <col min="11" max="16384" width="9.140625" style="82"/>
  </cols>
  <sheetData>
    <row r="1" spans="1:11" ht="13.15" customHeight="1" x14ac:dyDescent="0.2">
      <c r="A1" s="29" t="s">
        <v>135</v>
      </c>
      <c r="B1" s="151" t="str">
        <f>'ANA SAYFA'!B82</f>
        <v xml:space="preserve">ERTÜRK KAYA </v>
      </c>
      <c r="C1" s="1166" t="s">
        <v>136</v>
      </c>
      <c r="D1" s="1166"/>
      <c r="E1" s="1166"/>
      <c r="F1" s="1166"/>
      <c r="G1" s="1166"/>
      <c r="H1" s="1166"/>
      <c r="J1" s="1157" t="s">
        <v>712</v>
      </c>
    </row>
    <row r="2" spans="1:11" ht="13.15" customHeight="1" x14ac:dyDescent="0.2">
      <c r="A2" s="29" t="s">
        <v>137</v>
      </c>
      <c r="B2" s="161">
        <f>'ANA SAYFA'!D82</f>
        <v>51283251344</v>
      </c>
      <c r="C2" s="1166"/>
      <c r="D2" s="1166"/>
      <c r="E2" s="1166"/>
      <c r="F2" s="1166"/>
      <c r="G2" s="1166"/>
      <c r="H2" s="1166"/>
      <c r="J2" s="1158"/>
    </row>
    <row r="3" spans="1:11" ht="13.15" customHeight="1" thickBot="1" x14ac:dyDescent="0.25">
      <c r="A3" s="29" t="s">
        <v>131</v>
      </c>
      <c r="B3" s="162" t="str">
        <f>'ANA SAYFA'!C82</f>
        <v>KAMYON ŞOFÖRÜ</v>
      </c>
      <c r="C3" s="1166"/>
      <c r="D3" s="1166"/>
      <c r="E3" s="1166"/>
      <c r="F3" s="1166"/>
      <c r="G3" s="1166"/>
      <c r="H3" s="1166"/>
      <c r="J3" s="1159"/>
    </row>
    <row r="4" spans="1:11" ht="13.15" customHeight="1" x14ac:dyDescent="0.2">
      <c r="A4" s="29" t="s">
        <v>120</v>
      </c>
      <c r="B4" s="89">
        <f>'ANA SAYFA'!E82</f>
        <v>45372</v>
      </c>
      <c r="C4" s="1166"/>
      <c r="D4" s="1166"/>
      <c r="E4" s="1166"/>
      <c r="F4" s="1166"/>
      <c r="G4" s="1166"/>
      <c r="H4" s="1166"/>
    </row>
    <row r="5" spans="1:11" ht="13.15" customHeight="1" x14ac:dyDescent="0.2">
      <c r="A5" s="29" t="s">
        <v>130</v>
      </c>
      <c r="B5" s="89">
        <f>'ANA SAYFA'!F82</f>
        <v>22503</v>
      </c>
      <c r="C5" s="1166"/>
      <c r="D5" s="1166"/>
      <c r="E5" s="1166"/>
      <c r="F5" s="1166"/>
      <c r="G5" s="1166"/>
      <c r="H5" s="1166"/>
    </row>
    <row r="6" spans="1:11" ht="42" x14ac:dyDescent="0.2">
      <c r="A6" s="69" t="s">
        <v>0</v>
      </c>
      <c r="B6" s="70" t="s">
        <v>1</v>
      </c>
      <c r="C6" s="69" t="s">
        <v>2</v>
      </c>
      <c r="D6" s="71" t="s">
        <v>133</v>
      </c>
      <c r="E6" s="71" t="s">
        <v>4</v>
      </c>
      <c r="F6" s="71" t="s">
        <v>7</v>
      </c>
      <c r="G6" s="71" t="s">
        <v>6</v>
      </c>
      <c r="H6" s="71" t="s">
        <v>3</v>
      </c>
    </row>
    <row r="7" spans="1:11" x14ac:dyDescent="0.2">
      <c r="B7" s="155">
        <v>45489</v>
      </c>
      <c r="C7" s="155">
        <v>45489</v>
      </c>
      <c r="D7" s="168">
        <v>0.33333333333333331</v>
      </c>
      <c r="E7" s="168">
        <v>0.33333333333333331</v>
      </c>
      <c r="F7" s="189" t="s">
        <v>719</v>
      </c>
      <c r="G7" s="191">
        <v>20</v>
      </c>
      <c r="H7" s="238">
        <v>1</v>
      </c>
      <c r="J7" s="190"/>
      <c r="K7" s="190"/>
    </row>
    <row r="8" spans="1:11" ht="17.45" customHeight="1" x14ac:dyDescent="0.2">
      <c r="B8" s="1285" t="s">
        <v>632</v>
      </c>
      <c r="C8" s="1286"/>
      <c r="D8" s="168"/>
      <c r="E8" s="144"/>
      <c r="F8" s="189" t="s">
        <v>971</v>
      </c>
      <c r="G8" s="191">
        <v>20</v>
      </c>
      <c r="H8" s="634">
        <v>-1</v>
      </c>
      <c r="J8" s="148"/>
      <c r="K8" s="148"/>
    </row>
    <row r="9" spans="1:11" x14ac:dyDescent="0.2">
      <c r="A9" s="146"/>
      <c r="B9" s="155">
        <v>45542</v>
      </c>
      <c r="C9" s="156">
        <v>45542</v>
      </c>
      <c r="D9" s="168">
        <v>0.33333333333333331</v>
      </c>
      <c r="E9" s="168">
        <v>0.33333333333333331</v>
      </c>
      <c r="F9" s="191"/>
      <c r="G9" s="145"/>
      <c r="H9" s="238">
        <v>1</v>
      </c>
      <c r="J9" s="148"/>
      <c r="K9" s="148"/>
    </row>
    <row r="10" spans="1:11" x14ac:dyDescent="0.2">
      <c r="A10" s="141"/>
      <c r="B10" s="155">
        <v>45735</v>
      </c>
      <c r="C10" s="158">
        <v>45735</v>
      </c>
      <c r="D10" s="168">
        <v>0.33333333333333331</v>
      </c>
      <c r="E10" s="168">
        <v>0.33333333333333331</v>
      </c>
      <c r="F10" s="145"/>
      <c r="G10" s="145"/>
      <c r="H10" s="238">
        <v>1</v>
      </c>
    </row>
    <row r="11" spans="1:11" x14ac:dyDescent="0.2">
      <c r="A11" s="160"/>
      <c r="B11" s="155">
        <v>45733</v>
      </c>
      <c r="C11" s="158">
        <v>45733</v>
      </c>
      <c r="D11" s="168">
        <v>0.33333333333333331</v>
      </c>
      <c r="E11" s="168">
        <v>0.33333333333333331</v>
      </c>
      <c r="F11" s="145"/>
      <c r="G11" s="145"/>
      <c r="H11" s="240">
        <v>1</v>
      </c>
      <c r="J11" s="190"/>
      <c r="K11" s="190"/>
    </row>
    <row r="12" spans="1:11" x14ac:dyDescent="0.2">
      <c r="A12" s="147"/>
      <c r="B12" s="142">
        <v>45800</v>
      </c>
      <c r="C12" s="143">
        <v>45804</v>
      </c>
      <c r="D12" s="168">
        <v>0.33333333333333331</v>
      </c>
      <c r="E12" s="168">
        <v>0.33333333333333331</v>
      </c>
      <c r="F12" s="145"/>
      <c r="G12" s="145"/>
      <c r="H12" s="241">
        <v>4</v>
      </c>
      <c r="J12" s="148"/>
      <c r="K12" s="148"/>
    </row>
    <row r="13" spans="1:11" x14ac:dyDescent="0.2">
      <c r="A13" s="147"/>
      <c r="B13" s="142">
        <v>45852</v>
      </c>
      <c r="C13" s="143">
        <v>45852</v>
      </c>
      <c r="D13" s="168">
        <v>0.33333333333333331</v>
      </c>
      <c r="E13" s="168">
        <v>0.33333333333333331</v>
      </c>
      <c r="F13" s="145"/>
      <c r="G13" s="145"/>
      <c r="H13" s="241">
        <v>1</v>
      </c>
    </row>
    <row r="14" spans="1:11" x14ac:dyDescent="0.2">
      <c r="A14" s="147"/>
      <c r="B14" s="142">
        <v>45875</v>
      </c>
      <c r="C14" s="143">
        <v>45875</v>
      </c>
      <c r="D14" s="735"/>
      <c r="E14" s="735"/>
      <c r="F14" s="140"/>
      <c r="G14" s="145"/>
      <c r="H14" s="241">
        <v>1</v>
      </c>
    </row>
    <row r="15" spans="1:11" x14ac:dyDescent="0.2">
      <c r="A15" s="147"/>
      <c r="B15" s="142">
        <v>45905</v>
      </c>
      <c r="C15" s="143">
        <v>45908</v>
      </c>
      <c r="D15" s="735">
        <v>0.33333333333333331</v>
      </c>
      <c r="E15" s="735">
        <v>0.33333333333333331</v>
      </c>
      <c r="F15" s="140"/>
      <c r="G15" s="145"/>
      <c r="H15" s="241">
        <v>2</v>
      </c>
    </row>
    <row r="16" spans="1:11" x14ac:dyDescent="0.2">
      <c r="A16" s="147"/>
      <c r="B16" s="142">
        <v>46046</v>
      </c>
      <c r="C16" s="143">
        <v>46048</v>
      </c>
      <c r="D16" s="144"/>
      <c r="E16" s="144"/>
      <c r="F16" s="140"/>
      <c r="G16" s="145"/>
      <c r="H16" s="241">
        <v>1</v>
      </c>
    </row>
    <row r="17" spans="1:8" x14ac:dyDescent="0.2">
      <c r="A17" s="147"/>
      <c r="B17" s="142">
        <v>46050</v>
      </c>
      <c r="C17" s="143">
        <v>46051</v>
      </c>
      <c r="D17" s="144"/>
      <c r="E17" s="144"/>
      <c r="F17" s="140"/>
      <c r="G17" s="145"/>
      <c r="H17" s="241">
        <v>1</v>
      </c>
    </row>
    <row r="18" spans="1:8" x14ac:dyDescent="0.2">
      <c r="A18" s="147"/>
      <c r="B18" s="142">
        <v>46099</v>
      </c>
      <c r="C18" s="143">
        <v>46100</v>
      </c>
      <c r="D18" s="144"/>
      <c r="E18" s="144"/>
      <c r="F18" s="140"/>
      <c r="G18" s="145"/>
      <c r="H18" s="241">
        <v>1</v>
      </c>
    </row>
    <row r="19" spans="1:8" x14ac:dyDescent="0.2">
      <c r="A19" s="147"/>
      <c r="B19" s="142">
        <v>46165</v>
      </c>
      <c r="C19" s="143">
        <v>46174</v>
      </c>
      <c r="D19" s="144"/>
      <c r="E19" s="144"/>
      <c r="F19" s="140"/>
      <c r="G19" s="145"/>
      <c r="H19" s="241">
        <v>2</v>
      </c>
    </row>
    <row r="20" spans="1:8" x14ac:dyDescent="0.2">
      <c r="A20" s="147"/>
      <c r="B20" s="142"/>
      <c r="C20" s="143"/>
      <c r="D20" s="144"/>
      <c r="E20" s="144"/>
      <c r="F20" s="48"/>
      <c r="G20" s="66"/>
      <c r="H20" s="241"/>
    </row>
    <row r="21" spans="1:8" x14ac:dyDescent="0.2">
      <c r="A21" s="147"/>
      <c r="B21" s="142"/>
      <c r="C21" s="143"/>
      <c r="D21" s="144"/>
      <c r="E21" s="144"/>
      <c r="F21" s="48"/>
      <c r="G21" s="66"/>
      <c r="H21" s="633"/>
    </row>
    <row r="22" spans="1:8" x14ac:dyDescent="0.2">
      <c r="A22" s="147"/>
      <c r="B22" s="142"/>
      <c r="C22" s="143"/>
      <c r="D22" s="144"/>
      <c r="E22" s="144"/>
      <c r="F22" s="48"/>
      <c r="G22" s="66"/>
      <c r="H22" s="633"/>
    </row>
    <row r="23" spans="1:8" x14ac:dyDescent="0.2">
      <c r="F23" s="294" t="s">
        <v>123</v>
      </c>
      <c r="G23" s="77">
        <f>SUM(G7:G14)</f>
        <v>40</v>
      </c>
      <c r="H23" s="108">
        <f>SUM(H7:H21)</f>
        <v>16</v>
      </c>
    </row>
    <row r="24" spans="1:8" x14ac:dyDescent="0.2">
      <c r="F24" s="62"/>
      <c r="G24" s="63"/>
      <c r="H24" s="63"/>
    </row>
    <row r="25" spans="1:8" ht="14.25" x14ac:dyDescent="0.2">
      <c r="F25" s="1153" t="s">
        <v>8</v>
      </c>
      <c r="G25" s="1154"/>
      <c r="H25" s="84">
        <f>G23-H23</f>
        <v>24</v>
      </c>
    </row>
  </sheetData>
  <mergeCells count="4">
    <mergeCell ref="F25:G25"/>
    <mergeCell ref="J1:J3"/>
    <mergeCell ref="C1:H5"/>
    <mergeCell ref="B8:C8"/>
  </mergeCells>
  <hyperlinks>
    <hyperlink ref="J1:J3" location="'ANA SAYFA'!A1" display="ANA SAYFA"/>
  </hyperlinks>
  <pageMargins left="0.7" right="0.2" top="0.28999999999999998" bottom="0.75" header="0.3" footer="0.3"/>
  <pageSetup paperSize="9" scale="71"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6"/>
  <sheetViews>
    <sheetView zoomScale="115" zoomScaleNormal="115" workbookViewId="0">
      <pane ySplit="6" topLeftCell="A7" activePane="bottomLeft" state="frozen"/>
      <selection pane="bottomLeft" activeCell="J1" sqref="J1:J3"/>
    </sheetView>
  </sheetViews>
  <sheetFormatPr defaultColWidth="9.140625" defaultRowHeight="11.25" x14ac:dyDescent="0.2"/>
  <cols>
    <col min="1" max="1" width="18.5703125" style="120" bestFit="1" customWidth="1"/>
    <col min="2" max="3" width="26.7109375" style="120" bestFit="1" customWidth="1"/>
    <col min="4" max="5" width="9.5703125" style="120" customWidth="1"/>
    <col min="6" max="6" width="18" style="120" bestFit="1" customWidth="1"/>
    <col min="7" max="7" width="14.28515625" style="120" bestFit="1" customWidth="1"/>
    <col min="8" max="8" width="12.7109375" style="120" bestFit="1" customWidth="1"/>
    <col min="9" max="9" width="4" style="120" customWidth="1"/>
    <col min="10" max="10" width="11.85546875" style="120" customWidth="1"/>
    <col min="11" max="16384" width="9.140625" style="120"/>
  </cols>
  <sheetData>
    <row r="1" spans="1:11" ht="15" customHeight="1" x14ac:dyDescent="0.2">
      <c r="A1" s="135" t="s">
        <v>135</v>
      </c>
      <c r="B1" s="193" t="str">
        <f>'ANA SAYFA'!B83</f>
        <v>VOLKAN ŞAHİN</v>
      </c>
      <c r="C1" s="1166" t="s">
        <v>136</v>
      </c>
      <c r="D1" s="1166"/>
      <c r="E1" s="1166"/>
      <c r="F1" s="1166"/>
      <c r="G1" s="1166"/>
      <c r="H1" s="1166"/>
      <c r="J1" s="1157" t="s">
        <v>712</v>
      </c>
    </row>
    <row r="2" spans="1:11" ht="15" customHeight="1" x14ac:dyDescent="0.2">
      <c r="A2" s="135" t="s">
        <v>137</v>
      </c>
      <c r="B2" s="186">
        <f>'ANA SAYFA'!D83</f>
        <v>28958197818</v>
      </c>
      <c r="C2" s="1166"/>
      <c r="D2" s="1166"/>
      <c r="E2" s="1166"/>
      <c r="F2" s="1166"/>
      <c r="G2" s="1166"/>
      <c r="H2" s="1166"/>
      <c r="J2" s="1158"/>
    </row>
    <row r="3" spans="1:11" ht="15" customHeight="1" thickBot="1" x14ac:dyDescent="0.25">
      <c r="A3" s="135" t="s">
        <v>131</v>
      </c>
      <c r="B3" s="187" t="str">
        <f>'ANA SAYFA'!C83</f>
        <v>TIR ÇEKİCİ ŞOFÖRÜ</v>
      </c>
      <c r="C3" s="1166"/>
      <c r="D3" s="1166"/>
      <c r="E3" s="1166"/>
      <c r="F3" s="1166"/>
      <c r="G3" s="1166"/>
      <c r="H3" s="1166"/>
      <c r="J3" s="1159"/>
    </row>
    <row r="4" spans="1:11" ht="15" customHeight="1" x14ac:dyDescent="0.2">
      <c r="A4" s="135" t="s">
        <v>120</v>
      </c>
      <c r="B4" s="136">
        <f>'ANA SAYFA'!E83</f>
        <v>46032</v>
      </c>
      <c r="C4" s="1166"/>
      <c r="D4" s="1166"/>
      <c r="E4" s="1166"/>
      <c r="F4" s="1166"/>
      <c r="G4" s="1166"/>
      <c r="H4" s="1166"/>
    </row>
    <row r="5" spans="1:11" ht="15" customHeight="1" x14ac:dyDescent="0.2">
      <c r="A5" s="135" t="s">
        <v>130</v>
      </c>
      <c r="B5" s="136">
        <f>'ANA SAYFA'!F83</f>
        <v>33755</v>
      </c>
      <c r="C5" s="1166"/>
      <c r="D5" s="1166"/>
      <c r="E5" s="1166"/>
      <c r="F5" s="1166"/>
      <c r="G5" s="1166"/>
      <c r="H5" s="1166"/>
      <c r="J5" s="706"/>
      <c r="K5" s="706"/>
    </row>
    <row r="6" spans="1:11" ht="31.5" x14ac:dyDescent="0.2">
      <c r="A6" s="69" t="s">
        <v>0</v>
      </c>
      <c r="B6" s="70" t="s">
        <v>1</v>
      </c>
      <c r="C6" s="69" t="s">
        <v>2</v>
      </c>
      <c r="D6" s="71" t="s">
        <v>133</v>
      </c>
      <c r="E6" s="71" t="s">
        <v>4</v>
      </c>
      <c r="F6" s="71" t="s">
        <v>7</v>
      </c>
      <c r="G6" s="71" t="s">
        <v>6</v>
      </c>
      <c r="H6" s="71" t="s">
        <v>3</v>
      </c>
      <c r="J6" s="706"/>
      <c r="K6" s="706"/>
    </row>
    <row r="7" spans="1:11" ht="13.5" customHeight="1" x14ac:dyDescent="0.2">
      <c r="A7" s="121"/>
      <c r="B7" s="1024">
        <v>46049</v>
      </c>
      <c r="C7" s="675">
        <v>46050</v>
      </c>
      <c r="D7" s="676"/>
      <c r="E7" s="676"/>
      <c r="F7" s="205"/>
      <c r="G7" s="123"/>
      <c r="H7" s="705">
        <v>1</v>
      </c>
      <c r="J7" s="124"/>
      <c r="K7" s="124"/>
    </row>
    <row r="8" spans="1:11" ht="13.5" customHeight="1" x14ac:dyDescent="0.2">
      <c r="A8" s="121"/>
      <c r="B8" s="1024">
        <v>46125</v>
      </c>
      <c r="C8" s="675">
        <v>46126</v>
      </c>
      <c r="D8" s="676"/>
      <c r="E8" s="676"/>
      <c r="F8" s="205"/>
      <c r="G8" s="123"/>
      <c r="H8" s="705">
        <v>1</v>
      </c>
      <c r="J8" s="124" t="s">
        <v>830</v>
      </c>
      <c r="K8" s="124"/>
    </row>
    <row r="9" spans="1:11" ht="13.5" customHeight="1" x14ac:dyDescent="0.2">
      <c r="A9" s="121"/>
      <c r="B9" s="1024">
        <v>46136</v>
      </c>
      <c r="C9" s="675">
        <v>46137</v>
      </c>
      <c r="D9" s="676"/>
      <c r="E9" s="676"/>
      <c r="F9" s="205"/>
      <c r="G9" s="123"/>
      <c r="H9" s="705">
        <v>1</v>
      </c>
      <c r="J9" s="124" t="s">
        <v>830</v>
      </c>
      <c r="K9" s="124"/>
    </row>
    <row r="10" spans="1:11" ht="13.5" customHeight="1" x14ac:dyDescent="0.2">
      <c r="A10" s="707"/>
      <c r="B10" s="1068" t="s">
        <v>1004</v>
      </c>
      <c r="C10" s="1069"/>
      <c r="D10" s="1070"/>
      <c r="E10" s="1070"/>
      <c r="F10" s="1071"/>
      <c r="G10" s="1072"/>
      <c r="H10" s="1073">
        <v>-3</v>
      </c>
      <c r="J10" s="33"/>
      <c r="K10" s="33"/>
    </row>
    <row r="11" spans="1:11" ht="13.5" customHeight="1" x14ac:dyDescent="0.2">
      <c r="A11" s="707"/>
      <c r="B11" s="1024">
        <v>46157</v>
      </c>
      <c r="C11" s="675">
        <v>46158</v>
      </c>
      <c r="D11" s="676"/>
      <c r="E11" s="676"/>
      <c r="F11" s="211"/>
      <c r="G11" s="123"/>
      <c r="H11" s="705">
        <v>1</v>
      </c>
      <c r="J11" s="33"/>
      <c r="K11" s="33"/>
    </row>
    <row r="12" spans="1:11" ht="13.5" customHeight="1" x14ac:dyDescent="0.2">
      <c r="A12" s="707"/>
      <c r="B12" s="1024">
        <v>46192</v>
      </c>
      <c r="C12" s="675">
        <v>46193</v>
      </c>
      <c r="D12" s="676"/>
      <c r="E12" s="676"/>
      <c r="F12" s="212"/>
      <c r="G12" s="709"/>
      <c r="H12" s="705">
        <v>1</v>
      </c>
      <c r="J12" s="33"/>
      <c r="K12" s="33"/>
    </row>
    <row r="13" spans="1:11" ht="13.5" customHeight="1" x14ac:dyDescent="0.2">
      <c r="A13" s="710"/>
      <c r="B13" s="1024">
        <v>46202</v>
      </c>
      <c r="C13" s="711">
        <v>46204</v>
      </c>
      <c r="D13" s="712"/>
      <c r="E13" s="712"/>
      <c r="F13" s="742"/>
      <c r="G13" s="709"/>
      <c r="H13" s="223">
        <v>2</v>
      </c>
    </row>
    <row r="14" spans="1:11" ht="13.5" customHeight="1" x14ac:dyDescent="0.2">
      <c r="A14" s="131"/>
      <c r="B14" s="1024"/>
      <c r="C14" s="711"/>
      <c r="D14" s="676"/>
      <c r="E14" s="676"/>
      <c r="F14" s="742"/>
      <c r="G14" s="709"/>
      <c r="H14" s="123"/>
      <c r="J14" s="124"/>
      <c r="K14" s="124"/>
    </row>
    <row r="15" spans="1:11" ht="13.5" customHeight="1" x14ac:dyDescent="0.2">
      <c r="A15" s="707"/>
      <c r="B15" s="1024"/>
      <c r="C15" s="675"/>
      <c r="D15" s="676"/>
      <c r="E15" s="676"/>
      <c r="F15" s="742"/>
      <c r="G15" s="709"/>
      <c r="H15" s="709"/>
      <c r="J15" s="33"/>
      <c r="K15" s="33"/>
    </row>
    <row r="16" spans="1:11" ht="13.5" customHeight="1" x14ac:dyDescent="0.2">
      <c r="A16" s="707"/>
      <c r="B16" s="1024"/>
      <c r="C16" s="675"/>
      <c r="D16" s="676"/>
      <c r="E16" s="676"/>
      <c r="F16" s="742"/>
      <c r="G16" s="709"/>
      <c r="H16" s="709"/>
    </row>
    <row r="17" spans="1:8" ht="13.5" customHeight="1" x14ac:dyDescent="0.2">
      <c r="A17" s="707"/>
      <c r="B17" s="1024"/>
      <c r="C17" s="675"/>
      <c r="D17" s="676"/>
      <c r="E17" s="676"/>
      <c r="F17" s="742"/>
      <c r="G17" s="709"/>
      <c r="H17" s="709"/>
    </row>
    <row r="18" spans="1:8" ht="13.5" customHeight="1" x14ac:dyDescent="0.2">
      <c r="A18" s="707"/>
      <c r="B18" s="1024"/>
      <c r="C18" s="675"/>
      <c r="D18" s="712"/>
      <c r="E18" s="712"/>
      <c r="F18" s="742"/>
      <c r="G18" s="709"/>
      <c r="H18" s="223"/>
    </row>
    <row r="19" spans="1:8" ht="13.5" customHeight="1" x14ac:dyDescent="0.2">
      <c r="A19" s="707"/>
      <c r="B19" s="1024"/>
      <c r="C19" s="675"/>
      <c r="D19" s="676"/>
      <c r="E19" s="676"/>
      <c r="F19" s="742"/>
      <c r="G19" s="709"/>
      <c r="H19" s="206"/>
    </row>
    <row r="20" spans="1:8" ht="13.5" customHeight="1" x14ac:dyDescent="0.2">
      <c r="A20" s="707"/>
      <c r="B20" s="1024"/>
      <c r="C20" s="675"/>
      <c r="D20" s="676"/>
      <c r="E20" s="676"/>
      <c r="F20" s="742"/>
      <c r="G20" s="709"/>
      <c r="H20" s="206"/>
    </row>
    <row r="21" spans="1:8" ht="13.5" customHeight="1" x14ac:dyDescent="0.2">
      <c r="A21" s="1291"/>
      <c r="B21" s="1292"/>
      <c r="C21" s="1292"/>
      <c r="D21" s="1292"/>
      <c r="E21" s="1293"/>
      <c r="F21" s="742"/>
      <c r="G21" s="709"/>
      <c r="H21" s="709"/>
    </row>
    <row r="22" spans="1:8" ht="13.5" customHeight="1" x14ac:dyDescent="0.2">
      <c r="A22" s="707"/>
      <c r="B22" s="1024"/>
      <c r="C22" s="675"/>
      <c r="D22" s="676"/>
      <c r="E22" s="676"/>
      <c r="F22" s="742"/>
      <c r="G22" s="709"/>
      <c r="H22" s="206"/>
    </row>
    <row r="23" spans="1:8" ht="13.5" customHeight="1" x14ac:dyDescent="0.2">
      <c r="A23" s="707"/>
      <c r="B23" s="1024"/>
      <c r="C23" s="675"/>
      <c r="D23" s="676"/>
      <c r="E23" s="676"/>
      <c r="F23" s="742"/>
      <c r="G23" s="709"/>
      <c r="H23" s="206"/>
    </row>
    <row r="24" spans="1:8" ht="13.5" customHeight="1" x14ac:dyDescent="0.2">
      <c r="A24" s="707"/>
      <c r="B24" s="1024"/>
      <c r="C24" s="675"/>
      <c r="D24" s="676"/>
      <c r="E24" s="676"/>
      <c r="F24" s="742"/>
      <c r="G24" s="709"/>
      <c r="H24" s="709"/>
    </row>
    <row r="25" spans="1:8" s="706" customFormat="1" ht="13.5" customHeight="1" x14ac:dyDescent="0.2">
      <c r="A25" s="707"/>
      <c r="B25" s="1024"/>
      <c r="C25" s="1024"/>
      <c r="D25" s="676"/>
      <c r="E25" s="676"/>
      <c r="F25" s="742"/>
      <c r="G25" s="709"/>
      <c r="H25" s="206"/>
    </row>
    <row r="26" spans="1:8" ht="13.5" customHeight="1" x14ac:dyDescent="0.2">
      <c r="A26" s="707"/>
      <c r="B26" s="1024"/>
      <c r="C26" s="675"/>
      <c r="D26" s="676"/>
      <c r="E26" s="676"/>
      <c r="F26" s="742"/>
      <c r="G26" s="709"/>
      <c r="H26" s="206"/>
    </row>
    <row r="27" spans="1:8" ht="13.5" customHeight="1" x14ac:dyDescent="0.2">
      <c r="A27" s="707"/>
      <c r="B27" s="1024"/>
      <c r="C27" s="675"/>
      <c r="D27" s="676"/>
      <c r="E27" s="676"/>
      <c r="F27" s="742"/>
      <c r="G27" s="709"/>
      <c r="H27" s="709"/>
    </row>
    <row r="28" spans="1:8" ht="13.5" customHeight="1" x14ac:dyDescent="0.2">
      <c r="A28" s="707"/>
      <c r="B28" s="1287"/>
      <c r="C28" s="1288"/>
      <c r="D28" s="676"/>
      <c r="E28" s="676"/>
      <c r="F28" s="742"/>
      <c r="G28" s="709"/>
      <c r="H28" s="709"/>
    </row>
    <row r="29" spans="1:8" ht="13.5" customHeight="1" x14ac:dyDescent="0.2">
      <c r="A29" s="707"/>
      <c r="B29" s="1289"/>
      <c r="C29" s="1290"/>
      <c r="D29" s="676"/>
      <c r="E29" s="676"/>
      <c r="F29" s="742"/>
      <c r="G29" s="709"/>
      <c r="H29" s="709"/>
    </row>
    <row r="30" spans="1:8" s="706" customFormat="1" ht="13.5" customHeight="1" x14ac:dyDescent="0.2">
      <c r="A30" s="707"/>
      <c r="B30" s="1024"/>
      <c r="C30" s="675"/>
      <c r="D30" s="676"/>
      <c r="E30" s="676"/>
      <c r="F30" s="742"/>
      <c r="G30" s="1024"/>
      <c r="H30" s="709"/>
    </row>
    <row r="31" spans="1:8" ht="13.5" customHeight="1" x14ac:dyDescent="0.2">
      <c r="A31" s="707"/>
      <c r="B31" s="1024"/>
      <c r="C31" s="675"/>
      <c r="D31" s="676"/>
      <c r="E31" s="676"/>
      <c r="F31" s="742"/>
      <c r="G31" s="1024"/>
      <c r="H31" s="709"/>
    </row>
    <row r="32" spans="1:8" ht="13.5" customHeight="1" x14ac:dyDescent="0.2">
      <c r="A32" s="707"/>
      <c r="B32" s="1289"/>
      <c r="C32" s="1290"/>
      <c r="D32" s="836"/>
      <c r="E32" s="836"/>
      <c r="F32" s="836"/>
      <c r="G32" s="709"/>
      <c r="H32" s="709"/>
    </row>
    <row r="33" spans="1:8" ht="13.5" customHeight="1" x14ac:dyDescent="0.2">
      <c r="A33" s="707"/>
      <c r="B33" s="1024"/>
      <c r="C33" s="675"/>
      <c r="D33" s="676"/>
      <c r="E33" s="676"/>
      <c r="F33" s="742"/>
      <c r="G33" s="1024"/>
      <c r="H33" s="709"/>
    </row>
    <row r="34" spans="1:8" ht="13.5" customHeight="1" x14ac:dyDescent="0.2">
      <c r="A34" s="707"/>
      <c r="B34" s="938"/>
      <c r="C34" s="939"/>
      <c r="D34" s="940"/>
      <c r="E34" s="940"/>
      <c r="F34" s="1002"/>
      <c r="G34" s="938"/>
      <c r="H34" s="941"/>
    </row>
    <row r="35" spans="1:8" s="706" customFormat="1" ht="13.5" customHeight="1" x14ac:dyDescent="0.2">
      <c r="A35" s="707"/>
      <c r="B35" s="1024"/>
      <c r="C35" s="675"/>
      <c r="D35" s="676"/>
      <c r="E35" s="676"/>
      <c r="F35" s="742"/>
      <c r="G35" s="1024"/>
      <c r="H35" s="709"/>
    </row>
    <row r="36" spans="1:8" s="706" customFormat="1" ht="13.5" customHeight="1" x14ac:dyDescent="0.2">
      <c r="A36" s="707"/>
      <c r="B36" s="1024"/>
      <c r="C36" s="675"/>
      <c r="D36" s="676"/>
      <c r="E36" s="676"/>
      <c r="F36" s="742"/>
      <c r="G36" s="1024"/>
      <c r="H36" s="709"/>
    </row>
    <row r="37" spans="1:8" s="706" customFormat="1" x14ac:dyDescent="0.2">
      <c r="A37" s="707"/>
      <c r="B37" s="1289"/>
      <c r="C37" s="1290"/>
      <c r="D37" s="836"/>
      <c r="E37" s="836"/>
      <c r="F37" s="836"/>
      <c r="G37" s="709"/>
      <c r="H37" s="709"/>
    </row>
    <row r="38" spans="1:8" s="706" customFormat="1" ht="13.5" hidden="1" customHeight="1" x14ac:dyDescent="0.2">
      <c r="A38" s="707"/>
      <c r="B38" s="1024"/>
      <c r="C38" s="675"/>
      <c r="D38" s="676"/>
      <c r="E38" s="676"/>
      <c r="F38" s="742"/>
      <c r="G38" s="1024"/>
      <c r="H38" s="709"/>
    </row>
    <row r="39" spans="1:8" s="706" customFormat="1" ht="13.5" hidden="1" customHeight="1" x14ac:dyDescent="0.2">
      <c r="A39" s="707"/>
      <c r="B39" s="1024"/>
      <c r="C39" s="675"/>
      <c r="D39" s="676"/>
      <c r="E39" s="676"/>
      <c r="F39" s="742"/>
      <c r="G39" s="1024"/>
      <c r="H39" s="709"/>
    </row>
    <row r="40" spans="1:8" s="706" customFormat="1" ht="13.5" hidden="1" customHeight="1" x14ac:dyDescent="0.2">
      <c r="A40" s="707"/>
      <c r="B40" s="1024"/>
      <c r="C40" s="675"/>
      <c r="D40" s="676"/>
      <c r="E40" s="676"/>
      <c r="F40" s="742"/>
      <c r="G40" s="1024"/>
      <c r="H40" s="709"/>
    </row>
    <row r="41" spans="1:8" s="706" customFormat="1" ht="13.5" hidden="1" customHeight="1" x14ac:dyDescent="0.2">
      <c r="A41" s="707"/>
      <c r="B41" s="1024"/>
      <c r="C41" s="675"/>
      <c r="D41" s="676"/>
      <c r="E41" s="676"/>
      <c r="F41" s="742"/>
      <c r="G41" s="1024"/>
      <c r="H41" s="709"/>
    </row>
    <row r="42" spans="1:8" s="706" customFormat="1" ht="13.5" hidden="1" customHeight="1" x14ac:dyDescent="0.2">
      <c r="A42" s="707"/>
      <c r="B42" s="1024"/>
      <c r="C42" s="675"/>
      <c r="D42" s="676"/>
      <c r="E42" s="676"/>
      <c r="F42" s="742"/>
      <c r="G42" s="1024"/>
      <c r="H42" s="709"/>
    </row>
    <row r="43" spans="1:8" s="706" customFormat="1" ht="13.5" hidden="1" customHeight="1" x14ac:dyDescent="0.2">
      <c r="A43" s="707"/>
      <c r="B43" s="1024"/>
      <c r="C43" s="675"/>
      <c r="D43" s="676"/>
      <c r="E43" s="676"/>
      <c r="F43" s="742"/>
      <c r="G43" s="1024"/>
      <c r="H43" s="709"/>
    </row>
    <row r="44" spans="1:8" s="706" customFormat="1" ht="13.5" hidden="1" customHeight="1" x14ac:dyDescent="0.2">
      <c r="A44" s="707"/>
      <c r="B44" s="1024"/>
      <c r="C44" s="675"/>
      <c r="D44" s="676"/>
      <c r="E44" s="676"/>
      <c r="F44" s="742"/>
      <c r="G44" s="1024"/>
      <c r="H44" s="709"/>
    </row>
    <row r="45" spans="1:8" s="706" customFormat="1" ht="13.5" hidden="1" customHeight="1" x14ac:dyDescent="0.2">
      <c r="A45" s="707"/>
      <c r="B45" s="1024"/>
      <c r="C45" s="675"/>
      <c r="D45" s="676"/>
      <c r="E45" s="676"/>
      <c r="F45" s="742"/>
      <c r="G45" s="1024"/>
      <c r="H45" s="709"/>
    </row>
    <row r="46" spans="1:8" s="706" customFormat="1" ht="13.5" hidden="1" customHeight="1" x14ac:dyDescent="0.2">
      <c r="A46" s="707"/>
      <c r="B46" s="1024"/>
      <c r="C46" s="675"/>
      <c r="D46" s="676"/>
      <c r="E46" s="676"/>
      <c r="F46" s="742"/>
      <c r="G46" s="1024"/>
      <c r="H46" s="709"/>
    </row>
    <row r="47" spans="1:8" s="706" customFormat="1" x14ac:dyDescent="0.2">
      <c r="A47" s="707"/>
      <c r="B47" s="1024"/>
      <c r="C47" s="675"/>
      <c r="D47" s="676"/>
      <c r="E47" s="676"/>
      <c r="F47" s="742"/>
      <c r="G47" s="1024"/>
      <c r="H47" s="709"/>
    </row>
    <row r="48" spans="1:8" s="706" customFormat="1" x14ac:dyDescent="0.2">
      <c r="A48" s="707"/>
      <c r="B48" s="1289"/>
      <c r="C48" s="1290"/>
      <c r="D48" s="836"/>
      <c r="E48" s="836"/>
      <c r="F48" s="836"/>
      <c r="G48" s="709"/>
      <c r="H48" s="709"/>
    </row>
    <row r="49" spans="1:8" x14ac:dyDescent="0.2">
      <c r="A49" s="707"/>
      <c r="B49" s="1024"/>
      <c r="C49" s="675"/>
      <c r="D49" s="676"/>
      <c r="E49" s="676"/>
      <c r="F49" s="742"/>
      <c r="G49" s="1024"/>
      <c r="H49" s="709"/>
    </row>
    <row r="50" spans="1:8" x14ac:dyDescent="0.2">
      <c r="A50" s="707"/>
      <c r="B50" s="1024"/>
      <c r="C50" s="675"/>
      <c r="D50" s="676"/>
      <c r="E50" s="676"/>
      <c r="F50" s="742"/>
      <c r="G50" s="1024"/>
      <c r="H50" s="709"/>
    </row>
    <row r="51" spans="1:8" x14ac:dyDescent="0.2">
      <c r="A51" s="707"/>
      <c r="B51" s="1024"/>
      <c r="C51" s="675"/>
      <c r="D51" s="676"/>
      <c r="E51" s="676"/>
      <c r="F51" s="742"/>
      <c r="G51" s="1024"/>
      <c r="H51" s="709"/>
    </row>
    <row r="52" spans="1:8" x14ac:dyDescent="0.2">
      <c r="A52" s="707"/>
      <c r="B52" s="1024"/>
      <c r="C52" s="675"/>
      <c r="D52" s="676"/>
      <c r="E52" s="676"/>
      <c r="F52" s="742"/>
      <c r="G52" s="1024"/>
      <c r="H52" s="709"/>
    </row>
    <row r="53" spans="1:8" ht="13.5" customHeight="1" x14ac:dyDescent="0.2">
      <c r="A53" s="125"/>
      <c r="B53" s="36"/>
      <c r="C53" s="37"/>
      <c r="D53" s="38"/>
      <c r="E53" s="38"/>
      <c r="F53" s="176"/>
      <c r="G53" s="524"/>
      <c r="H53" s="127"/>
    </row>
    <row r="54" spans="1:8" ht="16.5" customHeight="1" x14ac:dyDescent="0.2">
      <c r="F54" s="713" t="s">
        <v>123</v>
      </c>
      <c r="G54" s="713">
        <f>SUM(G7:G53)</f>
        <v>0</v>
      </c>
      <c r="H54" s="713">
        <f>SUM(H7:H53)</f>
        <v>4</v>
      </c>
    </row>
    <row r="55" spans="1:8" ht="16.5" customHeight="1" x14ac:dyDescent="0.2">
      <c r="F55" s="671"/>
      <c r="G55" s="714"/>
      <c r="H55" s="714"/>
    </row>
    <row r="56" spans="1:8" ht="16.5" customHeight="1" x14ac:dyDescent="0.2">
      <c r="F56" s="1169" t="s">
        <v>8</v>
      </c>
      <c r="G56" s="1170"/>
      <c r="H56" s="715">
        <f>G54-H54</f>
        <v>-4</v>
      </c>
    </row>
  </sheetData>
  <mergeCells count="9">
    <mergeCell ref="F56:G56"/>
    <mergeCell ref="J1:J3"/>
    <mergeCell ref="C1:H5"/>
    <mergeCell ref="B28:C28"/>
    <mergeCell ref="B29:C29"/>
    <mergeCell ref="A21:E21"/>
    <mergeCell ref="B32:C32"/>
    <mergeCell ref="B37:C37"/>
    <mergeCell ref="B48:C48"/>
  </mergeCells>
  <hyperlinks>
    <hyperlink ref="J1:J3" location="'ANA SAYFA'!A1" display="ANA SAYFA"/>
  </hyperlinks>
  <pageMargins left="0.7" right="0.12" top="0.28999999999999998" bottom="0.75" header="0.3" footer="0.3"/>
  <pageSetup paperSize="9" scale="70" orientation="portrait" horizontalDpi="300" verticalDpi="300"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8"/>
  <sheetViews>
    <sheetView workbookViewId="0">
      <selection activeCell="J1" sqref="J1:J3"/>
    </sheetView>
  </sheetViews>
  <sheetFormatPr defaultColWidth="9.140625" defaultRowHeight="12.75" x14ac:dyDescent="0.2"/>
  <cols>
    <col min="1" max="1" width="20.28515625" style="82" bestFit="1" customWidth="1"/>
    <col min="2" max="2" width="33" style="82" bestFit="1" customWidth="1"/>
    <col min="3" max="3" width="24.7109375" style="82" bestFit="1" customWidth="1"/>
    <col min="4" max="4" width="6.7109375" style="82" bestFit="1" customWidth="1"/>
    <col min="5" max="5" width="9.140625" style="82"/>
    <col min="6" max="6" width="26.28515625" style="82" bestFit="1" customWidth="1"/>
    <col min="7" max="7" width="14.28515625" style="82" bestFit="1" customWidth="1"/>
    <col min="8" max="8" width="12.5703125" style="82" bestFit="1" customWidth="1"/>
    <col min="9" max="9" width="3.5703125" style="82" customWidth="1"/>
    <col min="10" max="10" width="11.140625" style="82" customWidth="1"/>
    <col min="11" max="16384" width="9.140625" style="82"/>
  </cols>
  <sheetData>
    <row r="1" spans="1:11" ht="15" customHeight="1" x14ac:dyDescent="0.2">
      <c r="A1" s="322" t="s">
        <v>135</v>
      </c>
      <c r="B1" s="188" t="str">
        <f>'ANA SAYFA'!B84</f>
        <v>ÖMER ÖZTÜRK</v>
      </c>
      <c r="C1" s="1166" t="s">
        <v>136</v>
      </c>
      <c r="D1" s="1166"/>
      <c r="E1" s="1166"/>
      <c r="F1" s="1166"/>
      <c r="G1" s="1166"/>
      <c r="H1" s="1166"/>
      <c r="I1" s="706"/>
      <c r="J1" s="1157" t="s">
        <v>712</v>
      </c>
    </row>
    <row r="2" spans="1:11" ht="15" customHeight="1" x14ac:dyDescent="0.2">
      <c r="A2" s="322" t="s">
        <v>137</v>
      </c>
      <c r="B2" s="154">
        <f>'ANA SAYFA'!D84</f>
        <v>35258203682</v>
      </c>
      <c r="C2" s="1166"/>
      <c r="D2" s="1166"/>
      <c r="E2" s="1166"/>
      <c r="F2" s="1166"/>
      <c r="G2" s="1166"/>
      <c r="H2" s="1166"/>
      <c r="I2" s="706"/>
      <c r="J2" s="1158"/>
    </row>
    <row r="3" spans="1:11" ht="15" customHeight="1" thickBot="1" x14ac:dyDescent="0.25">
      <c r="A3" s="322" t="s">
        <v>131</v>
      </c>
      <c r="B3" s="153" t="str">
        <f>'ANA SAYFA'!C84</f>
        <v>TIR-ÇEKİCİ ŞOFÖRÜ</v>
      </c>
      <c r="C3" s="1166"/>
      <c r="D3" s="1166"/>
      <c r="E3" s="1166"/>
      <c r="F3" s="1166"/>
      <c r="G3" s="1166"/>
      <c r="H3" s="1166"/>
      <c r="I3" s="706"/>
      <c r="J3" s="1159"/>
    </row>
    <row r="4" spans="1:11" ht="15" customHeight="1" x14ac:dyDescent="0.2">
      <c r="A4" s="322" t="s">
        <v>120</v>
      </c>
      <c r="B4" s="83">
        <f>'ANA SAYFA'!E84</f>
        <v>46134</v>
      </c>
      <c r="C4" s="1166"/>
      <c r="D4" s="1166"/>
      <c r="E4" s="1166"/>
      <c r="F4" s="1166"/>
      <c r="G4" s="1166"/>
      <c r="H4" s="1166"/>
      <c r="I4" s="706"/>
      <c r="J4" s="706"/>
    </row>
    <row r="5" spans="1:11" ht="15" customHeight="1" x14ac:dyDescent="0.2">
      <c r="A5" s="322" t="s">
        <v>130</v>
      </c>
      <c r="B5" s="83">
        <f>'ANA SAYFA'!F84</f>
        <v>24603</v>
      </c>
      <c r="C5" s="1166"/>
      <c r="D5" s="1166"/>
      <c r="E5" s="1166"/>
      <c r="F5" s="1166"/>
      <c r="G5" s="1166"/>
      <c r="H5" s="1166"/>
      <c r="I5" s="706"/>
      <c r="J5" s="699"/>
      <c r="K5" s="699"/>
    </row>
    <row r="6" spans="1:11" ht="31.5" x14ac:dyDescent="0.2">
      <c r="A6" s="69" t="s">
        <v>0</v>
      </c>
      <c r="B6" s="70" t="s">
        <v>1</v>
      </c>
      <c r="C6" s="69" t="s">
        <v>2</v>
      </c>
      <c r="D6" s="71" t="s">
        <v>133</v>
      </c>
      <c r="E6" s="71" t="s">
        <v>4</v>
      </c>
      <c r="F6" s="71" t="s">
        <v>7</v>
      </c>
      <c r="G6" s="71" t="s">
        <v>6</v>
      </c>
      <c r="H6" s="71" t="s">
        <v>3</v>
      </c>
      <c r="J6" s="699"/>
      <c r="K6" s="699"/>
    </row>
    <row r="7" spans="1:11" x14ac:dyDescent="0.2">
      <c r="A7" s="146"/>
      <c r="B7" s="155">
        <v>46165</v>
      </c>
      <c r="C7" s="156">
        <v>46174</v>
      </c>
      <c r="D7" s="735"/>
      <c r="E7" s="735"/>
      <c r="F7" s="189"/>
      <c r="G7" s="191"/>
      <c r="H7" s="882">
        <v>2</v>
      </c>
      <c r="J7" s="148"/>
      <c r="K7" s="148"/>
    </row>
    <row r="8" spans="1:11" x14ac:dyDescent="0.2">
      <c r="A8" s="146"/>
      <c r="B8" s="155"/>
      <c r="C8" s="156"/>
      <c r="D8" s="735"/>
      <c r="E8" s="735"/>
      <c r="F8" s="191"/>
      <c r="G8" s="145"/>
      <c r="H8" s="755"/>
      <c r="J8" s="148"/>
      <c r="K8" s="148"/>
    </row>
    <row r="9" spans="1:11" x14ac:dyDescent="0.2">
      <c r="A9" s="141"/>
      <c r="B9" s="1086"/>
      <c r="C9" s="732"/>
      <c r="D9" s="735"/>
      <c r="E9" s="735"/>
      <c r="F9" s="723"/>
      <c r="G9" s="723"/>
      <c r="H9" s="755"/>
    </row>
    <row r="10" spans="1:11" x14ac:dyDescent="0.2">
      <c r="A10" s="160"/>
      <c r="B10" s="155"/>
      <c r="C10" s="158"/>
      <c r="D10" s="735"/>
      <c r="E10" s="735"/>
      <c r="F10" s="145"/>
      <c r="G10" s="145"/>
      <c r="H10" s="755"/>
      <c r="J10" s="190"/>
      <c r="K10" s="190"/>
    </row>
    <row r="11" spans="1:11" x14ac:dyDescent="0.2">
      <c r="A11" s="147"/>
      <c r="B11" s="142"/>
      <c r="C11" s="143"/>
      <c r="D11" s="735"/>
      <c r="E11" s="735"/>
      <c r="F11" s="145"/>
      <c r="G11" s="145"/>
      <c r="H11" s="237"/>
      <c r="J11" s="148"/>
      <c r="K11" s="148"/>
    </row>
    <row r="12" spans="1:11" x14ac:dyDescent="0.2">
      <c r="A12" s="147"/>
      <c r="B12" s="142"/>
      <c r="C12" s="143"/>
      <c r="D12" s="735"/>
      <c r="E12" s="735"/>
      <c r="F12" s="145"/>
      <c r="G12" s="145"/>
      <c r="H12" s="237"/>
    </row>
    <row r="13" spans="1:11" s="699" customFormat="1" x14ac:dyDescent="0.2">
      <c r="A13" s="725"/>
      <c r="B13" s="720"/>
      <c r="C13" s="721"/>
      <c r="D13" s="735"/>
      <c r="E13" s="735"/>
      <c r="F13" s="723"/>
      <c r="G13" s="723"/>
      <c r="H13" s="237"/>
    </row>
    <row r="14" spans="1:11" s="699" customFormat="1" x14ac:dyDescent="0.2">
      <c r="A14" s="725"/>
      <c r="B14" s="720"/>
      <c r="C14" s="721"/>
      <c r="D14" s="735"/>
      <c r="E14" s="735"/>
      <c r="F14" s="723"/>
      <c r="G14" s="723"/>
      <c r="H14" s="237"/>
    </row>
    <row r="15" spans="1:11" s="699" customFormat="1" x14ac:dyDescent="0.2">
      <c r="A15" s="725"/>
      <c r="B15" s="720"/>
      <c r="C15" s="721"/>
      <c r="D15" s="735"/>
      <c r="E15" s="735"/>
      <c r="F15" s="723"/>
      <c r="G15" s="723"/>
      <c r="H15" s="237"/>
    </row>
    <row r="16" spans="1:11" s="699" customFormat="1" x14ac:dyDescent="0.2">
      <c r="A16" s="725"/>
      <c r="B16" s="720"/>
      <c r="C16" s="721"/>
      <c r="D16" s="735"/>
      <c r="E16" s="735"/>
      <c r="F16" s="723"/>
      <c r="G16" s="723"/>
      <c r="H16" s="237"/>
    </row>
    <row r="17" spans="1:8" s="699" customFormat="1" x14ac:dyDescent="0.2">
      <c r="A17" s="725"/>
      <c r="B17" s="720"/>
      <c r="C17" s="721"/>
      <c r="D17" s="735"/>
      <c r="E17" s="735"/>
      <c r="F17" s="723"/>
      <c r="G17" s="723"/>
      <c r="H17" s="237"/>
    </row>
    <row r="18" spans="1:8" s="699" customFormat="1" x14ac:dyDescent="0.2">
      <c r="A18" s="725"/>
      <c r="B18" s="720"/>
      <c r="C18" s="721"/>
      <c r="D18" s="735"/>
      <c r="E18" s="735"/>
      <c r="F18" s="723"/>
      <c r="G18" s="723"/>
      <c r="H18" s="237"/>
    </row>
    <row r="19" spans="1:8" s="699" customFormat="1" x14ac:dyDescent="0.2">
      <c r="A19" s="725"/>
      <c r="B19" s="720"/>
      <c r="C19" s="721"/>
      <c r="D19" s="735"/>
      <c r="E19" s="735"/>
      <c r="F19" s="723"/>
      <c r="G19" s="723"/>
      <c r="H19" s="237"/>
    </row>
    <row r="20" spans="1:8" s="699" customFormat="1" x14ac:dyDescent="0.2">
      <c r="A20" s="725"/>
      <c r="B20" s="720"/>
      <c r="C20" s="721"/>
      <c r="D20" s="735"/>
      <c r="E20" s="735"/>
      <c r="F20" s="723"/>
      <c r="G20" s="723"/>
      <c r="H20" s="237"/>
    </row>
    <row r="21" spans="1:8" s="699" customFormat="1" x14ac:dyDescent="0.2">
      <c r="A21" s="725"/>
      <c r="B21" s="720"/>
      <c r="C21" s="721"/>
      <c r="D21" s="735"/>
      <c r="E21" s="735"/>
      <c r="F21" s="723"/>
      <c r="G21" s="723"/>
      <c r="H21" s="237"/>
    </row>
    <row r="22" spans="1:8" s="699" customFormat="1" x14ac:dyDescent="0.2">
      <c r="A22" s="725"/>
      <c r="B22" s="720"/>
      <c r="C22" s="721"/>
      <c r="D22" s="735"/>
      <c r="E22" s="735"/>
      <c r="F22" s="723"/>
      <c r="G22" s="723"/>
      <c r="H22" s="237"/>
    </row>
    <row r="23" spans="1:8" s="699" customFormat="1" x14ac:dyDescent="0.2">
      <c r="A23" s="725"/>
      <c r="B23" s="720"/>
      <c r="C23" s="721"/>
      <c r="D23" s="735"/>
      <c r="E23" s="735"/>
      <c r="F23" s="723"/>
      <c r="G23" s="723"/>
      <c r="H23" s="237"/>
    </row>
    <row r="24" spans="1:8" s="699" customFormat="1" x14ac:dyDescent="0.2">
      <c r="A24" s="725"/>
      <c r="B24" s="720"/>
      <c r="C24" s="721"/>
      <c r="D24" s="735"/>
      <c r="E24" s="735"/>
      <c r="F24" s="723"/>
      <c r="G24" s="723"/>
      <c r="H24" s="237"/>
    </row>
    <row r="25" spans="1:8" s="699" customFormat="1" x14ac:dyDescent="0.2">
      <c r="A25" s="725"/>
      <c r="B25" s="720"/>
      <c r="C25" s="721"/>
      <c r="D25" s="735"/>
      <c r="E25" s="735"/>
      <c r="F25" s="723"/>
      <c r="G25" s="723"/>
      <c r="H25" s="237"/>
    </row>
    <row r="26" spans="1:8" s="699" customFormat="1" x14ac:dyDescent="0.2">
      <c r="A26" s="725"/>
      <c r="B26" s="720"/>
      <c r="C26" s="721"/>
      <c r="D26" s="735"/>
      <c r="E26" s="735"/>
      <c r="F26" s="723"/>
      <c r="G26" s="723"/>
      <c r="H26" s="237"/>
    </row>
    <row r="27" spans="1:8" x14ac:dyDescent="0.2">
      <c r="A27" s="147"/>
      <c r="B27" s="142"/>
      <c r="C27" s="143"/>
      <c r="D27" s="144"/>
      <c r="E27" s="144"/>
      <c r="F27" s="140"/>
      <c r="G27" s="145"/>
      <c r="H27" s="237"/>
    </row>
    <row r="28" spans="1:8" x14ac:dyDescent="0.2">
      <c r="A28" s="147"/>
      <c r="B28" s="142"/>
      <c r="C28" s="143"/>
      <c r="D28" s="144"/>
      <c r="E28" s="144"/>
      <c r="F28" s="140"/>
      <c r="G28" s="145"/>
      <c r="H28" s="237"/>
    </row>
    <row r="29" spans="1:8" x14ac:dyDescent="0.2">
      <c r="A29" s="147"/>
      <c r="B29" s="142"/>
      <c r="C29" s="143"/>
      <c r="D29" s="144"/>
      <c r="E29" s="144"/>
      <c r="F29" s="140"/>
      <c r="G29" s="145"/>
      <c r="H29" s="237"/>
    </row>
    <row r="30" spans="1:8" x14ac:dyDescent="0.2">
      <c r="A30" s="147"/>
      <c r="B30" s="142"/>
      <c r="C30" s="143"/>
      <c r="D30" s="144"/>
      <c r="E30" s="144"/>
      <c r="F30" s="140"/>
      <c r="G30" s="145"/>
      <c r="H30" s="237"/>
    </row>
    <row r="31" spans="1:8" x14ac:dyDescent="0.2">
      <c r="A31" s="147"/>
      <c r="B31" s="142"/>
      <c r="C31" s="143"/>
      <c r="D31" s="144"/>
      <c r="E31" s="144"/>
      <c r="F31" s="140"/>
      <c r="G31" s="145"/>
      <c r="H31" s="237"/>
    </row>
    <row r="32" spans="1:8" x14ac:dyDescent="0.2">
      <c r="A32" s="147"/>
      <c r="B32" s="142"/>
      <c r="C32" s="143"/>
      <c r="D32" s="144"/>
      <c r="E32" s="144"/>
      <c r="F32" s="140"/>
      <c r="G32" s="145"/>
      <c r="H32" s="237"/>
    </row>
    <row r="33" spans="1:8" x14ac:dyDescent="0.2">
      <c r="A33" s="147"/>
      <c r="B33" s="142"/>
      <c r="C33" s="143"/>
      <c r="D33" s="144"/>
      <c r="E33" s="144"/>
      <c r="F33" s="48"/>
      <c r="G33" s="66"/>
      <c r="H33" s="237"/>
    </row>
    <row r="34" spans="1:8" x14ac:dyDescent="0.2">
      <c r="A34" s="147"/>
      <c r="B34" s="142"/>
      <c r="C34" s="143"/>
      <c r="D34" s="144"/>
      <c r="E34" s="144"/>
      <c r="F34" s="48"/>
      <c r="G34" s="66"/>
      <c r="H34" s="80"/>
    </row>
    <row r="35" spans="1:8" x14ac:dyDescent="0.2">
      <c r="A35" s="147"/>
      <c r="B35" s="142"/>
      <c r="C35" s="143"/>
      <c r="D35" s="144"/>
      <c r="E35" s="144"/>
      <c r="F35" s="48"/>
      <c r="G35" s="66"/>
      <c r="H35" s="80"/>
    </row>
    <row r="36" spans="1:8" x14ac:dyDescent="0.2">
      <c r="F36" s="294" t="s">
        <v>123</v>
      </c>
      <c r="G36" s="77">
        <f>SUM(G7:G35)</f>
        <v>0</v>
      </c>
      <c r="H36" s="697">
        <f>SUM(H7:H35)</f>
        <v>2</v>
      </c>
    </row>
    <row r="37" spans="1:8" x14ac:dyDescent="0.2">
      <c r="F37" s="62"/>
      <c r="G37" s="63"/>
      <c r="H37" s="63"/>
    </row>
    <row r="38" spans="1:8" ht="14.25" x14ac:dyDescent="0.2">
      <c r="F38" s="1153" t="s">
        <v>8</v>
      </c>
      <c r="G38" s="1154"/>
      <c r="H38" s="84">
        <f>G36-H36</f>
        <v>-2</v>
      </c>
    </row>
  </sheetData>
  <mergeCells count="3">
    <mergeCell ref="F38:G38"/>
    <mergeCell ref="C1:H5"/>
    <mergeCell ref="J1:J3"/>
  </mergeCells>
  <hyperlinks>
    <hyperlink ref="J1:J3" location="'ANA SAYFA'!A1" display="ANA SAYFA"/>
  </hyperlinks>
  <pageMargins left="0.7" right="0.12" top="0.32" bottom="0.75" header="0.3" footer="0.3"/>
  <pageSetup paperSize="9" scale="65" orientation="portrait" horizontalDpi="300" verticalDpi="300"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zoomScaleNormal="100" workbookViewId="0">
      <selection activeCell="J1" sqref="J1:J3"/>
    </sheetView>
  </sheetViews>
  <sheetFormatPr defaultColWidth="9.140625" defaultRowHeight="12.75" x14ac:dyDescent="0.2"/>
  <cols>
    <col min="1" max="1" width="18.5703125" style="82" bestFit="1" customWidth="1"/>
    <col min="2" max="2" width="26.7109375" style="82" bestFit="1" customWidth="1"/>
    <col min="3" max="3" width="26.85546875" style="82" bestFit="1" customWidth="1"/>
    <col min="4" max="4" width="6.7109375" style="82" bestFit="1" customWidth="1"/>
    <col min="5" max="5" width="9.28515625" style="82" bestFit="1" customWidth="1"/>
    <col min="6" max="6" width="20.85546875" style="82" bestFit="1" customWidth="1"/>
    <col min="7" max="7" width="14.28515625" style="82" bestFit="1" customWidth="1"/>
    <col min="8" max="8" width="12.5703125" style="82" bestFit="1" customWidth="1"/>
    <col min="9" max="9" width="3.140625" style="82" customWidth="1"/>
    <col min="10" max="10" width="10.140625" style="82" bestFit="1" customWidth="1"/>
    <col min="11" max="16384" width="9.140625" style="82"/>
  </cols>
  <sheetData>
    <row r="1" spans="1:12" ht="14.25" customHeight="1" x14ac:dyDescent="0.2">
      <c r="A1" s="29" t="s">
        <v>135</v>
      </c>
      <c r="B1" s="188" t="str">
        <f>'ANA SAYFA'!B85</f>
        <v>SEBAHATTİN AYDIN</v>
      </c>
      <c r="C1" s="1166" t="s">
        <v>136</v>
      </c>
      <c r="D1" s="1166"/>
      <c r="E1" s="1166"/>
      <c r="F1" s="1166"/>
      <c r="G1" s="1166"/>
      <c r="H1" s="1166"/>
      <c r="J1" s="1183" t="s">
        <v>712</v>
      </c>
    </row>
    <row r="2" spans="1:12" ht="14.25" customHeight="1" x14ac:dyDescent="0.2">
      <c r="A2" s="29" t="s">
        <v>137</v>
      </c>
      <c r="B2" s="154">
        <f>'ANA SAYFA'!D85</f>
        <v>43417238574</v>
      </c>
      <c r="C2" s="1166"/>
      <c r="D2" s="1166"/>
      <c r="E2" s="1166"/>
      <c r="F2" s="1166"/>
      <c r="G2" s="1166"/>
      <c r="H2" s="1166"/>
      <c r="J2" s="1184"/>
    </row>
    <row r="3" spans="1:12" ht="14.25" customHeight="1" thickBot="1" x14ac:dyDescent="0.25">
      <c r="A3" s="29" t="s">
        <v>131</v>
      </c>
      <c r="B3" s="153" t="str">
        <f>'ANA SAYFA'!C85</f>
        <v>KEPÇE OPERATÖR</v>
      </c>
      <c r="C3" s="1166"/>
      <c r="D3" s="1166"/>
      <c r="E3" s="1166"/>
      <c r="F3" s="1166"/>
      <c r="G3" s="1166"/>
      <c r="H3" s="1166"/>
      <c r="J3" s="1185"/>
    </row>
    <row r="4" spans="1:12" ht="14.25" customHeight="1" x14ac:dyDescent="0.2">
      <c r="A4" s="29" t="s">
        <v>120</v>
      </c>
      <c r="B4" s="83">
        <f>'ANA SAYFA'!E85</f>
        <v>44798</v>
      </c>
      <c r="C4" s="1166"/>
      <c r="D4" s="1166"/>
      <c r="E4" s="1166"/>
      <c r="F4" s="1166"/>
      <c r="G4" s="1166"/>
      <c r="H4" s="1166"/>
    </row>
    <row r="5" spans="1:12" ht="14.25" customHeight="1" x14ac:dyDescent="0.2">
      <c r="A5" s="29" t="s">
        <v>130</v>
      </c>
      <c r="B5" s="83">
        <f>'ANA SAYFA'!F85</f>
        <v>23073</v>
      </c>
      <c r="C5" s="1166"/>
      <c r="D5" s="1166"/>
      <c r="E5" s="1166"/>
      <c r="F5" s="1166"/>
      <c r="G5" s="1166"/>
      <c r="H5" s="1166"/>
      <c r="J5" s="699"/>
      <c r="K5" s="699"/>
    </row>
    <row r="6" spans="1:12" ht="31.5" x14ac:dyDescent="0.2">
      <c r="A6" s="69" t="s">
        <v>0</v>
      </c>
      <c r="B6" s="70" t="s">
        <v>1</v>
      </c>
      <c r="C6" s="69" t="s">
        <v>2</v>
      </c>
      <c r="D6" s="71" t="s">
        <v>133</v>
      </c>
      <c r="E6" s="71" t="s">
        <v>4</v>
      </c>
      <c r="F6" s="71" t="s">
        <v>7</v>
      </c>
      <c r="G6" s="71" t="s">
        <v>6</v>
      </c>
      <c r="H6" s="71" t="s">
        <v>3</v>
      </c>
      <c r="J6" s="699"/>
      <c r="K6" s="699"/>
    </row>
    <row r="7" spans="1:12" x14ac:dyDescent="0.2">
      <c r="A7" s="139"/>
      <c r="B7" s="155">
        <v>44879</v>
      </c>
      <c r="C7" s="156">
        <v>44880</v>
      </c>
      <c r="D7" s="168">
        <v>0.33333333333333331</v>
      </c>
      <c r="E7" s="168">
        <v>0.33333333333333331</v>
      </c>
      <c r="F7" s="83" t="s">
        <v>762</v>
      </c>
      <c r="G7" s="191">
        <v>20</v>
      </c>
      <c r="H7" s="755">
        <v>1</v>
      </c>
      <c r="J7" s="190"/>
      <c r="K7" s="190"/>
    </row>
    <row r="8" spans="1:12" x14ac:dyDescent="0.2">
      <c r="A8" s="146"/>
      <c r="B8" s="155">
        <v>44883</v>
      </c>
      <c r="C8" s="156">
        <v>44884</v>
      </c>
      <c r="D8" s="168">
        <v>0.33333333333333331</v>
      </c>
      <c r="E8" s="168">
        <v>0.33333333333333331</v>
      </c>
      <c r="F8" s="83" t="s">
        <v>763</v>
      </c>
      <c r="G8" s="191">
        <v>20</v>
      </c>
      <c r="H8" s="755">
        <v>1</v>
      </c>
      <c r="J8" s="148"/>
      <c r="K8" s="1022">
        <v>46006</v>
      </c>
      <c r="L8" s="82" t="s">
        <v>937</v>
      </c>
    </row>
    <row r="9" spans="1:12" x14ac:dyDescent="0.2">
      <c r="A9" s="146"/>
      <c r="B9" s="155">
        <v>45103</v>
      </c>
      <c r="C9" s="156">
        <v>45110</v>
      </c>
      <c r="D9" s="168">
        <v>0.33333333333333331</v>
      </c>
      <c r="E9" s="168">
        <v>0.33333333333333331</v>
      </c>
      <c r="F9" s="700" t="s">
        <v>876</v>
      </c>
      <c r="G9" s="145">
        <v>20</v>
      </c>
      <c r="H9" s="755">
        <v>1</v>
      </c>
      <c r="J9" s="148"/>
      <c r="K9" s="148"/>
    </row>
    <row r="10" spans="1:12" x14ac:dyDescent="0.2">
      <c r="A10" s="141"/>
      <c r="B10" s="155">
        <v>45243</v>
      </c>
      <c r="C10" s="158">
        <v>45250</v>
      </c>
      <c r="D10" s="168">
        <v>0.33333333333333331</v>
      </c>
      <c r="E10" s="168">
        <v>0.33333333333333331</v>
      </c>
      <c r="F10" s="145"/>
      <c r="G10" s="145"/>
      <c r="H10" s="755">
        <v>6</v>
      </c>
    </row>
    <row r="11" spans="1:12" x14ac:dyDescent="0.2">
      <c r="A11" s="160"/>
      <c r="B11" s="155" t="s">
        <v>513</v>
      </c>
      <c r="C11" s="155" t="s">
        <v>512</v>
      </c>
      <c r="D11" s="168">
        <v>0.33333333333333331</v>
      </c>
      <c r="E11" s="168">
        <v>0.33333333333333331</v>
      </c>
      <c r="F11" s="145"/>
      <c r="G11" s="145"/>
      <c r="H11" s="436">
        <v>9</v>
      </c>
      <c r="J11" s="190"/>
      <c r="K11" s="190"/>
    </row>
    <row r="12" spans="1:12" s="699" customFormat="1" x14ac:dyDescent="0.2">
      <c r="A12" s="734"/>
      <c r="B12" s="729">
        <v>45887</v>
      </c>
      <c r="C12" s="729">
        <v>45903</v>
      </c>
      <c r="D12" s="735">
        <v>0.33333333333333331</v>
      </c>
      <c r="E12" s="735">
        <v>0.75</v>
      </c>
      <c r="F12" s="723"/>
      <c r="G12" s="723"/>
      <c r="H12" s="436">
        <v>14</v>
      </c>
      <c r="J12" s="747"/>
      <c r="K12" s="747"/>
    </row>
    <row r="13" spans="1:12" s="699" customFormat="1" x14ac:dyDescent="0.2">
      <c r="A13" s="734"/>
      <c r="B13" s="729">
        <v>45932</v>
      </c>
      <c r="C13" s="729">
        <v>45933</v>
      </c>
      <c r="D13" s="735"/>
      <c r="E13" s="735"/>
      <c r="F13" s="723"/>
      <c r="G13" s="723"/>
      <c r="H13" s="436">
        <v>1</v>
      </c>
      <c r="J13" s="747"/>
      <c r="K13" s="747"/>
    </row>
    <row r="14" spans="1:12" s="699" customFormat="1" x14ac:dyDescent="0.2">
      <c r="A14" s="734"/>
      <c r="B14" s="729">
        <v>45953</v>
      </c>
      <c r="C14" s="729">
        <v>45954</v>
      </c>
      <c r="D14" s="735"/>
      <c r="E14" s="735"/>
      <c r="F14" s="723"/>
      <c r="G14" s="723"/>
      <c r="H14" s="436">
        <v>1</v>
      </c>
      <c r="J14" s="747"/>
      <c r="K14" s="747"/>
    </row>
    <row r="15" spans="1:12" s="699" customFormat="1" x14ac:dyDescent="0.2">
      <c r="A15" s="734"/>
      <c r="B15" s="729">
        <v>46046</v>
      </c>
      <c r="C15" s="729">
        <v>46048</v>
      </c>
      <c r="D15" s="735"/>
      <c r="E15" s="735"/>
      <c r="F15" s="723"/>
      <c r="G15" s="723"/>
      <c r="H15" s="436">
        <v>1</v>
      </c>
      <c r="J15" s="747"/>
      <c r="K15" s="747"/>
    </row>
    <row r="16" spans="1:12" s="699" customFormat="1" x14ac:dyDescent="0.2">
      <c r="A16" s="734"/>
      <c r="B16" s="729"/>
      <c r="C16" s="729"/>
      <c r="D16" s="735"/>
      <c r="E16" s="735"/>
      <c r="F16" s="723"/>
      <c r="G16" s="723"/>
      <c r="H16" s="436"/>
      <c r="J16" s="747"/>
      <c r="K16" s="747"/>
    </row>
    <row r="17" spans="1:11" s="699" customFormat="1" x14ac:dyDescent="0.2">
      <c r="A17" s="734"/>
      <c r="B17" s="729"/>
      <c r="C17" s="729"/>
      <c r="D17" s="735"/>
      <c r="E17" s="735"/>
      <c r="F17" s="723"/>
      <c r="G17" s="723"/>
      <c r="H17" s="436"/>
      <c r="J17" s="747"/>
      <c r="K17" s="747"/>
    </row>
    <row r="18" spans="1:11" s="699" customFormat="1" x14ac:dyDescent="0.2">
      <c r="A18" s="734"/>
      <c r="B18" s="729"/>
      <c r="C18" s="729"/>
      <c r="D18" s="735"/>
      <c r="E18" s="735"/>
      <c r="F18" s="723"/>
      <c r="G18" s="723"/>
      <c r="H18" s="436"/>
      <c r="J18" s="747"/>
      <c r="K18" s="747"/>
    </row>
    <row r="19" spans="1:11" s="699" customFormat="1" x14ac:dyDescent="0.2">
      <c r="A19" s="734"/>
      <c r="B19" s="729"/>
      <c r="C19" s="729"/>
      <c r="D19" s="735"/>
      <c r="E19" s="735"/>
      <c r="F19" s="723"/>
      <c r="G19" s="723"/>
      <c r="H19" s="436"/>
      <c r="J19" s="747"/>
      <c r="K19" s="747"/>
    </row>
    <row r="20" spans="1:11" s="699" customFormat="1" x14ac:dyDescent="0.2">
      <c r="A20" s="734"/>
      <c r="B20" s="729"/>
      <c r="C20" s="729"/>
      <c r="D20" s="735"/>
      <c r="E20" s="735"/>
      <c r="F20" s="723"/>
      <c r="G20" s="723"/>
      <c r="H20" s="436"/>
      <c r="J20" s="747"/>
      <c r="K20" s="747"/>
    </row>
    <row r="21" spans="1:11" s="699" customFormat="1" x14ac:dyDescent="0.2">
      <c r="A21" s="734"/>
      <c r="B21" s="729"/>
      <c r="C21" s="729"/>
      <c r="D21" s="735"/>
      <c r="E21" s="735"/>
      <c r="F21" s="723"/>
      <c r="G21" s="723"/>
      <c r="H21" s="436"/>
      <c r="J21" s="747"/>
      <c r="K21" s="747"/>
    </row>
    <row r="22" spans="1:11" s="699" customFormat="1" x14ac:dyDescent="0.2">
      <c r="A22" s="734"/>
      <c r="B22" s="729"/>
      <c r="C22" s="729"/>
      <c r="D22" s="735"/>
      <c r="E22" s="735"/>
      <c r="F22" s="723"/>
      <c r="G22" s="723"/>
      <c r="H22" s="436"/>
      <c r="J22" s="747"/>
      <c r="K22" s="747"/>
    </row>
    <row r="23" spans="1:11" s="699" customFormat="1" x14ac:dyDescent="0.2">
      <c r="A23" s="734"/>
      <c r="B23" s="729"/>
      <c r="C23" s="729"/>
      <c r="D23" s="735"/>
      <c r="E23" s="735"/>
      <c r="F23" s="723"/>
      <c r="G23" s="723"/>
      <c r="H23" s="436"/>
      <c r="J23" s="747"/>
      <c r="K23" s="747"/>
    </row>
    <row r="24" spans="1:11" s="699" customFormat="1" x14ac:dyDescent="0.2">
      <c r="A24" s="734"/>
      <c r="B24" s="729"/>
      <c r="C24" s="729"/>
      <c r="D24" s="735"/>
      <c r="E24" s="735"/>
      <c r="F24" s="723"/>
      <c r="G24" s="723"/>
      <c r="H24" s="436"/>
      <c r="J24" s="747"/>
      <c r="K24" s="747"/>
    </row>
    <row r="25" spans="1:11" s="699" customFormat="1" x14ac:dyDescent="0.2">
      <c r="A25" s="734"/>
      <c r="B25" s="729"/>
      <c r="C25" s="729"/>
      <c r="D25" s="735"/>
      <c r="E25" s="735"/>
      <c r="F25" s="723"/>
      <c r="G25" s="723"/>
      <c r="H25" s="436"/>
      <c r="J25" s="747"/>
      <c r="K25" s="747"/>
    </row>
    <row r="26" spans="1:11" s="699" customFormat="1" x14ac:dyDescent="0.2">
      <c r="A26" s="734"/>
      <c r="B26" s="729"/>
      <c r="C26" s="729"/>
      <c r="D26" s="735"/>
      <c r="E26" s="735"/>
      <c r="F26" s="723"/>
      <c r="G26" s="723"/>
      <c r="H26" s="436"/>
      <c r="J26" s="747"/>
      <c r="K26" s="747"/>
    </row>
    <row r="27" spans="1:11" x14ac:dyDescent="0.2">
      <c r="A27" s="147"/>
      <c r="B27" s="142"/>
      <c r="C27" s="143"/>
      <c r="D27" s="168"/>
      <c r="E27" s="168"/>
      <c r="F27" s="145"/>
      <c r="G27" s="145"/>
      <c r="H27" s="237"/>
      <c r="J27" s="148"/>
      <c r="K27" s="148"/>
    </row>
    <row r="28" spans="1:11" x14ac:dyDescent="0.2">
      <c r="A28" s="147"/>
      <c r="B28" s="142"/>
      <c r="C28" s="143"/>
      <c r="D28" s="168"/>
      <c r="E28" s="168"/>
      <c r="F28" s="145"/>
      <c r="G28" s="145"/>
      <c r="H28" s="237"/>
    </row>
    <row r="29" spans="1:11" x14ac:dyDescent="0.2">
      <c r="A29" s="147"/>
      <c r="B29" s="142"/>
      <c r="C29" s="143"/>
      <c r="D29" s="144"/>
      <c r="E29" s="144"/>
      <c r="F29" s="140"/>
      <c r="G29" s="145"/>
      <c r="H29" s="237"/>
    </row>
    <row r="30" spans="1:11" x14ac:dyDescent="0.2">
      <c r="A30" s="147"/>
      <c r="B30" s="142"/>
      <c r="C30" s="143"/>
      <c r="D30" s="144"/>
      <c r="E30" s="144"/>
      <c r="F30" s="140"/>
      <c r="G30" s="145"/>
      <c r="H30" s="237"/>
    </row>
    <row r="31" spans="1:11" x14ac:dyDescent="0.2">
      <c r="A31" s="147"/>
      <c r="B31" s="142"/>
      <c r="C31" s="143"/>
      <c r="D31" s="144"/>
      <c r="E31" s="144"/>
      <c r="F31" s="140"/>
      <c r="G31" s="145"/>
      <c r="H31" s="237"/>
    </row>
    <row r="32" spans="1:11" x14ac:dyDescent="0.2">
      <c r="A32" s="147"/>
      <c r="B32" s="142"/>
      <c r="C32" s="143"/>
      <c r="D32" s="144"/>
      <c r="E32" s="144"/>
      <c r="F32" s="140"/>
      <c r="G32" s="145"/>
      <c r="H32" s="237"/>
    </row>
    <row r="33" spans="1:8" x14ac:dyDescent="0.2">
      <c r="A33" s="147"/>
      <c r="B33" s="142"/>
      <c r="C33" s="143"/>
      <c r="D33" s="144"/>
      <c r="E33" s="144"/>
      <c r="F33" s="140"/>
      <c r="G33" s="145"/>
      <c r="H33" s="237"/>
    </row>
    <row r="34" spans="1:8" x14ac:dyDescent="0.2">
      <c r="A34" s="147"/>
      <c r="B34" s="142"/>
      <c r="C34" s="143"/>
      <c r="D34" s="144"/>
      <c r="E34" s="144"/>
      <c r="F34" s="140"/>
      <c r="G34" s="145"/>
      <c r="H34" s="237"/>
    </row>
    <row r="35" spans="1:8" x14ac:dyDescent="0.2">
      <c r="A35" s="147"/>
      <c r="B35" s="142"/>
      <c r="C35" s="143"/>
      <c r="D35" s="144"/>
      <c r="E35" s="144"/>
      <c r="F35" s="48"/>
      <c r="G35" s="66"/>
      <c r="H35" s="237"/>
    </row>
    <row r="36" spans="1:8" x14ac:dyDescent="0.2">
      <c r="A36" s="147"/>
      <c r="B36" s="142"/>
      <c r="C36" s="143"/>
      <c r="D36" s="144"/>
      <c r="E36" s="144"/>
      <c r="F36" s="48"/>
      <c r="G36" s="66"/>
      <c r="H36" s="80"/>
    </row>
    <row r="37" spans="1:8" x14ac:dyDescent="0.2">
      <c r="A37" s="147"/>
      <c r="B37" s="142"/>
      <c r="C37" s="143"/>
      <c r="D37" s="144"/>
      <c r="E37" s="144"/>
      <c r="F37" s="48"/>
      <c r="G37" s="66"/>
      <c r="H37" s="80"/>
    </row>
    <row r="38" spans="1:8" x14ac:dyDescent="0.2">
      <c r="F38" s="277" t="s">
        <v>123</v>
      </c>
      <c r="G38" s="77">
        <f>SUM(G7:G37)</f>
        <v>60</v>
      </c>
      <c r="H38" s="697">
        <f>SUM(H7:H37)</f>
        <v>35</v>
      </c>
    </row>
    <row r="39" spans="1:8" x14ac:dyDescent="0.2">
      <c r="F39" s="62"/>
      <c r="G39" s="63"/>
      <c r="H39" s="63"/>
    </row>
    <row r="40" spans="1:8" ht="14.25" x14ac:dyDescent="0.2">
      <c r="F40" s="1153" t="s">
        <v>8</v>
      </c>
      <c r="G40" s="1154"/>
      <c r="H40" s="84">
        <f>G38-H38</f>
        <v>25</v>
      </c>
    </row>
  </sheetData>
  <mergeCells count="3">
    <mergeCell ref="F40:G40"/>
    <mergeCell ref="J1:J3"/>
    <mergeCell ref="C1:H5"/>
  </mergeCells>
  <hyperlinks>
    <hyperlink ref="J1:J3" location="'ANA SAYFA'!A1" display="ANA SAYFA"/>
  </hyperlinks>
  <pageMargins left="0.7" right="0.12" top="0.27" bottom="0.75" header="0.28000000000000003" footer="0.3"/>
  <pageSetup paperSize="9" scale="70" orientation="portrait" r:id="rId1"/>
  <colBreaks count="1" manualBreakCount="1">
    <brk id="8" max="1048575" man="1"/>
  </colBreak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6"/>
  <sheetViews>
    <sheetView zoomScaleNormal="100" workbookViewId="0">
      <selection activeCell="J1" sqref="J1:J3"/>
    </sheetView>
  </sheetViews>
  <sheetFormatPr defaultColWidth="9.140625" defaultRowHeight="11.25" x14ac:dyDescent="0.15"/>
  <cols>
    <col min="1" max="1" width="18.5703125" style="113" bestFit="1" customWidth="1"/>
    <col min="2" max="3" width="26.5703125" style="113" bestFit="1" customWidth="1"/>
    <col min="4" max="4" width="6.7109375" style="113" bestFit="1" customWidth="1"/>
    <col min="5" max="5" width="8.85546875" style="113" bestFit="1" customWidth="1"/>
    <col min="6" max="6" width="20.140625" style="113" bestFit="1" customWidth="1"/>
    <col min="7" max="7" width="14.28515625" style="113" bestFit="1" customWidth="1"/>
    <col min="8" max="8" width="12.5703125" style="113" bestFit="1" customWidth="1"/>
    <col min="9" max="9" width="4.28515625" style="113" customWidth="1"/>
    <col min="10" max="10" width="10.28515625" style="113" customWidth="1"/>
    <col min="11" max="16384" width="9.140625" style="113"/>
  </cols>
  <sheetData>
    <row r="1" spans="1:11" ht="12.75" x14ac:dyDescent="0.2">
      <c r="A1" s="29" t="s">
        <v>135</v>
      </c>
      <c r="B1" s="188" t="str">
        <f>'ANA SAYFA'!B86</f>
        <v>HASAN ATMACA</v>
      </c>
      <c r="C1" s="1166" t="s">
        <v>136</v>
      </c>
      <c r="D1" s="1166"/>
      <c r="E1" s="1166"/>
      <c r="F1" s="1166"/>
      <c r="G1" s="1166"/>
      <c r="H1" s="1166"/>
      <c r="J1" s="1183" t="s">
        <v>712</v>
      </c>
    </row>
    <row r="2" spans="1:11" ht="12.75" x14ac:dyDescent="0.15">
      <c r="A2" s="29" t="s">
        <v>137</v>
      </c>
      <c r="B2" s="154">
        <f>'ANA SAYFA'!D86</f>
        <v>19688819842</v>
      </c>
      <c r="C2" s="1166"/>
      <c r="D2" s="1166"/>
      <c r="E2" s="1166"/>
      <c r="F2" s="1166"/>
      <c r="G2" s="1166"/>
      <c r="H2" s="1166"/>
      <c r="J2" s="1184"/>
    </row>
    <row r="3" spans="1:11" ht="13.5" thickBot="1" x14ac:dyDescent="0.2">
      <c r="A3" s="29" t="s">
        <v>131</v>
      </c>
      <c r="B3" s="153" t="str">
        <f>'ANA SAYFA'!C86</f>
        <v>İŞARETÇİ/SAPANCI</v>
      </c>
      <c r="C3" s="1166"/>
      <c r="D3" s="1166"/>
      <c r="E3" s="1166"/>
      <c r="F3" s="1166"/>
      <c r="G3" s="1166"/>
      <c r="H3" s="1166"/>
      <c r="J3" s="1185"/>
    </row>
    <row r="4" spans="1:11" ht="12.75" x14ac:dyDescent="0.15">
      <c r="A4" s="29" t="s">
        <v>120</v>
      </c>
      <c r="B4" s="83">
        <f>'ANA SAYFA'!E86</f>
        <v>46047</v>
      </c>
      <c r="C4" s="1166"/>
      <c r="D4" s="1166"/>
      <c r="E4" s="1166"/>
      <c r="F4" s="1166"/>
      <c r="G4" s="1166"/>
      <c r="H4" s="1166"/>
    </row>
    <row r="5" spans="1:11" ht="12.75" x14ac:dyDescent="0.15">
      <c r="A5" s="29" t="s">
        <v>130</v>
      </c>
      <c r="B5" s="83">
        <f>'ANA SAYFA'!F86</f>
        <v>21884</v>
      </c>
      <c r="C5" s="1166"/>
      <c r="D5" s="1166"/>
      <c r="E5" s="1166"/>
      <c r="F5" s="1166"/>
      <c r="G5" s="1166"/>
      <c r="H5" s="1166"/>
    </row>
    <row r="6" spans="1:11" ht="31.5" x14ac:dyDescent="0.15">
      <c r="A6" s="69" t="s">
        <v>0</v>
      </c>
      <c r="B6" s="70" t="s">
        <v>1</v>
      </c>
      <c r="C6" s="69" t="s">
        <v>2</v>
      </c>
      <c r="D6" s="71" t="s">
        <v>133</v>
      </c>
      <c r="E6" s="71" t="s">
        <v>4</v>
      </c>
      <c r="F6" s="71" t="s">
        <v>7</v>
      </c>
      <c r="G6" s="71" t="s">
        <v>6</v>
      </c>
      <c r="H6" s="71" t="s">
        <v>3</v>
      </c>
    </row>
    <row r="7" spans="1:11" ht="13.5" customHeight="1" x14ac:dyDescent="0.15">
      <c r="A7" s="673"/>
      <c r="B7" s="674">
        <v>46055</v>
      </c>
      <c r="C7" s="675">
        <v>46056</v>
      </c>
      <c r="D7" s="676"/>
      <c r="E7" s="676"/>
      <c r="F7" s="704"/>
      <c r="G7" s="681"/>
      <c r="H7" s="677">
        <v>1</v>
      </c>
      <c r="J7" s="41" t="s">
        <v>830</v>
      </c>
      <c r="K7" s="41"/>
    </row>
    <row r="8" spans="1:11" ht="13.5" customHeight="1" x14ac:dyDescent="0.15">
      <c r="A8" s="678"/>
      <c r="B8" s="674"/>
      <c r="C8" s="674"/>
      <c r="D8" s="676"/>
      <c r="E8" s="676"/>
      <c r="F8" s="704"/>
      <c r="G8" s="681"/>
      <c r="H8" s="677"/>
      <c r="J8" s="30"/>
      <c r="K8" s="30"/>
    </row>
    <row r="9" spans="1:11" ht="13.5" customHeight="1" x14ac:dyDescent="0.15">
      <c r="A9" s="678"/>
      <c r="B9" s="674"/>
      <c r="C9" s="675"/>
      <c r="D9" s="676"/>
      <c r="E9" s="676"/>
      <c r="F9" s="681"/>
      <c r="G9" s="691"/>
      <c r="H9" s="677"/>
      <c r="J9" s="30"/>
      <c r="K9" s="30"/>
    </row>
    <row r="10" spans="1:11" ht="13.5" customHeight="1" x14ac:dyDescent="0.15">
      <c r="A10" s="678"/>
      <c r="B10" s="674"/>
      <c r="C10" s="675"/>
      <c r="D10" s="676"/>
      <c r="E10" s="676"/>
      <c r="F10" s="681"/>
      <c r="G10" s="691"/>
      <c r="H10" s="677"/>
      <c r="J10" s="670"/>
      <c r="K10" s="670"/>
    </row>
    <row r="11" spans="1:11" ht="13.5" customHeight="1" x14ac:dyDescent="0.15">
      <c r="A11" s="678"/>
      <c r="B11" s="674"/>
      <c r="C11" s="675"/>
      <c r="D11" s="676"/>
      <c r="E11" s="676"/>
      <c r="F11" s="681"/>
      <c r="G11" s="691"/>
      <c r="H11" s="677"/>
      <c r="J11" s="670"/>
      <c r="K11" s="670"/>
    </row>
    <row r="12" spans="1:11" ht="13.5" customHeight="1" x14ac:dyDescent="0.15">
      <c r="A12" s="678"/>
      <c r="B12" s="674"/>
      <c r="C12" s="675"/>
      <c r="D12" s="676"/>
      <c r="E12" s="687"/>
      <c r="F12" s="681"/>
      <c r="G12" s="691"/>
      <c r="H12" s="677"/>
      <c r="J12" s="670"/>
      <c r="K12" s="670"/>
    </row>
    <row r="13" spans="1:11" ht="13.5" customHeight="1" x14ac:dyDescent="0.15">
      <c r="A13" s="678"/>
      <c r="B13" s="674"/>
      <c r="C13" s="675"/>
      <c r="D13" s="676"/>
      <c r="E13" s="687"/>
      <c r="F13" s="681"/>
      <c r="G13" s="691"/>
      <c r="H13" s="677"/>
      <c r="J13" s="670"/>
      <c r="K13" s="670"/>
    </row>
    <row r="14" spans="1:11" ht="13.5" customHeight="1" x14ac:dyDescent="0.15">
      <c r="A14" s="678"/>
      <c r="B14" s="674"/>
      <c r="C14" s="675"/>
      <c r="D14" s="676"/>
      <c r="E14" s="687"/>
      <c r="F14" s="681"/>
      <c r="G14" s="691"/>
      <c r="H14" s="677"/>
      <c r="J14" s="670"/>
      <c r="K14" s="670"/>
    </row>
    <row r="15" spans="1:11" ht="13.5" customHeight="1" x14ac:dyDescent="0.15">
      <c r="A15" s="678"/>
      <c r="B15" s="674"/>
      <c r="C15" s="675"/>
      <c r="D15" s="676"/>
      <c r="E15" s="687"/>
      <c r="F15" s="681"/>
      <c r="G15" s="691"/>
      <c r="H15" s="677"/>
      <c r="J15" s="670"/>
      <c r="K15" s="670"/>
    </row>
    <row r="16" spans="1:11" ht="13.5" customHeight="1" x14ac:dyDescent="0.15">
      <c r="A16" s="678"/>
      <c r="B16" s="674"/>
      <c r="C16" s="675"/>
      <c r="D16" s="676"/>
      <c r="E16" s="687"/>
      <c r="F16" s="681"/>
      <c r="G16" s="691"/>
      <c r="H16" s="677"/>
      <c r="J16" s="670"/>
      <c r="K16" s="670"/>
    </row>
    <row r="17" spans="1:11" ht="13.5" customHeight="1" x14ac:dyDescent="0.15">
      <c r="A17" s="678"/>
      <c r="B17" s="674"/>
      <c r="C17" s="675"/>
      <c r="D17" s="676"/>
      <c r="E17" s="687"/>
      <c r="F17" s="681"/>
      <c r="G17" s="691"/>
      <c r="H17" s="677"/>
      <c r="J17" s="670"/>
      <c r="K17" s="670"/>
    </row>
    <row r="18" spans="1:11" ht="13.5" customHeight="1" x14ac:dyDescent="0.15">
      <c r="A18" s="678"/>
      <c r="B18" s="674"/>
      <c r="C18" s="675"/>
      <c r="D18" s="676"/>
      <c r="E18" s="687"/>
      <c r="F18" s="681"/>
      <c r="G18" s="691"/>
      <c r="H18" s="677"/>
      <c r="J18" s="670"/>
      <c r="K18" s="670"/>
    </row>
    <row r="19" spans="1:11" ht="13.5" customHeight="1" x14ac:dyDescent="0.15">
      <c r="A19" s="678"/>
      <c r="B19" s="674"/>
      <c r="C19" s="675"/>
      <c r="D19" s="676"/>
      <c r="E19" s="687"/>
      <c r="F19" s="681"/>
      <c r="G19" s="691"/>
      <c r="H19" s="677"/>
      <c r="J19" s="670"/>
      <c r="K19" s="670"/>
    </row>
    <row r="20" spans="1:11" ht="13.5" customHeight="1" x14ac:dyDescent="0.15">
      <c r="A20" s="678"/>
      <c r="B20" s="674"/>
      <c r="C20" s="675"/>
      <c r="D20" s="676"/>
      <c r="E20" s="687"/>
      <c r="F20" s="681"/>
      <c r="G20" s="691"/>
      <c r="H20" s="677"/>
      <c r="J20" s="670"/>
      <c r="K20" s="670"/>
    </row>
    <row r="21" spans="1:11" ht="13.5" customHeight="1" x14ac:dyDescent="0.15">
      <c r="A21" s="679"/>
      <c r="B21" s="674"/>
      <c r="C21" s="680"/>
      <c r="D21" s="702"/>
      <c r="E21" s="702"/>
      <c r="F21" s="691"/>
      <c r="G21" s="691"/>
      <c r="H21" s="677"/>
    </row>
    <row r="22" spans="1:11" ht="13.5" customHeight="1" x14ac:dyDescent="0.15">
      <c r="A22" s="682"/>
      <c r="B22" s="674"/>
      <c r="C22" s="680"/>
      <c r="D22" s="676"/>
      <c r="E22" s="676"/>
      <c r="F22" s="691"/>
      <c r="G22" s="691"/>
      <c r="H22" s="681"/>
      <c r="J22" s="41"/>
      <c r="K22" s="41"/>
    </row>
    <row r="23" spans="1:11" ht="13.5" customHeight="1" x14ac:dyDescent="0.15">
      <c r="A23" s="685"/>
      <c r="B23" s="688"/>
      <c r="C23" s="686"/>
      <c r="D23" s="676"/>
      <c r="E23" s="676"/>
      <c r="F23" s="691"/>
      <c r="G23" s="691"/>
      <c r="H23" s="691"/>
      <c r="J23" s="30"/>
      <c r="K23" s="30"/>
    </row>
    <row r="24" spans="1:11" ht="13.5" customHeight="1" x14ac:dyDescent="0.15">
      <c r="A24" s="685"/>
      <c r="B24" s="688"/>
      <c r="C24" s="686"/>
      <c r="D24" s="676"/>
      <c r="E24" s="676"/>
      <c r="F24" s="691"/>
      <c r="G24" s="691"/>
      <c r="H24" s="691"/>
    </row>
    <row r="25" spans="1:11" ht="13.5" customHeight="1" x14ac:dyDescent="0.15">
      <c r="A25" s="685"/>
      <c r="B25" s="688"/>
      <c r="C25" s="686"/>
      <c r="D25" s="687"/>
      <c r="E25" s="687"/>
      <c r="F25" s="683"/>
      <c r="G25" s="691"/>
      <c r="H25" s="692"/>
    </row>
    <row r="26" spans="1:11" ht="13.5" customHeight="1" x14ac:dyDescent="0.15">
      <c r="A26" s="685"/>
      <c r="B26" s="688"/>
      <c r="C26" s="686"/>
      <c r="D26" s="687"/>
      <c r="E26" s="687"/>
      <c r="F26" s="683"/>
      <c r="G26" s="691"/>
      <c r="H26" s="691"/>
    </row>
    <row r="27" spans="1:11" ht="13.5" customHeight="1" x14ac:dyDescent="0.15">
      <c r="A27" s="685"/>
      <c r="B27" s="688"/>
      <c r="C27" s="686"/>
      <c r="D27" s="687"/>
      <c r="E27" s="687"/>
      <c r="F27" s="683"/>
      <c r="G27" s="691"/>
      <c r="H27" s="691"/>
    </row>
    <row r="28" spans="1:11" ht="13.5" customHeight="1" x14ac:dyDescent="0.15">
      <c r="A28" s="685"/>
      <c r="B28" s="688"/>
      <c r="C28" s="686"/>
      <c r="D28" s="687"/>
      <c r="E28" s="687"/>
      <c r="F28" s="683"/>
      <c r="G28" s="691"/>
      <c r="H28" s="691"/>
    </row>
    <row r="29" spans="1:11" ht="13.5" customHeight="1" x14ac:dyDescent="0.15">
      <c r="A29" s="685"/>
      <c r="B29" s="688"/>
      <c r="C29" s="686"/>
      <c r="D29" s="687"/>
      <c r="E29" s="687"/>
      <c r="F29" s="683"/>
      <c r="G29" s="691"/>
      <c r="H29" s="691"/>
    </row>
    <row r="30" spans="1:11" ht="13.5" customHeight="1" x14ac:dyDescent="0.15">
      <c r="A30" s="685"/>
      <c r="B30" s="688"/>
      <c r="C30" s="686"/>
      <c r="D30" s="687"/>
      <c r="E30" s="687"/>
      <c r="F30" s="683"/>
      <c r="G30" s="691"/>
      <c r="H30" s="691"/>
    </row>
    <row r="31" spans="1:11" ht="13.5" customHeight="1" x14ac:dyDescent="0.15">
      <c r="A31" s="685"/>
      <c r="B31" s="688"/>
      <c r="C31" s="686"/>
      <c r="D31" s="687"/>
      <c r="E31" s="687"/>
      <c r="F31" s="683"/>
      <c r="G31" s="691"/>
      <c r="H31" s="691"/>
    </row>
    <row r="32" spans="1:11" ht="13.5" customHeight="1" x14ac:dyDescent="0.15">
      <c r="A32" s="685"/>
      <c r="B32" s="688"/>
      <c r="C32" s="686"/>
      <c r="D32" s="687"/>
      <c r="E32" s="687"/>
      <c r="F32" s="683"/>
      <c r="G32" s="691"/>
      <c r="H32" s="692"/>
    </row>
    <row r="33" spans="1:9" ht="13.5" customHeight="1" x14ac:dyDescent="0.15">
      <c r="A33" s="685"/>
      <c r="B33" s="688"/>
      <c r="C33" s="686"/>
      <c r="D33" s="687"/>
      <c r="E33" s="687"/>
      <c r="F33" s="683"/>
      <c r="G33" s="691"/>
      <c r="H33" s="691"/>
    </row>
    <row r="34" spans="1:9" ht="13.5" customHeight="1" x14ac:dyDescent="0.15">
      <c r="F34" s="713" t="s">
        <v>123</v>
      </c>
      <c r="G34" s="182">
        <f>SUM(G7:G33)</f>
        <v>0</v>
      </c>
      <c r="H34" s="182">
        <f>SUM(H7:H33)</f>
        <v>1</v>
      </c>
      <c r="I34" s="706"/>
    </row>
    <row r="35" spans="1:9" ht="13.5" customHeight="1" x14ac:dyDescent="0.15">
      <c r="F35" s="671"/>
      <c r="G35" s="714"/>
      <c r="H35" s="714"/>
      <c r="I35" s="706"/>
    </row>
    <row r="36" spans="1:9" ht="13.5" customHeight="1" x14ac:dyDescent="0.15">
      <c r="F36" s="1169" t="s">
        <v>8</v>
      </c>
      <c r="G36" s="1170"/>
      <c r="H36" s="715">
        <f>G34-H34</f>
        <v>-1</v>
      </c>
      <c r="I36" s="706"/>
    </row>
  </sheetData>
  <mergeCells count="3">
    <mergeCell ref="F36:G36"/>
    <mergeCell ref="J1:J3"/>
    <mergeCell ref="C1:H5"/>
  </mergeCells>
  <hyperlinks>
    <hyperlink ref="J1:J3" location="'ANA SAYFA'!A1" display="ANA SAYFA"/>
  </hyperlinks>
  <pageMargins left="0.7" right="0.17" top="0.25" bottom="0.75" header="0.24" footer="0.3"/>
  <pageSetup paperSize="9" scale="66" orientation="portrait" r:id="rId1"/>
  <colBreaks count="1" manualBreakCount="1">
    <brk id="8" max="1048575" man="1"/>
  </colBreak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zoomScaleNormal="100" workbookViewId="0">
      <selection activeCell="J1" sqref="J1:J3"/>
    </sheetView>
  </sheetViews>
  <sheetFormatPr defaultColWidth="9.140625" defaultRowHeight="12.75" x14ac:dyDescent="0.2"/>
  <cols>
    <col min="1" max="1" width="18.140625" style="82" bestFit="1" customWidth="1"/>
    <col min="2" max="3" width="27.5703125" style="82" bestFit="1" customWidth="1"/>
    <col min="4" max="5" width="9.140625" style="82"/>
    <col min="6" max="6" width="20.140625" style="82" bestFit="1" customWidth="1"/>
    <col min="7" max="7" width="14.28515625" style="82" bestFit="1" customWidth="1"/>
    <col min="8" max="8" width="12.5703125" style="82" customWidth="1"/>
    <col min="9" max="9" width="4.140625" style="82" customWidth="1"/>
    <col min="10" max="10" width="11.140625" style="82" customWidth="1"/>
    <col min="11" max="16384" width="9.140625" style="82"/>
  </cols>
  <sheetData>
    <row r="1" spans="1:11" ht="13.15" customHeight="1" x14ac:dyDescent="0.2">
      <c r="A1" s="322" t="s">
        <v>135</v>
      </c>
      <c r="B1" s="188" t="str">
        <f>'ANA SAYFA'!B87</f>
        <v>UĞUR KOÇ</v>
      </c>
      <c r="C1" s="1166" t="s">
        <v>136</v>
      </c>
      <c r="D1" s="1166"/>
      <c r="E1" s="1166"/>
      <c r="F1" s="1166"/>
      <c r="G1" s="1166"/>
      <c r="H1" s="1166"/>
      <c r="J1" s="1183" t="s">
        <v>712</v>
      </c>
    </row>
    <row r="2" spans="1:11" ht="13.15" customHeight="1" x14ac:dyDescent="0.2">
      <c r="A2" s="322" t="s">
        <v>137</v>
      </c>
      <c r="B2" s="154">
        <f>'ANA SAYFA'!D87</f>
        <v>39010350652</v>
      </c>
      <c r="C2" s="1166"/>
      <c r="D2" s="1166"/>
      <c r="E2" s="1166"/>
      <c r="F2" s="1166"/>
      <c r="G2" s="1166"/>
      <c r="H2" s="1166"/>
      <c r="J2" s="1184"/>
    </row>
    <row r="3" spans="1:11" ht="13.15" customHeight="1" thickBot="1" x14ac:dyDescent="0.25">
      <c r="A3" s="322" t="s">
        <v>131</v>
      </c>
      <c r="B3" s="153" t="str">
        <f>'ANA SAYFA'!C87</f>
        <v>TIR-ÇEKİCİ ŞOFÖRÜ</v>
      </c>
      <c r="C3" s="1166"/>
      <c r="D3" s="1166"/>
      <c r="E3" s="1166"/>
      <c r="F3" s="1166"/>
      <c r="G3" s="1166"/>
      <c r="H3" s="1166"/>
      <c r="J3" s="1185"/>
    </row>
    <row r="4" spans="1:11" ht="13.15" customHeight="1" x14ac:dyDescent="0.2">
      <c r="A4" s="322" t="s">
        <v>120</v>
      </c>
      <c r="B4" s="83">
        <f>'ANA SAYFA'!E87</f>
        <v>45140</v>
      </c>
      <c r="C4" s="1166"/>
      <c r="D4" s="1166"/>
      <c r="E4" s="1166"/>
      <c r="F4" s="1166"/>
      <c r="G4" s="1166"/>
      <c r="H4" s="1166"/>
    </row>
    <row r="5" spans="1:11" ht="13.15" customHeight="1" x14ac:dyDescent="0.2">
      <c r="A5" s="322" t="s">
        <v>130</v>
      </c>
      <c r="B5" s="83">
        <f>'ANA SAYFA'!F87</f>
        <v>26600</v>
      </c>
      <c r="C5" s="1166"/>
      <c r="D5" s="1166"/>
      <c r="E5" s="1166"/>
      <c r="F5" s="1166"/>
      <c r="G5" s="1166"/>
      <c r="H5" s="1166"/>
      <c r="J5" s="699"/>
      <c r="K5" s="699"/>
    </row>
    <row r="6" spans="1:11" ht="31.5" x14ac:dyDescent="0.2">
      <c r="A6" s="69" t="s">
        <v>0</v>
      </c>
      <c r="B6" s="70" t="s">
        <v>1</v>
      </c>
      <c r="C6" s="69" t="s">
        <v>2</v>
      </c>
      <c r="D6" s="71" t="s">
        <v>133</v>
      </c>
      <c r="E6" s="71" t="s">
        <v>4</v>
      </c>
      <c r="F6" s="71" t="s">
        <v>7</v>
      </c>
      <c r="G6" s="71" t="s">
        <v>6</v>
      </c>
      <c r="H6" s="71" t="s">
        <v>3</v>
      </c>
      <c r="J6" s="699"/>
      <c r="K6" s="699"/>
    </row>
    <row r="7" spans="1:11" x14ac:dyDescent="0.2">
      <c r="A7" s="139"/>
      <c r="B7" s="155">
        <v>45269</v>
      </c>
      <c r="C7" s="156">
        <v>45274</v>
      </c>
      <c r="D7" s="168">
        <v>0.33333333333333331</v>
      </c>
      <c r="E7" s="168">
        <v>0.33333333333333331</v>
      </c>
      <c r="F7" s="112" t="s">
        <v>742</v>
      </c>
      <c r="G7" s="441">
        <v>20</v>
      </c>
      <c r="H7" s="754">
        <v>4</v>
      </c>
      <c r="J7" s="190"/>
      <c r="K7" s="190"/>
    </row>
    <row r="8" spans="1:11" x14ac:dyDescent="0.2">
      <c r="A8" s="146"/>
      <c r="B8" s="155" t="s">
        <v>509</v>
      </c>
      <c r="C8" s="155" t="s">
        <v>509</v>
      </c>
      <c r="D8" s="168">
        <v>0.33333333333333331</v>
      </c>
      <c r="E8" s="168">
        <v>0.33333333333333331</v>
      </c>
      <c r="F8" s="704" t="s">
        <v>811</v>
      </c>
      <c r="G8" s="441">
        <v>20</v>
      </c>
      <c r="H8" s="754">
        <v>1</v>
      </c>
      <c r="J8" s="148"/>
      <c r="K8" s="148"/>
    </row>
    <row r="9" spans="1:11" x14ac:dyDescent="0.2">
      <c r="A9" s="146"/>
      <c r="B9" s="155">
        <v>45463</v>
      </c>
      <c r="C9" s="156">
        <v>45465</v>
      </c>
      <c r="D9" s="735">
        <v>0.33333333333333331</v>
      </c>
      <c r="E9" s="735">
        <v>0.33333333333333331</v>
      </c>
      <c r="F9" s="1064" t="s">
        <v>1015</v>
      </c>
      <c r="G9" s="1065">
        <v>20</v>
      </c>
      <c r="H9" s="754">
        <v>3</v>
      </c>
      <c r="J9" s="148"/>
      <c r="K9" s="148"/>
    </row>
    <row r="10" spans="1:11" x14ac:dyDescent="0.2">
      <c r="A10" s="141"/>
      <c r="B10" s="155">
        <v>45479</v>
      </c>
      <c r="C10" s="158">
        <v>45479</v>
      </c>
      <c r="D10" s="735">
        <v>0.33333333333333331</v>
      </c>
      <c r="E10" s="735">
        <v>0.33333333333333331</v>
      </c>
      <c r="F10" s="145"/>
      <c r="G10" s="851"/>
      <c r="H10" s="754">
        <v>1</v>
      </c>
    </row>
    <row r="11" spans="1:11" ht="12.75" customHeight="1" x14ac:dyDescent="0.2">
      <c r="A11" s="1253" t="s">
        <v>594</v>
      </c>
      <c r="B11" s="1294"/>
      <c r="C11" s="1254"/>
      <c r="D11" s="159"/>
      <c r="E11" s="159"/>
      <c r="F11" s="145"/>
      <c r="G11" s="441"/>
      <c r="H11" s="754">
        <v>-3</v>
      </c>
    </row>
    <row r="12" spans="1:11" x14ac:dyDescent="0.2">
      <c r="A12" s="147"/>
      <c r="B12" s="142">
        <v>45537</v>
      </c>
      <c r="C12" s="143">
        <v>45537</v>
      </c>
      <c r="D12" s="735">
        <v>0.33333333333333331</v>
      </c>
      <c r="E12" s="735">
        <v>0.33333333333333331</v>
      </c>
      <c r="F12" s="145"/>
      <c r="G12" s="851"/>
      <c r="H12" s="757">
        <v>1</v>
      </c>
      <c r="J12" s="148"/>
      <c r="K12" s="148"/>
    </row>
    <row r="13" spans="1:11" x14ac:dyDescent="0.2">
      <c r="A13" s="147"/>
      <c r="B13" s="142">
        <v>45558</v>
      </c>
      <c r="C13" s="143">
        <v>45563</v>
      </c>
      <c r="D13" s="735">
        <v>0.33333333333333331</v>
      </c>
      <c r="E13" s="735">
        <v>0.33333333333333331</v>
      </c>
      <c r="F13" s="145"/>
      <c r="G13" s="851"/>
      <c r="H13" s="757">
        <v>6</v>
      </c>
    </row>
    <row r="14" spans="1:11" x14ac:dyDescent="0.2">
      <c r="A14" s="147"/>
      <c r="B14" s="142">
        <v>45609</v>
      </c>
      <c r="C14" s="143">
        <v>45609</v>
      </c>
      <c r="D14" s="735">
        <v>0.33333333333333331</v>
      </c>
      <c r="E14" s="735">
        <v>0.33333333333333331</v>
      </c>
      <c r="F14" s="140"/>
      <c r="G14" s="851"/>
      <c r="H14" s="757">
        <v>1</v>
      </c>
    </row>
    <row r="15" spans="1:11" x14ac:dyDescent="0.2">
      <c r="A15" s="147"/>
      <c r="B15" s="142">
        <v>45623</v>
      </c>
      <c r="C15" s="143">
        <v>45623</v>
      </c>
      <c r="D15" s="735">
        <v>0.33333333333333331</v>
      </c>
      <c r="E15" s="735">
        <v>0.33333333333333331</v>
      </c>
      <c r="F15" s="140"/>
      <c r="G15" s="851"/>
      <c r="H15" s="757">
        <v>1</v>
      </c>
    </row>
    <row r="16" spans="1:11" x14ac:dyDescent="0.2">
      <c r="A16" s="147"/>
      <c r="B16" s="142">
        <v>45656</v>
      </c>
      <c r="C16" s="143">
        <v>45661</v>
      </c>
      <c r="D16" s="735">
        <v>0.33333333333333331</v>
      </c>
      <c r="E16" s="735">
        <v>0.33333333333333331</v>
      </c>
      <c r="F16" s="140"/>
      <c r="G16" s="851"/>
      <c r="H16" s="757">
        <v>5</v>
      </c>
    </row>
    <row r="17" spans="1:8" x14ac:dyDescent="0.2">
      <c r="A17" s="147"/>
      <c r="B17" s="142">
        <v>45685</v>
      </c>
      <c r="C17" s="143">
        <v>45689</v>
      </c>
      <c r="D17" s="735">
        <v>0.33333333333333331</v>
      </c>
      <c r="E17" s="735">
        <v>0.33333333333333331</v>
      </c>
      <c r="F17" s="140"/>
      <c r="G17" s="851"/>
      <c r="H17" s="757">
        <v>5</v>
      </c>
    </row>
    <row r="18" spans="1:8" x14ac:dyDescent="0.2">
      <c r="A18" s="1269" t="s">
        <v>678</v>
      </c>
      <c r="B18" s="1270"/>
      <c r="C18" s="1271"/>
      <c r="D18" s="144"/>
      <c r="E18" s="144"/>
      <c r="F18" s="140"/>
      <c r="G18" s="258"/>
      <c r="H18" s="757">
        <v>-3</v>
      </c>
    </row>
    <row r="19" spans="1:8" x14ac:dyDescent="0.2">
      <c r="A19" s="1269" t="s">
        <v>684</v>
      </c>
      <c r="B19" s="1270"/>
      <c r="C19" s="1271"/>
      <c r="D19" s="144"/>
      <c r="E19" s="144"/>
      <c r="F19" s="140"/>
      <c r="G19" s="258"/>
      <c r="H19" s="757">
        <v>-3</v>
      </c>
    </row>
    <row r="20" spans="1:8" s="699" customFormat="1" x14ac:dyDescent="0.2">
      <c r="A20" s="725"/>
      <c r="B20" s="720">
        <v>45749</v>
      </c>
      <c r="C20" s="721">
        <v>45752</v>
      </c>
      <c r="D20" s="735">
        <v>0.33333333333333331</v>
      </c>
      <c r="E20" s="735">
        <v>0.33333333333333331</v>
      </c>
      <c r="F20" s="683"/>
      <c r="G20" s="691"/>
      <c r="H20" s="757">
        <v>4</v>
      </c>
    </row>
    <row r="21" spans="1:8" s="699" customFormat="1" x14ac:dyDescent="0.2">
      <c r="A21" s="1269" t="s">
        <v>777</v>
      </c>
      <c r="B21" s="1270"/>
      <c r="C21" s="1271"/>
      <c r="D21" s="735"/>
      <c r="E21" s="735"/>
      <c r="F21" s="683"/>
      <c r="G21" s="691"/>
      <c r="H21" s="757">
        <v>-2</v>
      </c>
    </row>
    <row r="22" spans="1:8" s="699" customFormat="1" x14ac:dyDescent="0.2">
      <c r="A22" s="1269" t="s">
        <v>794</v>
      </c>
      <c r="B22" s="1270"/>
      <c r="C22" s="1271"/>
      <c r="D22" s="735"/>
      <c r="E22" s="735"/>
      <c r="F22" s="683"/>
      <c r="G22" s="691"/>
      <c r="H22" s="757">
        <v>-1</v>
      </c>
    </row>
    <row r="23" spans="1:8" s="699" customFormat="1" x14ac:dyDescent="0.2">
      <c r="A23" s="725"/>
      <c r="B23" s="720">
        <v>46088</v>
      </c>
      <c r="C23" s="721">
        <v>46125</v>
      </c>
      <c r="D23" s="735"/>
      <c r="E23" s="735"/>
      <c r="F23" s="683"/>
      <c r="G23" s="691"/>
      <c r="H23" s="757">
        <v>28</v>
      </c>
    </row>
    <row r="24" spans="1:8" s="699" customFormat="1" x14ac:dyDescent="0.2">
      <c r="A24" s="725"/>
      <c r="B24" s="720">
        <v>46167</v>
      </c>
      <c r="C24" s="721">
        <v>46181</v>
      </c>
      <c r="D24" s="735"/>
      <c r="E24" s="735"/>
      <c r="F24" s="683"/>
      <c r="G24" s="691"/>
      <c r="H24" s="757">
        <v>7</v>
      </c>
    </row>
    <row r="25" spans="1:8" s="699" customFormat="1" hidden="1" x14ac:dyDescent="0.2">
      <c r="A25" s="725"/>
      <c r="B25" s="720"/>
      <c r="C25" s="721"/>
      <c r="D25" s="735"/>
      <c r="E25" s="735"/>
      <c r="F25" s="683"/>
      <c r="G25" s="691"/>
      <c r="H25" s="757"/>
    </row>
    <row r="26" spans="1:8" s="699" customFormat="1" hidden="1" x14ac:dyDescent="0.2">
      <c r="A26" s="725"/>
      <c r="B26" s="720"/>
      <c r="C26" s="721"/>
      <c r="D26" s="735"/>
      <c r="E26" s="735"/>
      <c r="F26" s="683"/>
      <c r="G26" s="691"/>
      <c r="H26" s="757"/>
    </row>
    <row r="27" spans="1:8" s="699" customFormat="1" hidden="1" x14ac:dyDescent="0.2">
      <c r="A27" s="725"/>
      <c r="B27" s="720"/>
      <c r="C27" s="721"/>
      <c r="D27" s="735"/>
      <c r="E27" s="735"/>
      <c r="F27" s="683"/>
      <c r="G27" s="691"/>
      <c r="H27" s="757"/>
    </row>
    <row r="28" spans="1:8" s="699" customFormat="1" hidden="1" x14ac:dyDescent="0.2">
      <c r="A28" s="725"/>
      <c r="B28" s="720"/>
      <c r="C28" s="721"/>
      <c r="D28" s="735"/>
      <c r="E28" s="735"/>
      <c r="F28" s="683"/>
      <c r="G28" s="691"/>
      <c r="H28" s="757"/>
    </row>
    <row r="29" spans="1:8" s="699" customFormat="1" hidden="1" x14ac:dyDescent="0.2">
      <c r="A29" s="725"/>
      <c r="B29" s="720"/>
      <c r="C29" s="721"/>
      <c r="D29" s="735"/>
      <c r="E29" s="735"/>
      <c r="F29" s="683"/>
      <c r="G29" s="691"/>
      <c r="H29" s="757"/>
    </row>
    <row r="30" spans="1:8" s="699" customFormat="1" hidden="1" x14ac:dyDescent="0.2">
      <c r="A30" s="725"/>
      <c r="B30" s="720"/>
      <c r="C30" s="721"/>
      <c r="D30" s="735"/>
      <c r="E30" s="735"/>
      <c r="F30" s="683"/>
      <c r="G30" s="691"/>
      <c r="H30" s="757"/>
    </row>
    <row r="31" spans="1:8" s="699" customFormat="1" hidden="1" x14ac:dyDescent="0.2">
      <c r="A31" s="725"/>
      <c r="B31" s="720"/>
      <c r="C31" s="721"/>
      <c r="D31" s="735"/>
      <c r="E31" s="735"/>
      <c r="F31" s="683"/>
      <c r="G31" s="691"/>
      <c r="H31" s="757"/>
    </row>
    <row r="32" spans="1:8" s="699" customFormat="1" hidden="1" x14ac:dyDescent="0.2">
      <c r="A32" s="725"/>
      <c r="B32" s="720"/>
      <c r="C32" s="721"/>
      <c r="D32" s="735"/>
      <c r="E32" s="735"/>
      <c r="F32" s="683"/>
      <c r="G32" s="691"/>
      <c r="H32" s="757"/>
    </row>
    <row r="33" spans="1:8" s="699" customFormat="1" hidden="1" x14ac:dyDescent="0.2">
      <c r="A33" s="725"/>
      <c r="B33" s="720"/>
      <c r="C33" s="721"/>
      <c r="D33" s="735"/>
      <c r="E33" s="735"/>
      <c r="F33" s="683"/>
      <c r="G33" s="691"/>
      <c r="H33" s="757"/>
    </row>
    <row r="34" spans="1:8" s="699" customFormat="1" hidden="1" x14ac:dyDescent="0.2">
      <c r="A34" s="725"/>
      <c r="B34" s="720"/>
      <c r="C34" s="721"/>
      <c r="D34" s="735"/>
      <c r="E34" s="735"/>
      <c r="F34" s="683"/>
      <c r="G34" s="691"/>
      <c r="H34" s="757"/>
    </row>
    <row r="35" spans="1:8" s="699" customFormat="1" hidden="1" x14ac:dyDescent="0.2">
      <c r="A35" s="725"/>
      <c r="B35" s="720"/>
      <c r="C35" s="721"/>
      <c r="D35" s="735"/>
      <c r="E35" s="735"/>
      <c r="F35" s="683"/>
      <c r="G35" s="691"/>
      <c r="H35" s="757"/>
    </row>
    <row r="36" spans="1:8" s="699" customFormat="1" hidden="1" x14ac:dyDescent="0.2">
      <c r="A36" s="725"/>
      <c r="B36" s="720"/>
      <c r="C36" s="721"/>
      <c r="D36" s="735"/>
      <c r="E36" s="735"/>
      <c r="F36" s="683"/>
      <c r="G36" s="691"/>
      <c r="H36" s="757"/>
    </row>
    <row r="37" spans="1:8" x14ac:dyDescent="0.2">
      <c r="A37" s="147"/>
      <c r="B37" s="142"/>
      <c r="C37" s="143"/>
      <c r="D37" s="144"/>
      <c r="E37" s="144"/>
      <c r="F37" s="48"/>
      <c r="G37" s="66"/>
      <c r="H37" s="633"/>
    </row>
    <row r="38" spans="1:8" x14ac:dyDescent="0.2">
      <c r="A38" s="147"/>
      <c r="B38" s="142"/>
      <c r="C38" s="143"/>
      <c r="D38" s="144"/>
      <c r="E38" s="144"/>
      <c r="F38" s="48"/>
      <c r="G38" s="66"/>
      <c r="H38" s="633"/>
    </row>
    <row r="39" spans="1:8" x14ac:dyDescent="0.2">
      <c r="F39" s="294" t="s">
        <v>123</v>
      </c>
      <c r="G39" s="77">
        <f>SUM(G7:G37)</f>
        <v>60</v>
      </c>
      <c r="H39" s="77">
        <f>SUM(H7:H38)</f>
        <v>55</v>
      </c>
    </row>
    <row r="40" spans="1:8" x14ac:dyDescent="0.2">
      <c r="F40" s="62"/>
      <c r="G40" s="63"/>
      <c r="H40" s="63"/>
    </row>
    <row r="41" spans="1:8" ht="14.25" x14ac:dyDescent="0.2">
      <c r="F41" s="1153" t="s">
        <v>8</v>
      </c>
      <c r="G41" s="1154"/>
      <c r="H41" s="84">
        <f>G39-H39</f>
        <v>5</v>
      </c>
    </row>
  </sheetData>
  <sortState ref="B20:J26">
    <sortCondition ref="B20"/>
  </sortState>
  <mergeCells count="8">
    <mergeCell ref="F41:G41"/>
    <mergeCell ref="J1:J3"/>
    <mergeCell ref="A11:C11"/>
    <mergeCell ref="A18:C18"/>
    <mergeCell ref="A19:C19"/>
    <mergeCell ref="C1:H5"/>
    <mergeCell ref="A21:C21"/>
    <mergeCell ref="A22:C22"/>
  </mergeCells>
  <hyperlinks>
    <hyperlink ref="J1:J3" location="'ANA SAYFA'!A1" display="ANA SAYFA"/>
  </hyperlinks>
  <pageMargins left="0.7" right="0.12" top="0.28999999999999998" bottom="0.75" header="0.3" footer="0.3"/>
  <pageSetup paperSize="9" scale="68" orientation="portrait" horizontalDpi="300" verticalDpi="300" r:id="rId1"/>
  <colBreaks count="1" manualBreakCount="1">
    <brk id="8" max="1048575" man="1"/>
  </colBreak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1"/>
  <sheetViews>
    <sheetView zoomScaleNormal="100" workbookViewId="0">
      <pane ySplit="6" topLeftCell="A46" activePane="bottomLeft" state="frozen"/>
      <selection pane="bottomLeft" activeCell="J1" sqref="J1:J3"/>
    </sheetView>
  </sheetViews>
  <sheetFormatPr defaultColWidth="9.140625" defaultRowHeight="12.75" x14ac:dyDescent="0.2"/>
  <cols>
    <col min="1" max="1" width="18.140625" style="82" bestFit="1" customWidth="1"/>
    <col min="2" max="3" width="29" style="82" bestFit="1" customWidth="1"/>
    <col min="4" max="5" width="9.28515625" style="82" bestFit="1" customWidth="1"/>
    <col min="6" max="6" width="29.140625" style="82" customWidth="1"/>
    <col min="7" max="7" width="14.42578125" style="82" bestFit="1" customWidth="1"/>
    <col min="8" max="8" width="12.7109375" style="82" bestFit="1" customWidth="1"/>
    <col min="9" max="9" width="4.28515625" style="82" customWidth="1"/>
    <col min="10" max="10" width="10.140625" style="82" bestFit="1" customWidth="1"/>
    <col min="11" max="16384" width="9.140625" style="82"/>
  </cols>
  <sheetData>
    <row r="1" spans="1:12" ht="15.75" customHeight="1" x14ac:dyDescent="0.2">
      <c r="A1" s="29" t="s">
        <v>135</v>
      </c>
      <c r="B1" s="216" t="str">
        <f>'ANA SAYFA'!B88</f>
        <v>ŞAHİN ÇAT</v>
      </c>
      <c r="C1" s="1166" t="s">
        <v>136</v>
      </c>
      <c r="D1" s="1166"/>
      <c r="E1" s="1166"/>
      <c r="F1" s="1166"/>
      <c r="G1" s="1166"/>
      <c r="H1" s="1166"/>
      <c r="J1" s="1183" t="s">
        <v>712</v>
      </c>
    </row>
    <row r="2" spans="1:12" ht="15.75" customHeight="1" x14ac:dyDescent="0.2">
      <c r="A2" s="29" t="s">
        <v>137</v>
      </c>
      <c r="B2" s="217">
        <f>'ANA SAYFA'!D88</f>
        <v>23827780108</v>
      </c>
      <c r="C2" s="1166"/>
      <c r="D2" s="1166"/>
      <c r="E2" s="1166"/>
      <c r="F2" s="1166"/>
      <c r="G2" s="1166"/>
      <c r="H2" s="1166"/>
      <c r="J2" s="1184"/>
    </row>
    <row r="3" spans="1:12" ht="15.75" customHeight="1" thickBot="1" x14ac:dyDescent="0.25">
      <c r="A3" s="29" t="s">
        <v>131</v>
      </c>
      <c r="B3" s="216" t="str">
        <f>'ANA SAYFA'!C88</f>
        <v>TAMİRCİ</v>
      </c>
      <c r="C3" s="1166"/>
      <c r="D3" s="1166"/>
      <c r="E3" s="1166"/>
      <c r="F3" s="1166"/>
      <c r="G3" s="1166"/>
      <c r="H3" s="1166"/>
      <c r="J3" s="1185"/>
    </row>
    <row r="4" spans="1:12" ht="15.75" customHeight="1" x14ac:dyDescent="0.2">
      <c r="A4" s="29" t="s">
        <v>120</v>
      </c>
      <c r="B4" s="218">
        <f>'ANA SAYFA'!E88</f>
        <v>45174</v>
      </c>
      <c r="C4" s="1166"/>
      <c r="D4" s="1166"/>
      <c r="E4" s="1166"/>
      <c r="F4" s="1166"/>
      <c r="G4" s="1166"/>
      <c r="H4" s="1166"/>
    </row>
    <row r="5" spans="1:12" ht="15.75" customHeight="1" x14ac:dyDescent="0.2">
      <c r="A5" s="29" t="s">
        <v>130</v>
      </c>
      <c r="B5" s="218">
        <f>'ANA SAYFA'!F88</f>
        <v>33557</v>
      </c>
      <c r="C5" s="1166"/>
      <c r="D5" s="1166"/>
      <c r="E5" s="1166"/>
      <c r="F5" s="1166"/>
      <c r="G5" s="1166"/>
      <c r="H5" s="1166"/>
      <c r="J5" s="699"/>
      <c r="K5" s="699"/>
    </row>
    <row r="6" spans="1:12" ht="31.5" x14ac:dyDescent="0.2">
      <c r="A6" s="69" t="s">
        <v>0</v>
      </c>
      <c r="B6" s="70" t="s">
        <v>1</v>
      </c>
      <c r="C6" s="69" t="s">
        <v>2</v>
      </c>
      <c r="D6" s="71" t="s">
        <v>133</v>
      </c>
      <c r="E6" s="71" t="s">
        <v>4</v>
      </c>
      <c r="F6" s="71" t="s">
        <v>7</v>
      </c>
      <c r="G6" s="71" t="s">
        <v>6</v>
      </c>
      <c r="H6" s="71" t="s">
        <v>3</v>
      </c>
      <c r="J6" s="699"/>
      <c r="K6" s="699"/>
    </row>
    <row r="7" spans="1:12" x14ac:dyDescent="0.2">
      <c r="A7" s="139"/>
      <c r="B7" s="155">
        <v>45183</v>
      </c>
      <c r="C7" s="156">
        <v>45187</v>
      </c>
      <c r="D7" s="168">
        <v>0.33333333333333331</v>
      </c>
      <c r="E7" s="168">
        <v>0.33333333333333331</v>
      </c>
      <c r="F7" s="189" t="s">
        <v>625</v>
      </c>
      <c r="G7" s="191">
        <v>14</v>
      </c>
      <c r="H7" s="755">
        <v>3</v>
      </c>
      <c r="J7" s="190"/>
      <c r="K7" s="190"/>
    </row>
    <row r="8" spans="1:12" x14ac:dyDescent="0.2">
      <c r="A8" s="146"/>
      <c r="B8" s="155">
        <v>45209</v>
      </c>
      <c r="C8" s="156">
        <v>45219</v>
      </c>
      <c r="D8" s="168">
        <v>0.33333333333333331</v>
      </c>
      <c r="E8" s="168">
        <v>0.33333333333333331</v>
      </c>
      <c r="F8" s="746" t="s">
        <v>917</v>
      </c>
      <c r="G8" s="748">
        <v>14</v>
      </c>
      <c r="H8" s="755">
        <v>9</v>
      </c>
      <c r="J8" s="148"/>
      <c r="K8" s="148"/>
    </row>
    <row r="9" spans="1:12" x14ac:dyDescent="0.2">
      <c r="A9" s="146"/>
      <c r="B9" s="155">
        <v>45260</v>
      </c>
      <c r="C9" s="156">
        <v>45266</v>
      </c>
      <c r="D9" s="168">
        <v>0.33333333333333331</v>
      </c>
      <c r="E9" s="144">
        <v>0.33333333333333331</v>
      </c>
      <c r="F9" s="191"/>
      <c r="G9" s="145"/>
      <c r="H9" s="755">
        <v>5</v>
      </c>
      <c r="J9" s="148"/>
      <c r="K9" s="148"/>
      <c r="L9" s="356"/>
    </row>
    <row r="10" spans="1:12" x14ac:dyDescent="0.2">
      <c r="A10" s="141"/>
      <c r="B10" s="155">
        <v>45272</v>
      </c>
      <c r="C10" s="158">
        <v>45274</v>
      </c>
      <c r="D10" s="159">
        <v>0.33333333333333331</v>
      </c>
      <c r="E10" s="159">
        <v>0.33333333333333331</v>
      </c>
      <c r="F10" s="145"/>
      <c r="G10" s="723"/>
      <c r="H10" s="755">
        <v>2</v>
      </c>
    </row>
    <row r="11" spans="1:12" x14ac:dyDescent="0.2">
      <c r="A11" s="141"/>
      <c r="B11" s="155">
        <v>45323</v>
      </c>
      <c r="C11" s="158">
        <v>45327</v>
      </c>
      <c r="D11" s="159">
        <v>0.33333333333333331</v>
      </c>
      <c r="E11" s="159">
        <v>0.33333333333333331</v>
      </c>
      <c r="F11" s="145"/>
      <c r="G11" s="723"/>
      <c r="H11" s="755">
        <v>3</v>
      </c>
    </row>
    <row r="12" spans="1:12" ht="12.75" customHeight="1" x14ac:dyDescent="0.2">
      <c r="A12" s="1253" t="s">
        <v>484</v>
      </c>
      <c r="B12" s="1294"/>
      <c r="C12" s="1254"/>
      <c r="D12" s="168"/>
      <c r="E12" s="168"/>
      <c r="F12" s="145"/>
      <c r="G12" s="723"/>
      <c r="H12" s="436">
        <v>-3</v>
      </c>
      <c r="J12" s="190"/>
      <c r="K12" s="190"/>
    </row>
    <row r="13" spans="1:12" x14ac:dyDescent="0.2">
      <c r="A13" s="147"/>
      <c r="B13" s="142">
        <v>45323</v>
      </c>
      <c r="C13" s="143">
        <v>45327</v>
      </c>
      <c r="D13" s="168">
        <v>0.33333333333333331</v>
      </c>
      <c r="E13" s="168">
        <v>0.33333333333333331</v>
      </c>
      <c r="F13" s="145"/>
      <c r="G13" s="723"/>
      <c r="H13" s="237">
        <v>3</v>
      </c>
      <c r="J13" s="148"/>
      <c r="K13" s="148"/>
    </row>
    <row r="14" spans="1:12" x14ac:dyDescent="0.2">
      <c r="A14" s="147"/>
      <c r="B14" s="142" t="s">
        <v>495</v>
      </c>
      <c r="C14" s="143" t="s">
        <v>496</v>
      </c>
      <c r="D14" s="168">
        <v>0.33333333333333331</v>
      </c>
      <c r="E14" s="168">
        <v>0.33333333333333331</v>
      </c>
      <c r="F14" s="145"/>
      <c r="G14" s="723"/>
      <c r="H14" s="237">
        <v>2</v>
      </c>
    </row>
    <row r="15" spans="1:12" x14ac:dyDescent="0.2">
      <c r="A15" s="147"/>
      <c r="B15" s="142" t="s">
        <v>498</v>
      </c>
      <c r="C15" s="143" t="s">
        <v>497</v>
      </c>
      <c r="D15" s="168">
        <v>0.33333333333333331</v>
      </c>
      <c r="E15" s="168">
        <v>0.33333333333333331</v>
      </c>
      <c r="F15" s="140"/>
      <c r="G15" s="723"/>
      <c r="H15" s="237">
        <v>3</v>
      </c>
    </row>
    <row r="16" spans="1:12" x14ac:dyDescent="0.2">
      <c r="A16" s="147"/>
      <c r="B16" s="142" t="s">
        <v>507</v>
      </c>
      <c r="C16" s="142" t="s">
        <v>502</v>
      </c>
      <c r="D16" s="735">
        <v>0.33333333333333331</v>
      </c>
      <c r="E16" s="735">
        <v>0.33333333333333331</v>
      </c>
      <c r="F16" s="140"/>
      <c r="G16" s="723"/>
      <c r="H16" s="237">
        <v>2</v>
      </c>
    </row>
    <row r="17" spans="1:8" x14ac:dyDescent="0.2">
      <c r="A17" s="147"/>
      <c r="B17" s="142" t="s">
        <v>520</v>
      </c>
      <c r="C17" s="142" t="s">
        <v>520</v>
      </c>
      <c r="D17" s="735">
        <v>0.33333333333333331</v>
      </c>
      <c r="E17" s="735">
        <v>0.33333333333333331</v>
      </c>
      <c r="F17" s="140"/>
      <c r="G17" s="723"/>
      <c r="H17" s="237">
        <v>1</v>
      </c>
    </row>
    <row r="18" spans="1:8" x14ac:dyDescent="0.2">
      <c r="A18" s="147"/>
      <c r="B18" s="142" t="s">
        <v>524</v>
      </c>
      <c r="C18" s="143" t="s">
        <v>525</v>
      </c>
      <c r="D18" s="735">
        <v>0.33333333333333331</v>
      </c>
      <c r="E18" s="735">
        <v>0.33333333333333331</v>
      </c>
      <c r="F18" s="140"/>
      <c r="G18" s="723"/>
      <c r="H18" s="237">
        <v>2</v>
      </c>
    </row>
    <row r="19" spans="1:8" x14ac:dyDescent="0.2">
      <c r="A19" s="147"/>
      <c r="B19" s="142">
        <v>45497</v>
      </c>
      <c r="C19" s="143">
        <v>45500</v>
      </c>
      <c r="D19" s="735">
        <v>0.33333333333333331</v>
      </c>
      <c r="E19" s="735">
        <v>0.33333333333333331</v>
      </c>
      <c r="F19" s="140"/>
      <c r="G19" s="723"/>
      <c r="H19" s="237">
        <v>4</v>
      </c>
    </row>
    <row r="20" spans="1:8" x14ac:dyDescent="0.2">
      <c r="A20" s="147"/>
      <c r="B20" s="142">
        <v>45539</v>
      </c>
      <c r="C20" s="143">
        <v>45539</v>
      </c>
      <c r="D20" s="735">
        <v>0.33333333333333331</v>
      </c>
      <c r="E20" s="735">
        <v>0.33333333333333331</v>
      </c>
      <c r="F20" s="140"/>
      <c r="G20" s="723"/>
      <c r="H20" s="237">
        <v>1</v>
      </c>
    </row>
    <row r="21" spans="1:8" x14ac:dyDescent="0.2">
      <c r="A21" s="147"/>
      <c r="B21" s="142">
        <v>45579</v>
      </c>
      <c r="C21" s="143">
        <v>45580</v>
      </c>
      <c r="D21" s="735">
        <v>0.33333333333333331</v>
      </c>
      <c r="E21" s="735">
        <v>0.33333333333333331</v>
      </c>
      <c r="F21" s="48"/>
      <c r="G21" s="691"/>
      <c r="H21" s="237">
        <v>2</v>
      </c>
    </row>
    <row r="22" spans="1:8" x14ac:dyDescent="0.2">
      <c r="A22" s="147"/>
      <c r="B22" s="142">
        <v>45638</v>
      </c>
      <c r="C22" s="143">
        <v>45638</v>
      </c>
      <c r="D22" s="735">
        <v>0.33333333333333331</v>
      </c>
      <c r="E22" s="735">
        <v>0.33333333333333331</v>
      </c>
      <c r="F22" s="48"/>
      <c r="G22" s="691"/>
      <c r="H22" s="237">
        <v>1</v>
      </c>
    </row>
    <row r="23" spans="1:8" x14ac:dyDescent="0.2">
      <c r="A23" s="147"/>
      <c r="B23" s="142">
        <v>45631</v>
      </c>
      <c r="C23" s="143">
        <v>45631</v>
      </c>
      <c r="D23" s="735">
        <v>0.33333333333333331</v>
      </c>
      <c r="E23" s="735">
        <v>0.33333333333333331</v>
      </c>
      <c r="F23" s="48"/>
      <c r="G23" s="691"/>
      <c r="H23" s="237">
        <v>1</v>
      </c>
    </row>
    <row r="24" spans="1:8" x14ac:dyDescent="0.2">
      <c r="A24" s="147"/>
      <c r="B24" s="142">
        <v>45625</v>
      </c>
      <c r="C24" s="143">
        <v>45625</v>
      </c>
      <c r="D24" s="735">
        <v>0.33333333333333331</v>
      </c>
      <c r="E24" s="735">
        <v>0.33333333333333331</v>
      </c>
      <c r="F24" s="48"/>
      <c r="G24" s="691"/>
      <c r="H24" s="237">
        <v>1</v>
      </c>
    </row>
    <row r="25" spans="1:8" x14ac:dyDescent="0.2">
      <c r="A25" s="147"/>
      <c r="B25" s="142">
        <v>45649</v>
      </c>
      <c r="C25" s="143">
        <v>45649</v>
      </c>
      <c r="D25" s="735">
        <v>0.33333333333333331</v>
      </c>
      <c r="E25" s="735">
        <v>0.33333333333333331</v>
      </c>
      <c r="F25" s="48"/>
      <c r="G25" s="691"/>
      <c r="H25" s="237">
        <v>1</v>
      </c>
    </row>
    <row r="26" spans="1:8" x14ac:dyDescent="0.2">
      <c r="A26" s="1253" t="s">
        <v>670</v>
      </c>
      <c r="B26" s="1294"/>
      <c r="C26" s="1254"/>
      <c r="D26" s="144"/>
      <c r="E26" s="144"/>
      <c r="F26" s="48"/>
      <c r="G26" s="691"/>
      <c r="H26" s="937">
        <v>-5</v>
      </c>
    </row>
    <row r="27" spans="1:8" x14ac:dyDescent="0.2">
      <c r="A27" s="147"/>
      <c r="B27" s="142">
        <v>45667</v>
      </c>
      <c r="C27" s="143">
        <v>45668</v>
      </c>
      <c r="D27" s="735">
        <v>0.33333333333333331</v>
      </c>
      <c r="E27" s="735">
        <v>0.33333333333333331</v>
      </c>
      <c r="F27" s="48"/>
      <c r="G27" s="691"/>
      <c r="H27" s="237">
        <v>1.5</v>
      </c>
    </row>
    <row r="28" spans="1:8" s="699" customFormat="1" x14ac:dyDescent="0.2">
      <c r="A28" s="1253" t="s">
        <v>678</v>
      </c>
      <c r="B28" s="1294"/>
      <c r="C28" s="1254"/>
      <c r="D28" s="722"/>
      <c r="E28" s="722"/>
      <c r="F28" s="683"/>
      <c r="G28" s="691"/>
      <c r="H28" s="937">
        <v>-3</v>
      </c>
    </row>
    <row r="29" spans="1:8" x14ac:dyDescent="0.2">
      <c r="A29" s="147"/>
      <c r="B29" s="142">
        <v>45705</v>
      </c>
      <c r="C29" s="143">
        <v>45705</v>
      </c>
      <c r="D29" s="735">
        <v>0.33333333333333331</v>
      </c>
      <c r="E29" s="735">
        <v>0.33333333333333331</v>
      </c>
      <c r="F29" s="48"/>
      <c r="G29" s="691"/>
      <c r="H29" s="237">
        <v>1</v>
      </c>
    </row>
    <row r="30" spans="1:8" s="699" customFormat="1" x14ac:dyDescent="0.2">
      <c r="A30" s="1253" t="s">
        <v>684</v>
      </c>
      <c r="B30" s="1294"/>
      <c r="C30" s="1254"/>
      <c r="D30" s="722"/>
      <c r="E30" s="722"/>
      <c r="F30" s="683"/>
      <c r="G30" s="691"/>
      <c r="H30" s="937">
        <v>-8</v>
      </c>
    </row>
    <row r="31" spans="1:8" x14ac:dyDescent="0.2">
      <c r="A31" s="147"/>
      <c r="B31" s="142">
        <v>45749</v>
      </c>
      <c r="C31" s="143">
        <v>45750</v>
      </c>
      <c r="D31" s="735">
        <v>0.33333333333333331</v>
      </c>
      <c r="E31" s="735">
        <v>0.33333333333333331</v>
      </c>
      <c r="F31" s="48"/>
      <c r="G31" s="691"/>
      <c r="H31" s="237">
        <v>1</v>
      </c>
    </row>
    <row r="32" spans="1:8" s="699" customFormat="1" x14ac:dyDescent="0.2">
      <c r="A32" s="1253" t="s">
        <v>706</v>
      </c>
      <c r="B32" s="1294"/>
      <c r="C32" s="1254"/>
      <c r="D32" s="722"/>
      <c r="E32" s="722"/>
      <c r="F32" s="683"/>
      <c r="G32" s="691"/>
      <c r="H32" s="937">
        <v>-5</v>
      </c>
    </row>
    <row r="33" spans="1:8" s="699" customFormat="1" x14ac:dyDescent="0.2">
      <c r="A33" s="725"/>
      <c r="B33" s="720">
        <v>45766</v>
      </c>
      <c r="C33" s="721">
        <v>45766</v>
      </c>
      <c r="D33" s="735">
        <v>0.33333333333333331</v>
      </c>
      <c r="E33" s="735">
        <v>0.33333333333333331</v>
      </c>
      <c r="F33" s="683"/>
      <c r="G33" s="691"/>
      <c r="H33" s="237">
        <v>1</v>
      </c>
    </row>
    <row r="34" spans="1:8" s="699" customFormat="1" x14ac:dyDescent="0.2">
      <c r="A34" s="1253" t="s">
        <v>777</v>
      </c>
      <c r="B34" s="1294"/>
      <c r="C34" s="1254"/>
      <c r="D34" s="722"/>
      <c r="E34" s="722"/>
      <c r="F34" s="683"/>
      <c r="G34" s="691"/>
      <c r="H34" s="937">
        <v>-5</v>
      </c>
    </row>
    <row r="35" spans="1:8" s="699" customFormat="1" x14ac:dyDescent="0.2">
      <c r="A35" s="725"/>
      <c r="B35" s="720">
        <v>45787</v>
      </c>
      <c r="C35" s="721">
        <v>45787</v>
      </c>
      <c r="D35" s="735">
        <v>0.33333333333333331</v>
      </c>
      <c r="E35" s="735">
        <v>0.5</v>
      </c>
      <c r="F35" s="683"/>
      <c r="G35" s="691"/>
      <c r="H35" s="237">
        <v>0.5</v>
      </c>
    </row>
    <row r="36" spans="1:8" s="699" customFormat="1" x14ac:dyDescent="0.2">
      <c r="A36" s="1253" t="s">
        <v>794</v>
      </c>
      <c r="B36" s="1294"/>
      <c r="C36" s="1254"/>
      <c r="D36" s="722"/>
      <c r="E36" s="722"/>
      <c r="F36" s="683"/>
      <c r="G36" s="691"/>
      <c r="H36" s="937">
        <v>-3</v>
      </c>
    </row>
    <row r="37" spans="1:8" s="699" customFormat="1" x14ac:dyDescent="0.2">
      <c r="A37" s="725"/>
      <c r="B37" s="720">
        <v>45796</v>
      </c>
      <c r="C37" s="720">
        <v>45796</v>
      </c>
      <c r="D37" s="735">
        <v>0.33333333333333331</v>
      </c>
      <c r="E37" s="735">
        <v>0.33333333333333331</v>
      </c>
      <c r="F37" s="683"/>
      <c r="G37" s="691"/>
      <c r="H37" s="237">
        <v>1</v>
      </c>
    </row>
    <row r="38" spans="1:8" s="699" customFormat="1" x14ac:dyDescent="0.2">
      <c r="A38" s="725"/>
      <c r="B38" s="720">
        <v>45798</v>
      </c>
      <c r="C38" s="720">
        <v>45799</v>
      </c>
      <c r="D38" s="735">
        <v>0.33333333333333331</v>
      </c>
      <c r="E38" s="735">
        <v>0.33333333333333331</v>
      </c>
      <c r="F38" s="683"/>
      <c r="G38" s="691"/>
      <c r="H38" s="237">
        <v>2</v>
      </c>
    </row>
    <row r="39" spans="1:8" s="699" customFormat="1" x14ac:dyDescent="0.2">
      <c r="A39" s="725"/>
      <c r="B39" s="720">
        <v>45834</v>
      </c>
      <c r="C39" s="721">
        <v>45841</v>
      </c>
      <c r="D39" s="735">
        <v>0.33333333333333331</v>
      </c>
      <c r="E39" s="735">
        <v>0.33333333333333331</v>
      </c>
      <c r="F39" s="683"/>
      <c r="G39" s="691"/>
      <c r="H39" s="237">
        <v>7</v>
      </c>
    </row>
    <row r="40" spans="1:8" s="699" customFormat="1" x14ac:dyDescent="0.2">
      <c r="A40" s="1253" t="s">
        <v>801</v>
      </c>
      <c r="B40" s="1294"/>
      <c r="C40" s="1254"/>
      <c r="D40" s="722"/>
      <c r="E40" s="722"/>
      <c r="F40" s="683"/>
      <c r="G40" s="691"/>
      <c r="H40" s="937">
        <v>-10</v>
      </c>
    </row>
    <row r="41" spans="1:8" s="699" customFormat="1" x14ac:dyDescent="0.2">
      <c r="A41" s="725"/>
      <c r="B41" s="720">
        <v>45847</v>
      </c>
      <c r="C41" s="721">
        <v>45847</v>
      </c>
      <c r="D41" s="735">
        <v>0.33333333333333331</v>
      </c>
      <c r="E41" s="735">
        <v>0.33333333333333331</v>
      </c>
      <c r="F41" s="683"/>
      <c r="G41" s="691"/>
      <c r="H41" s="237">
        <v>1</v>
      </c>
    </row>
    <row r="42" spans="1:8" s="699" customFormat="1" x14ac:dyDescent="0.2">
      <c r="A42" s="725"/>
      <c r="B42" s="720">
        <v>45856</v>
      </c>
      <c r="C42" s="721">
        <v>45856</v>
      </c>
      <c r="D42" s="735"/>
      <c r="E42" s="735"/>
      <c r="F42" s="683"/>
      <c r="G42" s="691"/>
      <c r="H42" s="237">
        <v>1</v>
      </c>
    </row>
    <row r="43" spans="1:8" s="699" customFormat="1" x14ac:dyDescent="0.2">
      <c r="A43" s="725"/>
      <c r="B43" s="720">
        <v>45867</v>
      </c>
      <c r="C43" s="721">
        <v>45867</v>
      </c>
      <c r="D43" s="735">
        <v>0.33333333333333331</v>
      </c>
      <c r="E43" s="735">
        <v>0.33333333333333331</v>
      </c>
      <c r="F43" s="683"/>
      <c r="G43" s="691"/>
      <c r="H43" s="237">
        <v>1</v>
      </c>
    </row>
    <row r="44" spans="1:8" s="699" customFormat="1" x14ac:dyDescent="0.2">
      <c r="A44" s="1253" t="s">
        <v>817</v>
      </c>
      <c r="B44" s="1294"/>
      <c r="C44" s="1254"/>
      <c r="D44" s="722"/>
      <c r="E44" s="722"/>
      <c r="F44" s="683"/>
      <c r="G44" s="691"/>
      <c r="H44" s="937">
        <v>-5</v>
      </c>
    </row>
    <row r="45" spans="1:8" s="699" customFormat="1" x14ac:dyDescent="0.2">
      <c r="A45" s="725"/>
      <c r="B45" s="720">
        <v>45877</v>
      </c>
      <c r="C45" s="721">
        <v>45877</v>
      </c>
      <c r="D45" s="735"/>
      <c r="E45" s="735"/>
      <c r="F45" s="683"/>
      <c r="G45" s="691"/>
      <c r="H45" s="237">
        <v>1</v>
      </c>
    </row>
    <row r="46" spans="1:8" s="699" customFormat="1" x14ac:dyDescent="0.2">
      <c r="A46" s="725"/>
      <c r="B46" s="720">
        <v>45892</v>
      </c>
      <c r="C46" s="721">
        <v>45892</v>
      </c>
      <c r="D46" s="735">
        <v>0.33333333333333331</v>
      </c>
      <c r="E46" s="735">
        <v>0.5</v>
      </c>
      <c r="F46" s="683" t="s">
        <v>1042</v>
      </c>
      <c r="G46" s="691"/>
      <c r="H46" s="237">
        <v>0.5</v>
      </c>
    </row>
    <row r="47" spans="1:8" s="699" customFormat="1" x14ac:dyDescent="0.2">
      <c r="A47" s="1253" t="s">
        <v>882</v>
      </c>
      <c r="B47" s="1294"/>
      <c r="C47" s="1254"/>
      <c r="D47" s="722"/>
      <c r="E47" s="722"/>
      <c r="F47" s="683" t="s">
        <v>1043</v>
      </c>
      <c r="G47" s="691"/>
      <c r="H47" s="937">
        <v>-4</v>
      </c>
    </row>
    <row r="48" spans="1:8" s="699" customFormat="1" x14ac:dyDescent="0.2">
      <c r="A48" s="725"/>
      <c r="B48" s="720">
        <v>45877</v>
      </c>
      <c r="C48" s="721">
        <v>45878</v>
      </c>
      <c r="D48" s="735">
        <v>0.33333333333333331</v>
      </c>
      <c r="E48" s="735">
        <v>0.33333333333333331</v>
      </c>
      <c r="F48" s="683" t="s">
        <v>1044</v>
      </c>
      <c r="G48" s="691"/>
      <c r="H48" s="237">
        <v>1</v>
      </c>
    </row>
    <row r="49" spans="1:10" s="699" customFormat="1" x14ac:dyDescent="0.2">
      <c r="A49" s="725"/>
      <c r="B49" s="720">
        <v>45892</v>
      </c>
      <c r="C49" s="721">
        <v>45894</v>
      </c>
      <c r="D49" s="735">
        <v>0.5</v>
      </c>
      <c r="E49" s="735">
        <v>0.33333333333333331</v>
      </c>
      <c r="F49" s="683"/>
      <c r="G49" s="691"/>
      <c r="H49" s="237">
        <v>0.5</v>
      </c>
    </row>
    <row r="50" spans="1:10" s="699" customFormat="1" x14ac:dyDescent="0.2">
      <c r="A50" s="725"/>
      <c r="B50" s="720">
        <v>45945</v>
      </c>
      <c r="C50" s="721">
        <v>45946</v>
      </c>
      <c r="D50" s="735"/>
      <c r="E50" s="735"/>
      <c r="F50" s="683"/>
      <c r="G50" s="691"/>
      <c r="H50" s="237">
        <v>1</v>
      </c>
    </row>
    <row r="51" spans="1:10" s="699" customFormat="1" x14ac:dyDescent="0.2">
      <c r="A51" s="725"/>
      <c r="B51" s="720">
        <v>45950</v>
      </c>
      <c r="C51" s="721">
        <v>45961</v>
      </c>
      <c r="D51" s="735">
        <v>0.33333333333333331</v>
      </c>
      <c r="E51" s="735">
        <v>0.75</v>
      </c>
      <c r="F51" s="683"/>
      <c r="G51" s="691"/>
      <c r="H51" s="237">
        <v>11</v>
      </c>
    </row>
    <row r="52" spans="1:10" s="699" customFormat="1" x14ac:dyDescent="0.2">
      <c r="A52" s="1253" t="s">
        <v>918</v>
      </c>
      <c r="B52" s="1294"/>
      <c r="C52" s="1254"/>
      <c r="D52" s="735"/>
      <c r="E52" s="735"/>
      <c r="F52" s="683"/>
      <c r="G52" s="691"/>
      <c r="H52" s="937">
        <v>-11</v>
      </c>
    </row>
    <row r="53" spans="1:10" s="699" customFormat="1" x14ac:dyDescent="0.2">
      <c r="A53" s="725"/>
      <c r="B53" s="720">
        <v>45969</v>
      </c>
      <c r="C53" s="721">
        <v>45971</v>
      </c>
      <c r="D53" s="735"/>
      <c r="E53" s="735"/>
      <c r="F53" s="683"/>
      <c r="G53" s="691"/>
      <c r="H53" s="237">
        <v>1</v>
      </c>
    </row>
    <row r="54" spans="1:10" s="699" customFormat="1" x14ac:dyDescent="0.2">
      <c r="A54" s="725"/>
      <c r="B54" s="720">
        <v>45996</v>
      </c>
      <c r="C54" s="721">
        <v>45997</v>
      </c>
      <c r="D54" s="735"/>
      <c r="E54" s="735"/>
      <c r="F54" s="683"/>
      <c r="G54" s="691"/>
      <c r="H54" s="237">
        <v>1</v>
      </c>
    </row>
    <row r="55" spans="1:10" x14ac:dyDescent="0.2">
      <c r="A55" s="147"/>
      <c r="B55" s="142">
        <v>46015</v>
      </c>
      <c r="C55" s="143">
        <v>46016</v>
      </c>
      <c r="D55" s="144"/>
      <c r="E55" s="144"/>
      <c r="F55" s="48"/>
      <c r="G55" s="691"/>
      <c r="H55" s="237">
        <v>1</v>
      </c>
    </row>
    <row r="56" spans="1:10" s="699" customFormat="1" x14ac:dyDescent="0.2">
      <c r="A56" s="725"/>
      <c r="B56" s="720">
        <v>46031</v>
      </c>
      <c r="C56" s="721">
        <v>46035</v>
      </c>
      <c r="D56" s="722"/>
      <c r="E56" s="722"/>
      <c r="F56" s="683"/>
      <c r="G56" s="691"/>
      <c r="H56" s="237">
        <v>3</v>
      </c>
    </row>
    <row r="57" spans="1:10" x14ac:dyDescent="0.2">
      <c r="A57" s="147"/>
      <c r="B57" s="142">
        <v>46045</v>
      </c>
      <c r="C57" s="143">
        <v>46046</v>
      </c>
      <c r="D57" s="144"/>
      <c r="E57" s="144"/>
      <c r="F57" s="48"/>
      <c r="G57" s="691"/>
      <c r="H57" s="237">
        <v>2</v>
      </c>
      <c r="J57" s="699"/>
    </row>
    <row r="58" spans="1:10" s="699" customFormat="1" x14ac:dyDescent="0.2">
      <c r="A58" s="725"/>
      <c r="B58" s="720">
        <v>46050</v>
      </c>
      <c r="C58" s="721">
        <v>46051</v>
      </c>
      <c r="D58" s="722"/>
      <c r="E58" s="722"/>
      <c r="F58" s="683"/>
      <c r="G58" s="691"/>
      <c r="H58" s="237">
        <v>1</v>
      </c>
    </row>
    <row r="59" spans="1:10" s="699" customFormat="1" x14ac:dyDescent="0.2">
      <c r="A59" s="725"/>
      <c r="B59" s="720">
        <v>46055</v>
      </c>
      <c r="C59" s="721">
        <v>46056</v>
      </c>
      <c r="D59" s="722"/>
      <c r="E59" s="722"/>
      <c r="F59" s="683"/>
      <c r="G59" s="691"/>
      <c r="H59" s="237">
        <v>1</v>
      </c>
    </row>
    <row r="60" spans="1:10" s="699" customFormat="1" x14ac:dyDescent="0.2">
      <c r="A60" s="725"/>
      <c r="B60" s="720">
        <v>46072</v>
      </c>
      <c r="C60" s="721">
        <v>46073</v>
      </c>
      <c r="D60" s="722"/>
      <c r="E60" s="722"/>
      <c r="F60" s="683"/>
      <c r="G60" s="691"/>
      <c r="H60" s="237">
        <v>1</v>
      </c>
    </row>
    <row r="61" spans="1:10" s="699" customFormat="1" x14ac:dyDescent="0.2">
      <c r="A61" s="725"/>
      <c r="B61" s="720">
        <v>46079</v>
      </c>
      <c r="C61" s="721">
        <v>46080</v>
      </c>
      <c r="D61" s="722"/>
      <c r="E61" s="722"/>
      <c r="F61" s="683"/>
      <c r="G61" s="691"/>
      <c r="H61" s="237">
        <v>1</v>
      </c>
      <c r="J61" s="699" t="s">
        <v>830</v>
      </c>
    </row>
    <row r="62" spans="1:10" s="699" customFormat="1" x14ac:dyDescent="0.2">
      <c r="A62" s="725"/>
      <c r="B62" s="720">
        <v>46085</v>
      </c>
      <c r="C62" s="721">
        <v>46086</v>
      </c>
      <c r="D62" s="722"/>
      <c r="E62" s="722"/>
      <c r="F62" s="683"/>
      <c r="G62" s="691"/>
      <c r="H62" s="237">
        <v>1</v>
      </c>
      <c r="J62" s="699" t="s">
        <v>830</v>
      </c>
    </row>
    <row r="63" spans="1:10" s="699" customFormat="1" x14ac:dyDescent="0.2">
      <c r="A63" s="725"/>
      <c r="B63" s="1250" t="s">
        <v>988</v>
      </c>
      <c r="C63" s="1252"/>
      <c r="D63" s="722"/>
      <c r="E63" s="722"/>
      <c r="F63" s="683"/>
      <c r="G63" s="691"/>
      <c r="H63" s="237">
        <v>-2</v>
      </c>
    </row>
    <row r="64" spans="1:10" s="699" customFormat="1" x14ac:dyDescent="0.2">
      <c r="A64" s="725"/>
      <c r="B64" s="720">
        <v>46162</v>
      </c>
      <c r="C64" s="721">
        <v>46164</v>
      </c>
      <c r="D64" s="722"/>
      <c r="E64" s="722"/>
      <c r="F64" s="683"/>
      <c r="G64" s="691"/>
      <c r="H64" s="237">
        <v>2</v>
      </c>
    </row>
    <row r="65" spans="1:8" s="699" customFormat="1" x14ac:dyDescent="0.2">
      <c r="A65" s="725"/>
      <c r="B65" s="720">
        <v>46195</v>
      </c>
      <c r="C65" s="721">
        <v>46197</v>
      </c>
      <c r="D65" s="722"/>
      <c r="E65" s="722"/>
      <c r="F65" s="683"/>
      <c r="G65" s="691"/>
      <c r="H65" s="237">
        <v>2</v>
      </c>
    </row>
    <row r="66" spans="1:8" s="699" customFormat="1" x14ac:dyDescent="0.2">
      <c r="A66" s="725"/>
      <c r="B66" s="720"/>
      <c r="C66" s="721"/>
      <c r="D66" s="722"/>
      <c r="E66" s="722"/>
      <c r="F66" s="683"/>
      <c r="G66" s="691"/>
      <c r="H66" s="237"/>
    </row>
    <row r="67" spans="1:8" x14ac:dyDescent="0.2">
      <c r="A67" s="147"/>
      <c r="B67" s="142"/>
      <c r="C67" s="143"/>
      <c r="D67" s="144"/>
      <c r="E67" s="144"/>
      <c r="F67" s="48"/>
      <c r="G67" s="691"/>
      <c r="H67" s="80"/>
    </row>
    <row r="68" spans="1:8" x14ac:dyDescent="0.2">
      <c r="A68" s="147"/>
      <c r="B68" s="142"/>
      <c r="C68" s="143"/>
      <c r="D68" s="144"/>
      <c r="E68" s="144"/>
      <c r="F68" s="48"/>
      <c r="G68" s="66"/>
      <c r="H68" s="80"/>
    </row>
    <row r="69" spans="1:8" x14ac:dyDescent="0.2">
      <c r="F69" s="277" t="s">
        <v>123</v>
      </c>
      <c r="G69" s="77">
        <f>SUM(G7:G68)</f>
        <v>28</v>
      </c>
      <c r="H69" s="697">
        <f>SUM(H7:H68)</f>
        <v>32</v>
      </c>
    </row>
    <row r="70" spans="1:8" x14ac:dyDescent="0.2">
      <c r="F70" s="62"/>
      <c r="G70" s="63"/>
      <c r="H70" s="63"/>
    </row>
    <row r="71" spans="1:8" ht="14.25" x14ac:dyDescent="0.2">
      <c r="F71" s="1153" t="s">
        <v>8</v>
      </c>
      <c r="G71" s="1154"/>
      <c r="H71" s="84">
        <f>G69-H69</f>
        <v>-4</v>
      </c>
    </row>
  </sheetData>
  <mergeCells count="15">
    <mergeCell ref="J1:J3"/>
    <mergeCell ref="C1:H5"/>
    <mergeCell ref="F71:G71"/>
    <mergeCell ref="A12:C12"/>
    <mergeCell ref="A26:C26"/>
    <mergeCell ref="A28:C28"/>
    <mergeCell ref="A30:C30"/>
    <mergeCell ref="A32:C32"/>
    <mergeCell ref="A34:C34"/>
    <mergeCell ref="A36:C36"/>
    <mergeCell ref="A40:C40"/>
    <mergeCell ref="A44:C44"/>
    <mergeCell ref="A47:C47"/>
    <mergeCell ref="A52:C52"/>
    <mergeCell ref="B63:C63"/>
  </mergeCells>
  <hyperlinks>
    <hyperlink ref="J1:J3" location="'ANA SAYFA'!A1" display="ANA SAYFA"/>
  </hyperlinks>
  <pageMargins left="0.7" right="0.12" top="0.13" bottom="0.12" header="0.13" footer="0.13"/>
  <pageSetup paperSize="9" scale="68" orientation="portrait" r:id="rId1"/>
  <colBreaks count="1" manualBreakCount="1">
    <brk id="8" max="1048575" man="1"/>
  </colBreak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4"/>
  <sheetViews>
    <sheetView zoomScaleNormal="100" workbookViewId="0">
      <selection activeCell="J1" sqref="J1:J3"/>
    </sheetView>
  </sheetViews>
  <sheetFormatPr defaultColWidth="9.140625" defaultRowHeight="12.75" x14ac:dyDescent="0.2"/>
  <cols>
    <col min="1" max="1" width="18.140625" style="699" bestFit="1" customWidth="1"/>
    <col min="2" max="2" width="27.7109375" style="699" bestFit="1" customWidth="1"/>
    <col min="3" max="3" width="26.85546875" style="699" bestFit="1" customWidth="1"/>
    <col min="4" max="5" width="9.28515625" style="699" bestFit="1" customWidth="1"/>
    <col min="6" max="6" width="20.140625" style="699" bestFit="1" customWidth="1"/>
    <col min="7" max="8" width="13.85546875" style="699" customWidth="1"/>
    <col min="9" max="9" width="3.5703125" style="699" customWidth="1"/>
    <col min="10" max="10" width="11.42578125" style="699" customWidth="1"/>
    <col min="11" max="16384" width="9.140625" style="699"/>
  </cols>
  <sheetData>
    <row r="1" spans="1:11" ht="16.5" customHeight="1" x14ac:dyDescent="0.2">
      <c r="A1" s="669" t="s">
        <v>135</v>
      </c>
      <c r="B1" s="216" t="str">
        <f>'ANA SAYFA'!B89</f>
        <v>HALİL İŞİYOK</v>
      </c>
      <c r="C1" s="1166" t="s">
        <v>136</v>
      </c>
      <c r="D1" s="1166"/>
      <c r="E1" s="1166"/>
      <c r="F1" s="1166"/>
      <c r="G1" s="1166"/>
      <c r="H1" s="1166"/>
      <c r="J1" s="1228" t="s">
        <v>712</v>
      </c>
    </row>
    <row r="2" spans="1:11" ht="16.5" customHeight="1" x14ac:dyDescent="0.2">
      <c r="A2" s="669" t="s">
        <v>137</v>
      </c>
      <c r="B2" s="216">
        <f>'ANA SAYFA'!D89</f>
        <v>53749624976</v>
      </c>
      <c r="C2" s="1166"/>
      <c r="D2" s="1166"/>
      <c r="E2" s="1166"/>
      <c r="F2" s="1166"/>
      <c r="G2" s="1166"/>
      <c r="H2" s="1166"/>
      <c r="J2" s="1229"/>
    </row>
    <row r="3" spans="1:11" ht="16.5" customHeight="1" thickBot="1" x14ac:dyDescent="0.25">
      <c r="A3" s="669" t="s">
        <v>131</v>
      </c>
      <c r="B3" s="216" t="str">
        <f>'ANA SAYFA'!C89</f>
        <v>BEDEN İŞÇİSİ</v>
      </c>
      <c r="C3" s="1166"/>
      <c r="D3" s="1166"/>
      <c r="E3" s="1166"/>
      <c r="F3" s="1166"/>
      <c r="G3" s="1166"/>
      <c r="H3" s="1166"/>
      <c r="J3" s="1230"/>
    </row>
    <row r="4" spans="1:11" ht="16.5" customHeight="1" x14ac:dyDescent="0.2">
      <c r="A4" s="669" t="s">
        <v>120</v>
      </c>
      <c r="B4" s="218">
        <f>'ANA SAYFA'!E89</f>
        <v>45856</v>
      </c>
      <c r="C4" s="1166"/>
      <c r="D4" s="1166"/>
      <c r="E4" s="1166"/>
      <c r="F4" s="1166"/>
      <c r="G4" s="1166"/>
      <c r="H4" s="1166"/>
    </row>
    <row r="5" spans="1:11" ht="16.5" customHeight="1" x14ac:dyDescent="0.2">
      <c r="A5" s="669" t="s">
        <v>130</v>
      </c>
      <c r="B5" s="218">
        <f>'ANA SAYFA'!F89</f>
        <v>32071</v>
      </c>
      <c r="C5" s="1166"/>
      <c r="D5" s="1166"/>
      <c r="E5" s="1166"/>
      <c r="F5" s="1166"/>
      <c r="G5" s="1166"/>
      <c r="H5" s="1166"/>
    </row>
    <row r="6" spans="1:11" ht="31.5" x14ac:dyDescent="0.2">
      <c r="A6" s="693" t="s">
        <v>0</v>
      </c>
      <c r="B6" s="694" t="s">
        <v>1</v>
      </c>
      <c r="C6" s="693" t="s">
        <v>2</v>
      </c>
      <c r="D6" s="695" t="s">
        <v>133</v>
      </c>
      <c r="E6" s="695" t="s">
        <v>4</v>
      </c>
      <c r="F6" s="695" t="s">
        <v>7</v>
      </c>
      <c r="G6" s="695" t="s">
        <v>6</v>
      </c>
      <c r="H6" s="695" t="s">
        <v>3</v>
      </c>
    </row>
    <row r="7" spans="1:11" ht="15" customHeight="1" x14ac:dyDescent="0.2">
      <c r="A7" s="1003" t="s">
        <v>923</v>
      </c>
      <c r="B7" s="729">
        <v>45960</v>
      </c>
      <c r="C7" s="730">
        <v>45967</v>
      </c>
      <c r="D7" s="735">
        <v>0.5</v>
      </c>
      <c r="E7" s="735">
        <v>0.33333333333333331</v>
      </c>
      <c r="F7" s="704"/>
      <c r="G7" s="748"/>
      <c r="H7" s="755">
        <v>5.5</v>
      </c>
      <c r="J7" s="747"/>
      <c r="K7" s="747"/>
    </row>
    <row r="8" spans="1:11" ht="15" customHeight="1" x14ac:dyDescent="0.2">
      <c r="A8" s="724"/>
      <c r="B8" s="1057">
        <v>46099</v>
      </c>
      <c r="C8" s="1058">
        <v>46109</v>
      </c>
      <c r="D8" s="1059" t="s">
        <v>1003</v>
      </c>
      <c r="E8" s="1060"/>
      <c r="F8" s="1016"/>
      <c r="G8" s="1056">
        <v>5.5</v>
      </c>
      <c r="H8" s="1056">
        <v>5.5</v>
      </c>
      <c r="J8" s="726"/>
      <c r="K8" s="726"/>
    </row>
    <row r="9" spans="1:11" ht="15" customHeight="1" x14ac:dyDescent="0.2">
      <c r="A9" s="724"/>
      <c r="B9" s="729">
        <v>46168</v>
      </c>
      <c r="C9" s="730">
        <v>46174</v>
      </c>
      <c r="D9" s="735"/>
      <c r="E9" s="722"/>
      <c r="F9" s="704"/>
      <c r="G9" s="748"/>
      <c r="H9" s="755">
        <v>1</v>
      </c>
      <c r="J9" s="726"/>
      <c r="K9" s="726"/>
    </row>
    <row r="10" spans="1:11" ht="15" customHeight="1" x14ac:dyDescent="0.2">
      <c r="A10" s="719"/>
      <c r="B10" s="729"/>
      <c r="C10" s="732"/>
      <c r="D10" s="733"/>
      <c r="E10" s="735"/>
      <c r="F10" s="691"/>
      <c r="G10" s="723"/>
      <c r="H10" s="755"/>
    </row>
    <row r="11" spans="1:11" ht="15" customHeight="1" x14ac:dyDescent="0.2">
      <c r="A11" s="734"/>
      <c r="B11" s="729"/>
      <c r="C11" s="732"/>
      <c r="D11" s="735"/>
      <c r="E11" s="735"/>
      <c r="F11" s="691"/>
      <c r="G11" s="723"/>
      <c r="H11" s="436"/>
      <c r="J11" s="747"/>
      <c r="K11" s="747"/>
    </row>
    <row r="12" spans="1:11" ht="15" customHeight="1" x14ac:dyDescent="0.2">
      <c r="A12" s="725"/>
      <c r="B12" s="720"/>
      <c r="C12" s="721"/>
      <c r="D12" s="735"/>
      <c r="E12" s="735"/>
      <c r="F12" s="691"/>
      <c r="G12" s="723"/>
      <c r="H12" s="237"/>
      <c r="K12" s="726"/>
    </row>
    <row r="13" spans="1:11" ht="15" customHeight="1" x14ac:dyDescent="0.2">
      <c r="A13" s="725"/>
      <c r="B13" s="720"/>
      <c r="C13" s="721"/>
      <c r="D13" s="735"/>
      <c r="E13" s="735"/>
      <c r="F13" s="691"/>
      <c r="G13" s="723"/>
      <c r="H13" s="237"/>
      <c r="J13" s="726"/>
    </row>
    <row r="14" spans="1:11" ht="15" customHeight="1" x14ac:dyDescent="0.2">
      <c r="A14" s="725"/>
      <c r="B14" s="720"/>
      <c r="C14" s="721"/>
      <c r="D14" s="735"/>
      <c r="E14" s="735"/>
      <c r="F14" s="691"/>
      <c r="G14" s="723"/>
      <c r="H14" s="237"/>
      <c r="J14" s="726"/>
    </row>
    <row r="15" spans="1:11" ht="15" customHeight="1" x14ac:dyDescent="0.2">
      <c r="A15" s="725"/>
      <c r="B15" s="720"/>
      <c r="C15" s="721"/>
      <c r="D15" s="735"/>
      <c r="E15" s="735"/>
      <c r="F15" s="691"/>
      <c r="G15" s="723"/>
      <c r="H15" s="237"/>
      <c r="J15" s="726"/>
    </row>
    <row r="16" spans="1:11" ht="15" customHeight="1" x14ac:dyDescent="0.2">
      <c r="A16" s="725"/>
      <c r="B16" s="720"/>
      <c r="C16" s="721"/>
      <c r="D16" s="735"/>
      <c r="E16" s="735"/>
      <c r="F16" s="691"/>
      <c r="G16" s="723"/>
      <c r="H16" s="237"/>
      <c r="J16" s="726"/>
    </row>
    <row r="17" spans="1:10" ht="15" customHeight="1" x14ac:dyDescent="0.2">
      <c r="A17" s="725"/>
      <c r="B17" s="720"/>
      <c r="C17" s="721"/>
      <c r="D17" s="735"/>
      <c r="E17" s="735"/>
      <c r="F17" s="691"/>
      <c r="G17" s="723"/>
      <c r="H17" s="237"/>
      <c r="J17" s="726"/>
    </row>
    <row r="18" spans="1:10" ht="15" customHeight="1" x14ac:dyDescent="0.2">
      <c r="A18" s="725"/>
      <c r="B18" s="720"/>
      <c r="C18" s="721"/>
      <c r="D18" s="735"/>
      <c r="E18" s="735"/>
      <c r="F18" s="691"/>
      <c r="G18" s="723"/>
      <c r="H18" s="237"/>
      <c r="J18" s="726"/>
    </row>
    <row r="19" spans="1:10" ht="15" customHeight="1" x14ac:dyDescent="0.2">
      <c r="A19" s="725"/>
      <c r="B19" s="720"/>
      <c r="C19" s="721"/>
      <c r="D19" s="735"/>
      <c r="E19" s="735"/>
      <c r="F19" s="691"/>
      <c r="G19" s="723"/>
      <c r="H19" s="237"/>
      <c r="J19" s="726"/>
    </row>
    <row r="20" spans="1:10" ht="15" customHeight="1" x14ac:dyDescent="0.2">
      <c r="A20" s="725"/>
      <c r="B20" s="720"/>
      <c r="C20" s="721"/>
      <c r="D20" s="735"/>
      <c r="E20" s="735"/>
      <c r="F20" s="691"/>
      <c r="G20" s="723"/>
      <c r="H20" s="237"/>
      <c r="J20" s="726"/>
    </row>
    <row r="21" spans="1:10" ht="15" customHeight="1" x14ac:dyDescent="0.2">
      <c r="A21" s="725"/>
      <c r="B21" s="720"/>
      <c r="C21" s="721"/>
      <c r="D21" s="735"/>
      <c r="E21" s="735"/>
      <c r="F21" s="691"/>
      <c r="G21" s="723"/>
      <c r="H21" s="237"/>
      <c r="J21" s="726"/>
    </row>
    <row r="22" spans="1:10" ht="15" customHeight="1" x14ac:dyDescent="0.2">
      <c r="A22" s="725"/>
      <c r="B22" s="720"/>
      <c r="C22" s="721"/>
      <c r="D22" s="735"/>
      <c r="E22" s="735"/>
      <c r="F22" s="691"/>
      <c r="G22" s="723"/>
      <c r="H22" s="237"/>
      <c r="J22" s="726"/>
    </row>
    <row r="23" spans="1:10" ht="15" customHeight="1" x14ac:dyDescent="0.2">
      <c r="A23" s="725"/>
      <c r="B23" s="720"/>
      <c r="C23" s="721"/>
      <c r="D23" s="722"/>
      <c r="E23" s="722"/>
      <c r="F23" s="683"/>
      <c r="G23" s="723"/>
      <c r="H23" s="237"/>
    </row>
    <row r="24" spans="1:10" ht="15" customHeight="1" x14ac:dyDescent="0.2">
      <c r="A24" s="725"/>
      <c r="B24" s="720"/>
      <c r="C24" s="721"/>
      <c r="D24" s="722"/>
      <c r="E24" s="722"/>
      <c r="F24" s="683"/>
      <c r="G24" s="723"/>
      <c r="H24" s="237"/>
    </row>
    <row r="25" spans="1:10" ht="15" customHeight="1" x14ac:dyDescent="0.2">
      <c r="A25" s="725"/>
      <c r="B25" s="720"/>
      <c r="C25" s="721"/>
      <c r="D25" s="722"/>
      <c r="E25" s="722"/>
      <c r="F25" s="683"/>
      <c r="G25" s="723"/>
      <c r="H25" s="237"/>
    </row>
    <row r="26" spans="1:10" ht="15" customHeight="1" x14ac:dyDescent="0.2">
      <c r="A26" s="725"/>
      <c r="B26" s="720"/>
      <c r="C26" s="721"/>
      <c r="D26" s="722"/>
      <c r="E26" s="722"/>
      <c r="F26" s="683"/>
      <c r="G26" s="723"/>
      <c r="H26" s="237"/>
    </row>
    <row r="27" spans="1:10" ht="15" customHeight="1" x14ac:dyDescent="0.2">
      <c r="A27" s="725"/>
      <c r="B27" s="720"/>
      <c r="C27" s="721"/>
      <c r="D27" s="722"/>
      <c r="E27" s="722"/>
      <c r="F27" s="683"/>
      <c r="G27" s="723"/>
      <c r="H27" s="237"/>
    </row>
    <row r="28" spans="1:10" ht="15" customHeight="1" x14ac:dyDescent="0.2">
      <c r="A28" s="725"/>
      <c r="B28" s="720"/>
      <c r="C28" s="721"/>
      <c r="D28" s="722"/>
      <c r="E28" s="722"/>
      <c r="F28" s="683"/>
      <c r="G28" s="723"/>
      <c r="H28" s="237"/>
    </row>
    <row r="29" spans="1:10" ht="15" customHeight="1" x14ac:dyDescent="0.2">
      <c r="A29" s="725"/>
      <c r="B29" s="720"/>
      <c r="C29" s="721"/>
      <c r="D29" s="722"/>
      <c r="E29" s="722"/>
      <c r="F29" s="683"/>
      <c r="G29" s="691"/>
      <c r="H29" s="237"/>
    </row>
    <row r="30" spans="1:10" ht="15" customHeight="1" x14ac:dyDescent="0.2">
      <c r="A30" s="725"/>
      <c r="B30" s="720"/>
      <c r="C30" s="721"/>
      <c r="D30" s="722"/>
      <c r="E30" s="722"/>
      <c r="F30" s="683"/>
      <c r="G30" s="691"/>
      <c r="H30" s="80"/>
    </row>
    <row r="31" spans="1:10" ht="15" customHeight="1" x14ac:dyDescent="0.2">
      <c r="A31" s="725"/>
      <c r="B31" s="720"/>
      <c r="C31" s="721"/>
      <c r="D31" s="722"/>
      <c r="E31" s="722"/>
      <c r="F31" s="683"/>
      <c r="G31" s="691"/>
      <c r="H31" s="80"/>
    </row>
    <row r="32" spans="1:10" ht="15" customHeight="1" x14ac:dyDescent="0.2">
      <c r="E32" s="1295" t="s">
        <v>123</v>
      </c>
      <c r="F32" s="1295"/>
      <c r="G32" s="697">
        <f>SUM(G7:G31)</f>
        <v>5.5</v>
      </c>
      <c r="H32" s="697">
        <f>SUM(H7:H31)</f>
        <v>12</v>
      </c>
    </row>
    <row r="33" spans="6:8" x14ac:dyDescent="0.2">
      <c r="F33" s="689"/>
      <c r="G33" s="690"/>
      <c r="H33" s="690"/>
    </row>
    <row r="34" spans="6:8" ht="14.25" x14ac:dyDescent="0.2">
      <c r="F34" s="1153" t="s">
        <v>8</v>
      </c>
      <c r="G34" s="1154"/>
      <c r="H34" s="701">
        <f>G32-H32</f>
        <v>-6.5</v>
      </c>
    </row>
  </sheetData>
  <sortState ref="B11:J14">
    <sortCondition ref="B11"/>
  </sortState>
  <mergeCells count="4">
    <mergeCell ref="F34:G34"/>
    <mergeCell ref="E32:F32"/>
    <mergeCell ref="J1:J3"/>
    <mergeCell ref="C1:H5"/>
  </mergeCells>
  <hyperlinks>
    <hyperlink ref="J1:J3" location="'ANA SAYFA'!A1" display="ANA SAYFA"/>
  </hyperlinks>
  <pageMargins left="0.37" right="0.12" top="0.12" bottom="0.75" header="0.12" footer="0.3"/>
  <pageSetup paperSize="9" scale="72" orientation="portrait" r:id="rId1"/>
  <colBreaks count="1" manualBreakCount="1">
    <brk id="8" max="1048575" man="1"/>
  </colBreaks>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5"/>
  <sheetViews>
    <sheetView zoomScaleNormal="100" workbookViewId="0">
      <pane ySplit="6" topLeftCell="A7" activePane="bottomLeft" state="frozen"/>
      <selection pane="bottomLeft" activeCell="J1" sqref="J1:J3"/>
    </sheetView>
  </sheetViews>
  <sheetFormatPr defaultColWidth="9.140625" defaultRowHeight="12.75" x14ac:dyDescent="0.2"/>
  <cols>
    <col min="1" max="1" width="18.140625" style="82" bestFit="1" customWidth="1"/>
    <col min="2" max="2" width="28.7109375" style="82" bestFit="1" customWidth="1"/>
    <col min="3" max="3" width="27.5703125" style="82" bestFit="1" customWidth="1"/>
    <col min="4" max="5" width="9.28515625" style="82" bestFit="1" customWidth="1"/>
    <col min="6" max="6" width="20.85546875" style="82" bestFit="1" customWidth="1"/>
    <col min="7" max="7" width="14.42578125" style="82" bestFit="1" customWidth="1"/>
    <col min="8" max="8" width="14.7109375" style="82" customWidth="1"/>
    <col min="9" max="9" width="4" style="82" customWidth="1"/>
    <col min="10" max="10" width="11.140625" style="82" customWidth="1"/>
    <col min="11" max="16384" width="9.140625" style="82"/>
  </cols>
  <sheetData>
    <row r="1" spans="1:11" ht="14.25" customHeight="1" x14ac:dyDescent="0.2">
      <c r="A1" s="29" t="s">
        <v>135</v>
      </c>
      <c r="B1" s="216" t="str">
        <f>'ANA SAYFA'!B90</f>
        <v>MUHİTTİN KALDIRIM</v>
      </c>
      <c r="C1" s="1166" t="s">
        <v>136</v>
      </c>
      <c r="D1" s="1166"/>
      <c r="E1" s="1166"/>
      <c r="F1" s="1166"/>
      <c r="G1" s="1166"/>
      <c r="H1" s="1166"/>
      <c r="J1" s="1183" t="s">
        <v>712</v>
      </c>
    </row>
    <row r="2" spans="1:11" ht="14.25" customHeight="1" x14ac:dyDescent="0.2">
      <c r="A2" s="29" t="s">
        <v>137</v>
      </c>
      <c r="B2" s="217">
        <f>'ANA SAYFA'!D90</f>
        <v>63742268558</v>
      </c>
      <c r="C2" s="1166"/>
      <c r="D2" s="1166"/>
      <c r="E2" s="1166"/>
      <c r="F2" s="1166"/>
      <c r="G2" s="1166"/>
      <c r="H2" s="1166"/>
      <c r="J2" s="1184"/>
    </row>
    <row r="3" spans="1:11" ht="13.5" customHeight="1" thickBot="1" x14ac:dyDescent="0.25">
      <c r="A3" s="29" t="s">
        <v>131</v>
      </c>
      <c r="B3" s="216" t="str">
        <f>'ANA SAYFA'!C90</f>
        <v>FORMEN</v>
      </c>
      <c r="C3" s="1166"/>
      <c r="D3" s="1166"/>
      <c r="E3" s="1166"/>
      <c r="F3" s="1166"/>
      <c r="G3" s="1166"/>
      <c r="H3" s="1166"/>
      <c r="J3" s="1185"/>
    </row>
    <row r="4" spans="1:11" ht="14.25" customHeight="1" x14ac:dyDescent="0.2">
      <c r="A4" s="29" t="s">
        <v>120</v>
      </c>
      <c r="B4" s="218">
        <f>'ANA SAYFA'!E90</f>
        <v>45824</v>
      </c>
      <c r="C4" s="1166"/>
      <c r="D4" s="1166"/>
      <c r="E4" s="1166"/>
      <c r="F4" s="1166"/>
      <c r="G4" s="1166"/>
      <c r="H4" s="1166"/>
    </row>
    <row r="5" spans="1:11" ht="14.25" customHeight="1" x14ac:dyDescent="0.2">
      <c r="A5" s="29" t="s">
        <v>130</v>
      </c>
      <c r="B5" s="218">
        <f>'ANA SAYFA'!F90</f>
        <v>25552</v>
      </c>
      <c r="C5" s="1166"/>
      <c r="D5" s="1166"/>
      <c r="E5" s="1166"/>
      <c r="F5" s="1166"/>
      <c r="G5" s="1166"/>
      <c r="H5" s="1166"/>
      <c r="J5" s="699"/>
      <c r="K5" s="699"/>
    </row>
    <row r="6" spans="1:11" ht="31.5" x14ac:dyDescent="0.2">
      <c r="A6" s="69" t="s">
        <v>0</v>
      </c>
      <c r="B6" s="70" t="s">
        <v>1</v>
      </c>
      <c r="C6" s="69" t="s">
        <v>2</v>
      </c>
      <c r="D6" s="71" t="s">
        <v>133</v>
      </c>
      <c r="E6" s="71" t="s">
        <v>4</v>
      </c>
      <c r="F6" s="71" t="s">
        <v>7</v>
      </c>
      <c r="G6" s="71" t="s">
        <v>6</v>
      </c>
      <c r="H6" s="71" t="s">
        <v>3</v>
      </c>
      <c r="J6" s="699"/>
      <c r="K6" s="699"/>
    </row>
    <row r="7" spans="1:11" x14ac:dyDescent="0.2">
      <c r="A7" s="139"/>
      <c r="B7" s="155">
        <v>45993</v>
      </c>
      <c r="C7" s="155">
        <v>46009</v>
      </c>
      <c r="D7" s="168"/>
      <c r="E7" s="735"/>
      <c r="F7" s="189" t="s">
        <v>1009</v>
      </c>
      <c r="G7" s="191">
        <v>20</v>
      </c>
      <c r="H7" s="755">
        <v>13</v>
      </c>
      <c r="J7" s="190"/>
      <c r="K7" s="190"/>
    </row>
    <row r="8" spans="1:11" x14ac:dyDescent="0.2">
      <c r="A8" s="146"/>
      <c r="B8" s="717"/>
      <c r="C8" s="729"/>
      <c r="D8" s="735"/>
      <c r="E8" s="735"/>
      <c r="F8" s="746"/>
      <c r="G8" s="748"/>
      <c r="H8" s="755"/>
      <c r="J8" s="148"/>
      <c r="K8" s="148"/>
    </row>
    <row r="9" spans="1:11" x14ac:dyDescent="0.2">
      <c r="A9" s="141"/>
      <c r="B9" s="1025"/>
      <c r="C9" s="732"/>
      <c r="D9" s="735"/>
      <c r="E9" s="735"/>
      <c r="F9" s="723"/>
      <c r="G9" s="723"/>
      <c r="H9" s="755"/>
    </row>
    <row r="10" spans="1:11" x14ac:dyDescent="0.2">
      <c r="A10" s="160"/>
      <c r="B10" s="155"/>
      <c r="C10" s="158"/>
      <c r="D10" s="735"/>
      <c r="E10" s="735"/>
      <c r="F10" s="145"/>
      <c r="G10" s="145"/>
      <c r="H10" s="436"/>
      <c r="J10" s="190"/>
      <c r="K10" s="190"/>
    </row>
    <row r="11" spans="1:11" s="699" customFormat="1" x14ac:dyDescent="0.2">
      <c r="A11" s="734"/>
      <c r="B11" s="729"/>
      <c r="C11" s="732"/>
      <c r="D11" s="735"/>
      <c r="E11" s="735"/>
      <c r="F11" s="723"/>
      <c r="G11" s="723"/>
      <c r="H11" s="436"/>
      <c r="J11" s="747"/>
      <c r="K11" s="747"/>
    </row>
    <row r="12" spans="1:11" s="699" customFormat="1" x14ac:dyDescent="0.2">
      <c r="A12" s="734"/>
      <c r="B12" s="729"/>
      <c r="C12" s="732"/>
      <c r="D12" s="735"/>
      <c r="E12" s="735"/>
      <c r="F12" s="723"/>
      <c r="G12" s="723"/>
      <c r="H12" s="436"/>
      <c r="J12" s="747"/>
      <c r="K12" s="747"/>
    </row>
    <row r="13" spans="1:11" s="699" customFormat="1" x14ac:dyDescent="0.2">
      <c r="A13" s="734"/>
      <c r="B13" s="729"/>
      <c r="C13" s="729"/>
      <c r="D13" s="735"/>
      <c r="E13" s="735"/>
      <c r="F13" s="723"/>
      <c r="G13" s="723"/>
      <c r="H13" s="436"/>
      <c r="J13" s="747"/>
      <c r="K13" s="747"/>
    </row>
    <row r="14" spans="1:11" s="699" customFormat="1" x14ac:dyDescent="0.2">
      <c r="A14" s="734"/>
      <c r="B14" s="729"/>
      <c r="C14" s="732"/>
      <c r="D14" s="735"/>
      <c r="E14" s="735"/>
      <c r="F14" s="723"/>
      <c r="G14" s="723"/>
      <c r="H14" s="436"/>
      <c r="J14" s="747"/>
      <c r="K14" s="747"/>
    </row>
    <row r="15" spans="1:11" s="699" customFormat="1" x14ac:dyDescent="0.2">
      <c r="A15" s="734"/>
      <c r="B15" s="729"/>
      <c r="C15" s="732"/>
      <c r="D15" s="735"/>
      <c r="E15" s="735"/>
      <c r="F15" s="723"/>
      <c r="G15" s="723"/>
      <c r="H15" s="436"/>
      <c r="J15" s="747"/>
      <c r="K15" s="747"/>
    </row>
    <row r="16" spans="1:11" s="699" customFormat="1" x14ac:dyDescent="0.2">
      <c r="A16" s="734"/>
      <c r="B16" s="729"/>
      <c r="C16" s="732"/>
      <c r="D16" s="735"/>
      <c r="E16" s="735"/>
      <c r="F16" s="723"/>
      <c r="G16" s="723"/>
      <c r="H16" s="436"/>
      <c r="J16" s="747"/>
      <c r="K16" s="747"/>
    </row>
    <row r="17" spans="1:11" s="699" customFormat="1" x14ac:dyDescent="0.2">
      <c r="A17" s="734"/>
      <c r="B17" s="729"/>
      <c r="C17" s="732"/>
      <c r="D17" s="735"/>
      <c r="E17" s="735"/>
      <c r="F17" s="723"/>
      <c r="G17" s="723"/>
      <c r="H17" s="436"/>
      <c r="J17" s="747"/>
      <c r="K17" s="747"/>
    </row>
    <row r="18" spans="1:11" s="699" customFormat="1" x14ac:dyDescent="0.2">
      <c r="A18" s="734"/>
      <c r="B18" s="729"/>
      <c r="C18" s="732"/>
      <c r="D18" s="735"/>
      <c r="E18" s="735"/>
      <c r="F18" s="723"/>
      <c r="G18" s="723"/>
      <c r="H18" s="436"/>
      <c r="J18" s="747"/>
      <c r="K18" s="747"/>
    </row>
    <row r="19" spans="1:11" s="699" customFormat="1" x14ac:dyDescent="0.2">
      <c r="A19" s="734"/>
      <c r="B19" s="729"/>
      <c r="C19" s="732"/>
      <c r="D19" s="735"/>
      <c r="E19" s="735"/>
      <c r="F19" s="723"/>
      <c r="G19" s="723"/>
      <c r="H19" s="436"/>
      <c r="J19" s="747"/>
      <c r="K19" s="747"/>
    </row>
    <row r="20" spans="1:11" s="699" customFormat="1" x14ac:dyDescent="0.2">
      <c r="A20" s="734"/>
      <c r="B20" s="729"/>
      <c r="C20" s="732"/>
      <c r="D20" s="735"/>
      <c r="E20" s="735"/>
      <c r="F20" s="723"/>
      <c r="G20" s="723"/>
      <c r="H20" s="436"/>
      <c r="J20" s="747"/>
      <c r="K20" s="747"/>
    </row>
    <row r="21" spans="1:11" s="699" customFormat="1" x14ac:dyDescent="0.2">
      <c r="A21" s="734"/>
      <c r="B21" s="729"/>
      <c r="C21" s="732"/>
      <c r="D21" s="735"/>
      <c r="E21" s="735"/>
      <c r="F21" s="723"/>
      <c r="G21" s="723"/>
      <c r="H21" s="436"/>
      <c r="J21" s="747"/>
      <c r="K21" s="747"/>
    </row>
    <row r="22" spans="1:11" x14ac:dyDescent="0.2">
      <c r="A22" s="147"/>
      <c r="B22" s="142"/>
      <c r="C22" s="143"/>
      <c r="D22" s="168"/>
      <c r="E22" s="168"/>
      <c r="F22" s="145"/>
      <c r="G22" s="145"/>
      <c r="H22" s="237"/>
      <c r="J22" s="148"/>
      <c r="K22" s="148"/>
    </row>
    <row r="23" spans="1:11" x14ac:dyDescent="0.2">
      <c r="A23" s="147"/>
      <c r="B23" s="142"/>
      <c r="C23" s="143"/>
      <c r="D23" s="168"/>
      <c r="E23" s="168"/>
      <c r="F23" s="145"/>
      <c r="G23" s="145"/>
      <c r="H23" s="237"/>
    </row>
    <row r="24" spans="1:11" x14ac:dyDescent="0.2">
      <c r="A24" s="147"/>
      <c r="B24" s="142"/>
      <c r="C24" s="143"/>
      <c r="D24" s="144"/>
      <c r="E24" s="144"/>
      <c r="F24" s="140"/>
      <c r="G24" s="145"/>
      <c r="H24" s="237"/>
    </row>
    <row r="25" spans="1:11" x14ac:dyDescent="0.2">
      <c r="A25" s="147"/>
      <c r="B25" s="142"/>
      <c r="C25" s="143"/>
      <c r="D25" s="144"/>
      <c r="E25" s="144"/>
      <c r="F25" s="140"/>
      <c r="G25" s="145"/>
      <c r="H25" s="237"/>
    </row>
    <row r="26" spans="1:11" x14ac:dyDescent="0.2">
      <c r="A26" s="147"/>
      <c r="B26" s="142"/>
      <c r="C26" s="143"/>
      <c r="D26" s="144"/>
      <c r="E26" s="144"/>
      <c r="F26" s="140"/>
      <c r="G26" s="145"/>
      <c r="H26" s="237"/>
    </row>
    <row r="27" spans="1:11" x14ac:dyDescent="0.2">
      <c r="A27" s="147"/>
      <c r="B27" s="142"/>
      <c r="C27" s="143"/>
      <c r="D27" s="144"/>
      <c r="E27" s="144"/>
      <c r="F27" s="140"/>
      <c r="G27" s="145"/>
      <c r="H27" s="237"/>
    </row>
    <row r="28" spans="1:11" x14ac:dyDescent="0.2">
      <c r="A28" s="147"/>
      <c r="B28" s="142"/>
      <c r="C28" s="143"/>
      <c r="D28" s="144"/>
      <c r="E28" s="144"/>
      <c r="F28" s="140"/>
      <c r="G28" s="145"/>
      <c r="H28" s="237"/>
    </row>
    <row r="29" spans="1:11" x14ac:dyDescent="0.2">
      <c r="A29" s="147"/>
      <c r="B29" s="142"/>
      <c r="C29" s="143"/>
      <c r="D29" s="144"/>
      <c r="E29" s="144"/>
      <c r="F29" s="140"/>
      <c r="G29" s="145"/>
      <c r="H29" s="237"/>
    </row>
    <row r="30" spans="1:11" x14ac:dyDescent="0.2">
      <c r="A30" s="147"/>
      <c r="B30" s="142"/>
      <c r="C30" s="143"/>
      <c r="D30" s="144"/>
      <c r="E30" s="144"/>
      <c r="F30" s="48"/>
      <c r="G30" s="66"/>
      <c r="H30" s="237"/>
    </row>
    <row r="31" spans="1:11" x14ac:dyDescent="0.2">
      <c r="A31" s="147"/>
      <c r="B31" s="142"/>
      <c r="C31" s="143"/>
      <c r="D31" s="144"/>
      <c r="E31" s="144"/>
      <c r="F31" s="48"/>
      <c r="G31" s="66"/>
      <c r="H31" s="80"/>
    </row>
    <row r="32" spans="1:11" x14ac:dyDescent="0.2">
      <c r="A32" s="147"/>
      <c r="B32" s="142"/>
      <c r="C32" s="143"/>
      <c r="D32" s="144"/>
      <c r="E32" s="144"/>
      <c r="F32" s="48"/>
      <c r="G32" s="66"/>
      <c r="H32" s="80"/>
    </row>
    <row r="33" spans="6:8" x14ac:dyDescent="0.2">
      <c r="F33" s="294" t="s">
        <v>123</v>
      </c>
      <c r="G33" s="77">
        <f>SUM(G7:G24)</f>
        <v>20</v>
      </c>
      <c r="H33" s="697">
        <f>SUM(H7:H31)</f>
        <v>13</v>
      </c>
    </row>
    <row r="34" spans="6:8" x14ac:dyDescent="0.2">
      <c r="F34" s="62"/>
      <c r="G34" s="63"/>
      <c r="H34" s="63"/>
    </row>
    <row r="35" spans="6:8" ht="14.25" x14ac:dyDescent="0.2">
      <c r="F35" s="1153" t="s">
        <v>8</v>
      </c>
      <c r="G35" s="1154"/>
      <c r="H35" s="84">
        <f>G33-H33</f>
        <v>7</v>
      </c>
    </row>
  </sheetData>
  <mergeCells count="3">
    <mergeCell ref="F35:G35"/>
    <mergeCell ref="J1:J3"/>
    <mergeCell ref="C1:H5"/>
  </mergeCells>
  <hyperlinks>
    <hyperlink ref="J1:J3" location="'ANA SAYFA'!A1" display="ANA SAYFA"/>
  </hyperlinks>
  <pageMargins left="0.7" right="0.12" top="0.15" bottom="0.75" header="0.12" footer="0.3"/>
  <pageSetup paperSize="9" scale="67" orientation="portrait" r:id="rId1"/>
  <colBreaks count="1" manualBreakCount="1">
    <brk id="9" max="1048575" man="1"/>
  </colBreaks>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zoomScaleNormal="100" workbookViewId="0">
      <selection activeCell="J1" sqref="J1:J3"/>
    </sheetView>
  </sheetViews>
  <sheetFormatPr defaultRowHeight="12.75" x14ac:dyDescent="0.2"/>
  <cols>
    <col min="1" max="1" width="18.140625" bestFit="1" customWidth="1"/>
    <col min="2" max="2" width="24.42578125" bestFit="1" customWidth="1"/>
    <col min="3" max="3" width="26" bestFit="1" customWidth="1"/>
    <col min="4" max="5" width="9.42578125" customWidth="1"/>
    <col min="6" max="6" width="26.28515625" bestFit="1" customWidth="1"/>
    <col min="7" max="7" width="14.140625" customWidth="1"/>
    <col min="8" max="8" width="12.5703125" bestFit="1" customWidth="1"/>
    <col min="9" max="9" width="4.42578125" customWidth="1"/>
    <col min="10" max="10" width="13.140625" customWidth="1"/>
  </cols>
  <sheetData>
    <row r="1" spans="1:11" ht="15" customHeight="1" x14ac:dyDescent="0.2">
      <c r="A1" s="29" t="s">
        <v>135</v>
      </c>
      <c r="B1" s="187" t="str">
        <f>'ANA SAYFA'!B91</f>
        <v>YAHYA KEMAL ÖZKAN</v>
      </c>
      <c r="C1" s="1166" t="s">
        <v>136</v>
      </c>
      <c r="D1" s="1166"/>
      <c r="E1" s="1166"/>
      <c r="F1" s="1166"/>
      <c r="G1" s="1166"/>
      <c r="H1" s="1166"/>
      <c r="J1" s="1157" t="s">
        <v>712</v>
      </c>
    </row>
    <row r="2" spans="1:11" ht="15" customHeight="1" x14ac:dyDescent="0.2">
      <c r="A2" s="29" t="s">
        <v>137</v>
      </c>
      <c r="B2" s="186">
        <f>'ANA SAYFA'!D91</f>
        <v>10028653768</v>
      </c>
      <c r="C2" s="1166"/>
      <c r="D2" s="1166"/>
      <c r="E2" s="1166"/>
      <c r="F2" s="1166"/>
      <c r="G2" s="1166"/>
      <c r="H2" s="1166"/>
      <c r="J2" s="1158"/>
    </row>
    <row r="3" spans="1:11" ht="15" customHeight="1" thickBot="1" x14ac:dyDescent="0.25">
      <c r="A3" s="29" t="s">
        <v>131</v>
      </c>
      <c r="B3" s="187" t="str">
        <f>'ANA SAYFA'!C91</f>
        <v>TIR-ÇEKİCİ ŞOFÖRÜ</v>
      </c>
      <c r="C3" s="1166"/>
      <c r="D3" s="1166"/>
      <c r="E3" s="1166"/>
      <c r="F3" s="1166"/>
      <c r="G3" s="1166"/>
      <c r="H3" s="1166"/>
      <c r="J3" s="1159"/>
    </row>
    <row r="4" spans="1:11" ht="15" customHeight="1" x14ac:dyDescent="0.2">
      <c r="A4" s="29" t="s">
        <v>120</v>
      </c>
      <c r="B4" s="136">
        <f>'ANA SAYFA'!E91</f>
        <v>45838</v>
      </c>
      <c r="C4" s="1166"/>
      <c r="D4" s="1166"/>
      <c r="E4" s="1166"/>
      <c r="F4" s="1166"/>
      <c r="G4" s="1166"/>
      <c r="H4" s="1166"/>
    </row>
    <row r="5" spans="1:11" ht="15" customHeight="1" x14ac:dyDescent="0.2">
      <c r="A5" s="29" t="s">
        <v>130</v>
      </c>
      <c r="B5" s="136">
        <f>'ANA SAYFA'!F91</f>
        <v>28804</v>
      </c>
      <c r="C5" s="1166"/>
      <c r="D5" s="1166"/>
      <c r="E5" s="1166"/>
      <c r="F5" s="1166"/>
      <c r="G5" s="1166"/>
      <c r="H5" s="1166"/>
    </row>
    <row r="6" spans="1:11" ht="31.5" x14ac:dyDescent="0.2">
      <c r="A6" s="69" t="s">
        <v>0</v>
      </c>
      <c r="B6" s="70" t="s">
        <v>1</v>
      </c>
      <c r="C6" s="69" t="s">
        <v>2</v>
      </c>
      <c r="D6" s="71" t="s">
        <v>133</v>
      </c>
      <c r="E6" s="71" t="s">
        <v>4</v>
      </c>
      <c r="F6" s="71" t="s">
        <v>7</v>
      </c>
      <c r="G6" s="71" t="s">
        <v>6</v>
      </c>
      <c r="H6" s="71" t="s">
        <v>3</v>
      </c>
    </row>
    <row r="7" spans="1:11" ht="14.25" customHeight="1" x14ac:dyDescent="0.2">
      <c r="A7" s="35"/>
      <c r="B7" s="36">
        <v>45971</v>
      </c>
      <c r="C7" s="37">
        <v>45972</v>
      </c>
      <c r="D7" s="38"/>
      <c r="E7" s="38"/>
      <c r="F7" s="1063" t="s">
        <v>1012</v>
      </c>
      <c r="G7" s="225"/>
      <c r="H7" s="457">
        <v>1</v>
      </c>
      <c r="J7" s="1062" t="s">
        <v>830</v>
      </c>
      <c r="K7" s="221"/>
    </row>
    <row r="8" spans="1:11" ht="14.25" customHeight="1" x14ac:dyDescent="0.2">
      <c r="A8" s="42"/>
      <c r="B8" s="36">
        <v>45983</v>
      </c>
      <c r="C8" s="37">
        <v>45985</v>
      </c>
      <c r="D8" s="38"/>
      <c r="E8" s="38"/>
      <c r="F8" s="169"/>
      <c r="G8" s="225"/>
      <c r="H8" s="457">
        <v>1</v>
      </c>
      <c r="J8" s="3" t="s">
        <v>830</v>
      </c>
      <c r="K8" s="3"/>
    </row>
    <row r="9" spans="1:11" ht="14.25" customHeight="1" x14ac:dyDescent="0.2">
      <c r="A9" s="2"/>
      <c r="B9" s="17">
        <v>45996</v>
      </c>
      <c r="C9" s="19">
        <v>45997</v>
      </c>
      <c r="D9" s="38"/>
      <c r="E9" s="38"/>
      <c r="F9" s="169"/>
      <c r="G9" s="25"/>
      <c r="H9" s="635">
        <v>1</v>
      </c>
      <c r="J9" t="s">
        <v>830</v>
      </c>
    </row>
    <row r="10" spans="1:11" ht="14.25" customHeight="1" x14ac:dyDescent="0.2">
      <c r="A10" s="11"/>
      <c r="B10" s="17"/>
      <c r="C10" s="19"/>
      <c r="D10" s="13"/>
      <c r="E10" s="13"/>
      <c r="F10" s="25"/>
      <c r="G10" s="25"/>
      <c r="H10" s="636"/>
      <c r="J10" s="221"/>
      <c r="K10" s="221"/>
    </row>
    <row r="11" spans="1:11" ht="14.25" customHeight="1" x14ac:dyDescent="0.2">
      <c r="A11" s="11"/>
      <c r="B11" s="17"/>
      <c r="C11" s="19"/>
      <c r="D11" s="13"/>
      <c r="E11" s="13"/>
      <c r="F11" s="25"/>
      <c r="G11" s="25"/>
      <c r="H11" s="636"/>
      <c r="J11" s="568"/>
      <c r="K11" s="568"/>
    </row>
    <row r="12" spans="1:11" ht="14.25" customHeight="1" x14ac:dyDescent="0.2">
      <c r="A12" s="11"/>
      <c r="B12" s="17"/>
      <c r="C12" s="19"/>
      <c r="D12" s="13"/>
      <c r="E12" s="13"/>
      <c r="F12" s="25"/>
      <c r="G12" s="25"/>
      <c r="H12" s="636"/>
      <c r="J12" s="568"/>
      <c r="K12" s="568"/>
    </row>
    <row r="13" spans="1:11" ht="14.25" customHeight="1" x14ac:dyDescent="0.2">
      <c r="A13" s="11"/>
      <c r="B13" s="17"/>
      <c r="C13" s="19"/>
      <c r="D13" s="13"/>
      <c r="E13" s="13"/>
      <c r="F13" s="25"/>
      <c r="G13" s="25"/>
      <c r="H13" s="636"/>
      <c r="J13" s="568"/>
      <c r="K13" s="568"/>
    </row>
    <row r="14" spans="1:11" ht="14.25" customHeight="1" x14ac:dyDescent="0.2">
      <c r="A14" s="11"/>
      <c r="B14" s="17"/>
      <c r="C14" s="19"/>
      <c r="D14" s="13"/>
      <c r="E14" s="13"/>
      <c r="F14" s="25"/>
      <c r="G14" s="25"/>
      <c r="H14" s="636"/>
      <c r="J14" s="568"/>
      <c r="K14" s="568"/>
    </row>
    <row r="15" spans="1:11" ht="14.25" customHeight="1" x14ac:dyDescent="0.2">
      <c r="A15" s="11"/>
      <c r="B15" s="17"/>
      <c r="C15" s="19"/>
      <c r="D15" s="13"/>
      <c r="E15" s="13"/>
      <c r="F15" s="25"/>
      <c r="G15" s="25"/>
      <c r="H15" s="636"/>
      <c r="J15" s="568"/>
      <c r="K15" s="568"/>
    </row>
    <row r="16" spans="1:11" ht="14.25" customHeight="1" x14ac:dyDescent="0.2">
      <c r="A16" s="11"/>
      <c r="B16" s="17"/>
      <c r="C16" s="19"/>
      <c r="D16" s="13"/>
      <c r="E16" s="13"/>
      <c r="F16" s="25"/>
      <c r="G16" s="25"/>
      <c r="H16" s="636"/>
      <c r="J16" s="568"/>
      <c r="K16" s="568"/>
    </row>
    <row r="17" spans="1:11" ht="14.25" customHeight="1" x14ac:dyDescent="0.2">
      <c r="A17" s="11"/>
      <c r="B17" s="17"/>
      <c r="C17" s="19"/>
      <c r="D17" s="13"/>
      <c r="E17" s="13"/>
      <c r="F17" s="25"/>
      <c r="G17" s="25"/>
      <c r="H17" s="636"/>
      <c r="J17" s="568"/>
      <c r="K17" s="568"/>
    </row>
    <row r="18" spans="1:11" ht="14.25" customHeight="1" x14ac:dyDescent="0.2">
      <c r="A18" s="1"/>
      <c r="B18" s="15"/>
      <c r="C18" s="16"/>
      <c r="D18" s="13"/>
      <c r="E18" s="13"/>
      <c r="F18" s="25"/>
      <c r="G18" s="25"/>
      <c r="H18" s="637"/>
      <c r="J18" s="3"/>
      <c r="K18" s="3"/>
    </row>
    <row r="19" spans="1:11" ht="14.25" customHeight="1" x14ac:dyDescent="0.2">
      <c r="A19" s="1"/>
      <c r="B19" s="15"/>
      <c r="C19" s="16"/>
      <c r="D19" s="13"/>
      <c r="E19" s="13"/>
      <c r="F19" s="25"/>
      <c r="G19" s="25"/>
      <c r="H19" s="637"/>
    </row>
    <row r="20" spans="1:11" ht="14.25" customHeight="1" x14ac:dyDescent="0.2">
      <c r="A20" s="1"/>
      <c r="B20" s="15"/>
      <c r="C20" s="16"/>
      <c r="D20" s="8"/>
      <c r="E20" s="8"/>
      <c r="F20" s="7"/>
      <c r="G20" s="25"/>
      <c r="H20" s="637"/>
    </row>
    <row r="21" spans="1:11" ht="14.25" customHeight="1" x14ac:dyDescent="0.2">
      <c r="A21" s="1"/>
      <c r="B21" s="15"/>
      <c r="C21" s="16"/>
      <c r="D21" s="8"/>
      <c r="E21" s="8"/>
      <c r="F21" s="7"/>
      <c r="G21" s="25"/>
      <c r="H21" s="637"/>
    </row>
    <row r="22" spans="1:11" ht="14.25" customHeight="1" x14ac:dyDescent="0.2">
      <c r="A22" s="1"/>
      <c r="B22" s="15"/>
      <c r="C22" s="16"/>
      <c r="D22" s="8"/>
      <c r="E22" s="8"/>
      <c r="F22" s="7"/>
      <c r="G22" s="25"/>
      <c r="H22" s="637"/>
    </row>
    <row r="23" spans="1:11" ht="14.25" customHeight="1" x14ac:dyDescent="0.2">
      <c r="A23" s="1"/>
      <c r="B23" s="15"/>
      <c r="C23" s="16"/>
      <c r="D23" s="8"/>
      <c r="E23" s="8"/>
      <c r="F23" s="7"/>
      <c r="G23" s="25"/>
      <c r="H23" s="637"/>
    </row>
    <row r="24" spans="1:11" ht="14.25" customHeight="1" x14ac:dyDescent="0.2">
      <c r="A24" s="1"/>
      <c r="B24" s="15"/>
      <c r="C24" s="16"/>
      <c r="D24" s="8"/>
      <c r="E24" s="8"/>
      <c r="F24" s="7"/>
      <c r="G24" s="25"/>
      <c r="H24" s="637"/>
    </row>
    <row r="25" spans="1:11" ht="14.25" customHeight="1" x14ac:dyDescent="0.2">
      <c r="A25" s="1"/>
      <c r="B25" s="15"/>
      <c r="C25" s="16"/>
      <c r="D25" s="8"/>
      <c r="E25" s="8"/>
      <c r="F25" s="7"/>
      <c r="G25" s="25"/>
      <c r="H25" s="637"/>
    </row>
    <row r="26" spans="1:11" ht="14.25" customHeight="1" x14ac:dyDescent="0.2">
      <c r="A26" s="1"/>
      <c r="B26" s="15"/>
      <c r="C26" s="16"/>
      <c r="D26" s="8"/>
      <c r="E26" s="8"/>
      <c r="F26" s="48"/>
      <c r="G26" s="66"/>
      <c r="H26" s="637"/>
    </row>
    <row r="27" spans="1:11" ht="14.25" customHeight="1" x14ac:dyDescent="0.2">
      <c r="A27" s="1"/>
      <c r="B27" s="15"/>
      <c r="C27" s="16"/>
      <c r="D27" s="8"/>
      <c r="E27" s="8"/>
      <c r="F27" s="48"/>
      <c r="G27" s="66"/>
      <c r="H27" s="633"/>
    </row>
    <row r="28" spans="1:11" ht="14.25" customHeight="1" x14ac:dyDescent="0.2">
      <c r="A28" s="1"/>
      <c r="B28" s="15"/>
      <c r="C28" s="16"/>
      <c r="D28" s="8"/>
      <c r="E28" s="8"/>
      <c r="F28" s="48"/>
      <c r="G28" s="66"/>
      <c r="H28" s="633"/>
    </row>
    <row r="29" spans="1:11" ht="14.25" customHeight="1" x14ac:dyDescent="0.2">
      <c r="F29" s="76" t="s">
        <v>123</v>
      </c>
      <c r="G29" s="77">
        <f>SUM(G7:G20)</f>
        <v>0</v>
      </c>
      <c r="H29" s="108">
        <f>SUM(H7:H27)</f>
        <v>3</v>
      </c>
    </row>
    <row r="30" spans="1:11" ht="14.25" customHeight="1" x14ac:dyDescent="0.2">
      <c r="F30" s="62"/>
      <c r="G30" s="63"/>
      <c r="H30" s="646"/>
    </row>
    <row r="31" spans="1:11" ht="14.25" customHeight="1" x14ac:dyDescent="0.2">
      <c r="F31" s="1153" t="s">
        <v>8</v>
      </c>
      <c r="G31" s="1154"/>
      <c r="H31" s="109">
        <f>G29-H29</f>
        <v>-3</v>
      </c>
    </row>
  </sheetData>
  <mergeCells count="3">
    <mergeCell ref="F31:G31"/>
    <mergeCell ref="J1:J3"/>
    <mergeCell ref="C1:H5"/>
  </mergeCells>
  <hyperlinks>
    <hyperlink ref="J1:J3" location="'ANA SAYFA'!A1" display="ANA SAYFA"/>
  </hyperlinks>
  <pageMargins left="0.7" right="0.12" top="0.28999999999999998" bottom="0.75" header="0.3" footer="0.3"/>
  <pageSetup paperSize="9" scale="71" orientation="portrait" r:id="rId1"/>
  <colBreaks count="1" manualBreakCount="1">
    <brk id="8" max="1048575" man="1"/>
  </colBreak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3"/>
  <sheetViews>
    <sheetView zoomScaleNormal="100" workbookViewId="0">
      <selection activeCell="J1" sqref="J1:J3"/>
    </sheetView>
  </sheetViews>
  <sheetFormatPr defaultRowHeight="12.75" x14ac:dyDescent="0.2"/>
  <cols>
    <col min="1" max="1" width="18.140625" bestFit="1" customWidth="1"/>
    <col min="2" max="2" width="26" bestFit="1" customWidth="1"/>
    <col min="3" max="3" width="26.140625" bestFit="1" customWidth="1"/>
    <col min="4" max="4" width="6.7109375" bestFit="1" customWidth="1"/>
    <col min="5" max="5" width="8.85546875" bestFit="1" customWidth="1"/>
    <col min="6" max="6" width="20.140625" bestFit="1" customWidth="1"/>
    <col min="7" max="7" width="14.28515625" customWidth="1"/>
    <col min="8" max="8" width="12.5703125" bestFit="1" customWidth="1"/>
    <col min="9" max="9" width="4" customWidth="1"/>
    <col min="10" max="10" width="11.140625" customWidth="1"/>
  </cols>
  <sheetData>
    <row r="1" spans="1:11" ht="13.5" customHeight="1" x14ac:dyDescent="0.2">
      <c r="A1" s="29" t="s">
        <v>135</v>
      </c>
      <c r="B1" s="187" t="str">
        <f>'ANA SAYFA'!B92</f>
        <v>ÖMER GEZMİŞ</v>
      </c>
      <c r="C1" s="1166" t="s">
        <v>136</v>
      </c>
      <c r="D1" s="1166"/>
      <c r="E1" s="1166"/>
      <c r="F1" s="1166"/>
      <c r="G1" s="1166"/>
      <c r="H1" s="1166"/>
      <c r="J1" s="1157" t="s">
        <v>712</v>
      </c>
    </row>
    <row r="2" spans="1:11" ht="13.5" customHeight="1" x14ac:dyDescent="0.2">
      <c r="A2" s="29" t="s">
        <v>137</v>
      </c>
      <c r="B2" s="186">
        <f>'ANA SAYFA'!D92</f>
        <v>16256022284</v>
      </c>
      <c r="C2" s="1166"/>
      <c r="D2" s="1166"/>
      <c r="E2" s="1166"/>
      <c r="F2" s="1166"/>
      <c r="G2" s="1166"/>
      <c r="H2" s="1166"/>
      <c r="J2" s="1158"/>
    </row>
    <row r="3" spans="1:11" ht="13.5" customHeight="1" thickBot="1" x14ac:dyDescent="0.25">
      <c r="A3" s="29" t="s">
        <v>131</v>
      </c>
      <c r="B3" s="187" t="str">
        <f>'ANA SAYFA'!C92</f>
        <v>OPERATÖR</v>
      </c>
      <c r="C3" s="1166"/>
      <c r="D3" s="1166"/>
      <c r="E3" s="1166"/>
      <c r="F3" s="1166"/>
      <c r="G3" s="1166"/>
      <c r="H3" s="1166"/>
      <c r="J3" s="1159"/>
    </row>
    <row r="4" spans="1:11" ht="13.5" customHeight="1" x14ac:dyDescent="0.2">
      <c r="A4" s="29" t="s">
        <v>120</v>
      </c>
      <c r="B4" s="136">
        <f>'ANA SAYFA'!E92</f>
        <v>44805</v>
      </c>
      <c r="C4" s="1166"/>
      <c r="D4" s="1166"/>
      <c r="E4" s="1166"/>
      <c r="F4" s="1166"/>
      <c r="G4" s="1166"/>
      <c r="H4" s="1166"/>
    </row>
    <row r="5" spans="1:11" ht="13.5" customHeight="1" x14ac:dyDescent="0.2">
      <c r="A5" s="29" t="s">
        <v>130</v>
      </c>
      <c r="B5" s="136">
        <f>'ANA SAYFA'!F92</f>
        <v>32893</v>
      </c>
      <c r="C5" s="1166"/>
      <c r="D5" s="1166"/>
      <c r="E5" s="1166"/>
      <c r="F5" s="1166"/>
      <c r="G5" s="1166"/>
      <c r="H5" s="1166"/>
      <c r="J5" s="653"/>
      <c r="K5" s="653"/>
    </row>
    <row r="6" spans="1:11" ht="31.5" x14ac:dyDescent="0.2">
      <c r="A6" s="69" t="s">
        <v>0</v>
      </c>
      <c r="B6" s="70" t="s">
        <v>1</v>
      </c>
      <c r="C6" s="69" t="s">
        <v>2</v>
      </c>
      <c r="D6" s="71" t="s">
        <v>133</v>
      </c>
      <c r="E6" s="71" t="s">
        <v>4</v>
      </c>
      <c r="F6" s="71" t="s">
        <v>7</v>
      </c>
      <c r="G6" s="71" t="s">
        <v>6</v>
      </c>
      <c r="H6" s="71" t="s">
        <v>3</v>
      </c>
      <c r="J6" s="653"/>
      <c r="K6" s="653"/>
    </row>
    <row r="7" spans="1:11" ht="14.45" customHeight="1" x14ac:dyDescent="0.2">
      <c r="A7" s="35"/>
      <c r="B7" s="36">
        <v>45238</v>
      </c>
      <c r="C7" s="36">
        <v>45251</v>
      </c>
      <c r="D7" s="38">
        <v>0.33333333333333331</v>
      </c>
      <c r="E7" s="38">
        <v>0.33333333333333331</v>
      </c>
      <c r="F7" s="736" t="s">
        <v>753</v>
      </c>
      <c r="G7" s="295">
        <v>14</v>
      </c>
      <c r="H7" s="223">
        <v>11</v>
      </c>
      <c r="J7" s="221"/>
      <c r="K7" s="221"/>
    </row>
    <row r="8" spans="1:11" x14ac:dyDescent="0.2">
      <c r="A8" s="42"/>
      <c r="B8" s="36" t="s">
        <v>531</v>
      </c>
      <c r="C8" s="474" t="s">
        <v>531</v>
      </c>
      <c r="D8" s="676">
        <v>0.33333333333333331</v>
      </c>
      <c r="E8" s="676">
        <v>0.33333333333333331</v>
      </c>
      <c r="F8" s="736" t="s">
        <v>754</v>
      </c>
      <c r="G8" s="295">
        <v>14</v>
      </c>
      <c r="H8" s="223">
        <v>1</v>
      </c>
      <c r="J8" s="3"/>
      <c r="K8" s="3"/>
    </row>
    <row r="9" spans="1:11" x14ac:dyDescent="0.2">
      <c r="A9" s="42"/>
      <c r="B9" s="36">
        <v>45463</v>
      </c>
      <c r="C9" s="37">
        <v>45465</v>
      </c>
      <c r="D9" s="676">
        <v>0.33333333333333331</v>
      </c>
      <c r="E9" s="676">
        <v>0.33333333333333331</v>
      </c>
      <c r="F9" s="681" t="s">
        <v>940</v>
      </c>
      <c r="G9" s="296">
        <v>14</v>
      </c>
      <c r="H9" s="223">
        <v>3</v>
      </c>
      <c r="J9" s="3"/>
      <c r="K9" s="3"/>
    </row>
    <row r="10" spans="1:11" x14ac:dyDescent="0.2">
      <c r="A10" s="2"/>
      <c r="B10" s="17">
        <v>45559</v>
      </c>
      <c r="C10" s="19">
        <v>45560</v>
      </c>
      <c r="D10" s="676">
        <v>0.33333333333333331</v>
      </c>
      <c r="E10" s="676">
        <v>0.33333333333333331</v>
      </c>
      <c r="F10" s="666"/>
      <c r="G10" s="297"/>
      <c r="H10" s="298">
        <v>2</v>
      </c>
    </row>
    <row r="11" spans="1:11" x14ac:dyDescent="0.2">
      <c r="A11" s="11"/>
      <c r="B11" s="17">
        <v>45646</v>
      </c>
      <c r="C11" s="19">
        <v>45646</v>
      </c>
      <c r="D11" s="676">
        <v>0.33333333333333331</v>
      </c>
      <c r="E11" s="676">
        <v>0.33333333333333331</v>
      </c>
      <c r="F11" s="666"/>
      <c r="G11" s="297"/>
      <c r="H11" s="299">
        <v>1</v>
      </c>
      <c r="J11" s="221"/>
      <c r="K11" s="221"/>
    </row>
    <row r="12" spans="1:11" x14ac:dyDescent="0.2">
      <c r="A12" s="1"/>
      <c r="B12" s="15">
        <v>45670</v>
      </c>
      <c r="C12" s="15">
        <v>45670</v>
      </c>
      <c r="D12" s="676">
        <v>0.33333333333333331</v>
      </c>
      <c r="E12" s="676">
        <v>0.33333333333333331</v>
      </c>
      <c r="F12" s="666"/>
      <c r="G12" s="297"/>
      <c r="H12" s="297">
        <v>1</v>
      </c>
      <c r="J12" s="3"/>
      <c r="K12" s="3"/>
    </row>
    <row r="13" spans="1:11" x14ac:dyDescent="0.2">
      <c r="A13" s="1"/>
      <c r="B13" s="15">
        <v>45693</v>
      </c>
      <c r="C13" s="16">
        <v>45693</v>
      </c>
      <c r="D13" s="676">
        <v>0.33333333333333331</v>
      </c>
      <c r="E13" s="676">
        <v>0.33333333333333331</v>
      </c>
      <c r="F13" s="666"/>
      <c r="G13" s="297"/>
      <c r="H13" s="297">
        <v>1</v>
      </c>
    </row>
    <row r="14" spans="1:11" x14ac:dyDescent="0.2">
      <c r="A14" s="1"/>
      <c r="B14" s="15">
        <v>45681</v>
      </c>
      <c r="C14" s="16">
        <v>45681</v>
      </c>
      <c r="D14" s="676">
        <v>0.33333333333333331</v>
      </c>
      <c r="E14" s="676">
        <v>0.33333333333333331</v>
      </c>
      <c r="F14" s="666"/>
      <c r="G14" s="297"/>
      <c r="H14" s="297">
        <v>1</v>
      </c>
    </row>
    <row r="15" spans="1:11" x14ac:dyDescent="0.2">
      <c r="A15" s="1"/>
      <c r="B15" s="15">
        <v>45724</v>
      </c>
      <c r="C15" s="16">
        <v>45724</v>
      </c>
      <c r="D15" s="676">
        <v>0.33333333333333331</v>
      </c>
      <c r="E15" s="676">
        <v>0.33333333333333331</v>
      </c>
      <c r="F15" s="666"/>
      <c r="G15" s="297"/>
      <c r="H15" s="297">
        <v>1</v>
      </c>
    </row>
    <row r="16" spans="1:11" x14ac:dyDescent="0.2">
      <c r="A16" s="1"/>
      <c r="B16" s="15">
        <v>45751</v>
      </c>
      <c r="C16" s="16">
        <v>45752</v>
      </c>
      <c r="D16" s="676">
        <v>0.33333333333333331</v>
      </c>
      <c r="E16" s="676">
        <v>0.33333333333333331</v>
      </c>
      <c r="F16" s="666"/>
      <c r="G16" s="297"/>
      <c r="H16" s="297">
        <v>2</v>
      </c>
    </row>
    <row r="17" spans="1:10" s="653" customFormat="1" x14ac:dyDescent="0.2">
      <c r="A17" s="654"/>
      <c r="B17" s="662">
        <v>45833</v>
      </c>
      <c r="C17" s="663">
        <v>45833</v>
      </c>
      <c r="D17" s="676">
        <v>0.33333333333333331</v>
      </c>
      <c r="E17" s="676">
        <v>0.33333333333333331</v>
      </c>
      <c r="F17" s="666"/>
      <c r="G17" s="297"/>
      <c r="H17" s="297">
        <v>1</v>
      </c>
    </row>
    <row r="18" spans="1:10" s="653" customFormat="1" x14ac:dyDescent="0.2">
      <c r="A18" s="654"/>
      <c r="B18" s="662">
        <v>45876</v>
      </c>
      <c r="C18" s="663">
        <v>45877</v>
      </c>
      <c r="D18" s="676">
        <v>0.33333333333333331</v>
      </c>
      <c r="E18" s="676">
        <v>0.33333333333333331</v>
      </c>
      <c r="F18" s="666"/>
      <c r="G18" s="297"/>
      <c r="H18" s="297">
        <v>1</v>
      </c>
    </row>
    <row r="19" spans="1:10" s="653" customFormat="1" x14ac:dyDescent="0.2">
      <c r="A19" s="654"/>
      <c r="B19" s="662">
        <v>45968</v>
      </c>
      <c r="C19" s="663">
        <v>45971</v>
      </c>
      <c r="D19" s="676"/>
      <c r="E19" s="676"/>
      <c r="F19" s="666"/>
      <c r="G19" s="297"/>
      <c r="H19" s="297">
        <v>2</v>
      </c>
    </row>
    <row r="20" spans="1:10" s="653" customFormat="1" x14ac:dyDescent="0.2">
      <c r="A20" s="654"/>
      <c r="B20" s="662">
        <v>45974</v>
      </c>
      <c r="C20" s="663">
        <v>45975</v>
      </c>
      <c r="D20" s="676"/>
      <c r="E20" s="676"/>
      <c r="F20" s="666"/>
      <c r="G20" s="297"/>
      <c r="H20" s="297">
        <v>1</v>
      </c>
    </row>
    <row r="21" spans="1:10" s="653" customFormat="1" x14ac:dyDescent="0.2">
      <c r="A21" s="654"/>
      <c r="B21" s="662">
        <v>46109</v>
      </c>
      <c r="C21" s="663">
        <v>46111</v>
      </c>
      <c r="D21" s="676"/>
      <c r="E21" s="676"/>
      <c r="F21" s="666"/>
      <c r="G21" s="297"/>
      <c r="H21" s="297">
        <v>1</v>
      </c>
      <c r="J21" s="801" t="s">
        <v>830</v>
      </c>
    </row>
    <row r="22" spans="1:10" s="653" customFormat="1" x14ac:dyDescent="0.2">
      <c r="A22" s="654"/>
      <c r="B22" s="662">
        <v>46125</v>
      </c>
      <c r="C22" s="663">
        <v>46126</v>
      </c>
      <c r="D22" s="676"/>
      <c r="E22" s="676"/>
      <c r="F22" s="666"/>
      <c r="G22" s="297"/>
      <c r="H22" s="297">
        <v>1</v>
      </c>
      <c r="J22" s="801" t="s">
        <v>830</v>
      </c>
    </row>
    <row r="23" spans="1:10" s="653" customFormat="1" x14ac:dyDescent="0.2">
      <c r="A23" s="654"/>
      <c r="B23" s="662">
        <v>46202</v>
      </c>
      <c r="C23" s="663">
        <v>46203</v>
      </c>
      <c r="D23" s="676"/>
      <c r="E23" s="676"/>
      <c r="F23" s="666"/>
      <c r="G23" s="297"/>
      <c r="H23" s="297">
        <v>1</v>
      </c>
    </row>
    <row r="24" spans="1:10" s="653" customFormat="1" x14ac:dyDescent="0.2">
      <c r="A24" s="654"/>
      <c r="B24" s="662">
        <v>46186</v>
      </c>
      <c r="C24" s="663">
        <v>46187</v>
      </c>
      <c r="D24" s="676"/>
      <c r="E24" s="676"/>
      <c r="F24" s="666"/>
      <c r="G24" s="297"/>
      <c r="H24" s="297">
        <v>1</v>
      </c>
    </row>
    <row r="25" spans="1:10" s="653" customFormat="1" x14ac:dyDescent="0.2">
      <c r="A25" s="654"/>
      <c r="B25" s="662"/>
      <c r="C25" s="663"/>
      <c r="D25" s="676"/>
      <c r="E25" s="676"/>
      <c r="F25" s="666"/>
      <c r="G25" s="297"/>
      <c r="H25" s="297"/>
    </row>
    <row r="26" spans="1:10" s="653" customFormat="1" x14ac:dyDescent="0.2">
      <c r="A26" s="654"/>
      <c r="B26" s="662"/>
      <c r="C26" s="663"/>
      <c r="D26" s="676"/>
      <c r="E26" s="676"/>
      <c r="F26" s="666"/>
      <c r="G26" s="297"/>
      <c r="H26" s="297"/>
    </row>
    <row r="27" spans="1:10" s="653" customFormat="1" x14ac:dyDescent="0.2">
      <c r="A27" s="654"/>
      <c r="B27" s="662"/>
      <c r="C27" s="663"/>
      <c r="D27" s="676"/>
      <c r="E27" s="676"/>
      <c r="F27" s="666"/>
      <c r="G27" s="297"/>
      <c r="H27" s="297"/>
    </row>
    <row r="28" spans="1:10" s="653" customFormat="1" x14ac:dyDescent="0.2">
      <c r="A28" s="654"/>
      <c r="B28" s="662"/>
      <c r="C28" s="663"/>
      <c r="D28" s="676"/>
      <c r="E28" s="676"/>
      <c r="F28" s="666"/>
      <c r="G28" s="297"/>
      <c r="H28" s="297"/>
    </row>
    <row r="29" spans="1:10" s="653" customFormat="1" x14ac:dyDescent="0.2">
      <c r="A29" s="654"/>
      <c r="B29" s="662"/>
      <c r="C29" s="663"/>
      <c r="D29" s="676"/>
      <c r="E29" s="676"/>
      <c r="F29" s="666"/>
      <c r="G29" s="297"/>
      <c r="H29" s="297"/>
    </row>
    <row r="30" spans="1:10" s="653" customFormat="1" x14ac:dyDescent="0.2">
      <c r="A30" s="654"/>
      <c r="B30" s="662"/>
      <c r="C30" s="663"/>
      <c r="D30" s="676"/>
      <c r="E30" s="676"/>
      <c r="F30" s="666"/>
      <c r="G30" s="297"/>
      <c r="H30" s="297"/>
    </row>
    <row r="31" spans="1:10" s="653" customFormat="1" x14ac:dyDescent="0.2">
      <c r="A31" s="654"/>
      <c r="B31" s="662"/>
      <c r="C31" s="663"/>
      <c r="D31" s="676"/>
      <c r="E31" s="676"/>
      <c r="F31" s="666"/>
      <c r="G31" s="297"/>
      <c r="H31" s="297"/>
    </row>
    <row r="32" spans="1:10" s="653" customFormat="1" x14ac:dyDescent="0.2">
      <c r="A32" s="654"/>
      <c r="B32" s="662"/>
      <c r="C32" s="663"/>
      <c r="D32" s="676"/>
      <c r="E32" s="676"/>
      <c r="F32" s="666"/>
      <c r="G32" s="297"/>
      <c r="H32" s="297"/>
    </row>
    <row r="33" spans="1:8" s="653" customFormat="1" x14ac:dyDescent="0.2">
      <c r="A33" s="654"/>
      <c r="B33" s="662"/>
      <c r="C33" s="663"/>
      <c r="D33" s="676"/>
      <c r="E33" s="676"/>
      <c r="F33" s="666"/>
      <c r="G33" s="297"/>
      <c r="H33" s="297"/>
    </row>
    <row r="34" spans="1:8" s="653" customFormat="1" x14ac:dyDescent="0.2">
      <c r="A34" s="654"/>
      <c r="B34" s="662"/>
      <c r="C34" s="663"/>
      <c r="D34" s="676"/>
      <c r="E34" s="676"/>
      <c r="F34" s="666"/>
      <c r="G34" s="297"/>
      <c r="H34" s="297"/>
    </row>
    <row r="35" spans="1:8" x14ac:dyDescent="0.2">
      <c r="A35" s="1"/>
      <c r="B35" s="15"/>
      <c r="C35" s="16"/>
      <c r="D35" s="8"/>
      <c r="E35" s="8"/>
      <c r="F35" s="666"/>
      <c r="G35" s="297"/>
      <c r="H35" s="297"/>
    </row>
    <row r="36" spans="1:8" x14ac:dyDescent="0.2">
      <c r="A36" s="1"/>
      <c r="B36" s="15"/>
      <c r="C36" s="16"/>
      <c r="D36" s="8"/>
      <c r="E36" s="8"/>
      <c r="F36" s="666"/>
      <c r="G36" s="297"/>
      <c r="H36" s="297"/>
    </row>
    <row r="37" spans="1:8" x14ac:dyDescent="0.2">
      <c r="A37" s="1"/>
      <c r="B37" s="15"/>
      <c r="C37" s="16"/>
      <c r="D37" s="8"/>
      <c r="E37" s="8"/>
      <c r="F37" s="666"/>
      <c r="G37" s="297"/>
      <c r="H37" s="297"/>
    </row>
    <row r="38" spans="1:8" x14ac:dyDescent="0.2">
      <c r="A38" s="1"/>
      <c r="B38" s="15"/>
      <c r="C38" s="16"/>
      <c r="D38" s="8"/>
      <c r="E38" s="8"/>
      <c r="F38" s="691"/>
      <c r="G38" s="296"/>
      <c r="H38" s="297"/>
    </row>
    <row r="39" spans="1:8" x14ac:dyDescent="0.2">
      <c r="A39" s="1"/>
      <c r="B39" s="15"/>
      <c r="C39" s="16"/>
      <c r="D39" s="8"/>
      <c r="E39" s="8"/>
      <c r="F39" s="691"/>
      <c r="G39" s="296"/>
      <c r="H39" s="296"/>
    </row>
    <row r="40" spans="1:8" x14ac:dyDescent="0.2">
      <c r="A40" s="1"/>
      <c r="B40" s="15"/>
      <c r="C40" s="16"/>
      <c r="D40" s="8"/>
      <c r="E40" s="8"/>
      <c r="F40" s="48"/>
      <c r="G40" s="296"/>
      <c r="H40" s="296"/>
    </row>
    <row r="41" spans="1:8" x14ac:dyDescent="0.2">
      <c r="F41" s="76" t="s">
        <v>123</v>
      </c>
      <c r="G41" s="300">
        <f>SUM(G7:G40)</f>
        <v>42</v>
      </c>
      <c r="H41" s="300">
        <f>SUM(H7:H40)</f>
        <v>33</v>
      </c>
    </row>
    <row r="42" spans="1:8" x14ac:dyDescent="0.2">
      <c r="F42" s="62"/>
      <c r="G42" s="63"/>
      <c r="H42" s="63"/>
    </row>
    <row r="43" spans="1:8" ht="14.25" x14ac:dyDescent="0.2">
      <c r="F43" s="1153" t="s">
        <v>8</v>
      </c>
      <c r="G43" s="1154"/>
      <c r="H43" s="84">
        <f>G41-H41</f>
        <v>9</v>
      </c>
    </row>
  </sheetData>
  <mergeCells count="3">
    <mergeCell ref="F43:G43"/>
    <mergeCell ref="J1:J3"/>
    <mergeCell ref="C1:H5"/>
  </mergeCells>
  <hyperlinks>
    <hyperlink ref="J1:J3" location="'ANA SAYFA'!A1" display="ANA SAYFA"/>
  </hyperlinks>
  <pageMargins left="0.7" right="0.12" top="0.28000000000000003" bottom="0.75" header="0.3" footer="0.3"/>
  <pageSetup paperSize="9" scale="71" orientation="portrait" r:id="rId1"/>
  <colBreaks count="1" manualBreakCount="1">
    <brk id="9" max="1048575" man="1"/>
  </colBreaks>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zoomScaleNormal="100" workbookViewId="0">
      <selection activeCell="J1" sqref="J1:J3"/>
    </sheetView>
  </sheetViews>
  <sheetFormatPr defaultColWidth="9.140625" defaultRowHeight="12.75" x14ac:dyDescent="0.2"/>
  <cols>
    <col min="1" max="1" width="18.140625" style="82" bestFit="1" customWidth="1"/>
    <col min="2" max="2" width="27" style="82" bestFit="1" customWidth="1"/>
    <col min="3" max="3" width="28" style="82" bestFit="1" customWidth="1"/>
    <col min="4" max="5" width="9" style="82" bestFit="1" customWidth="1"/>
    <col min="6" max="6" width="18.5703125" style="82" customWidth="1"/>
    <col min="7" max="7" width="14.28515625" style="82" bestFit="1" customWidth="1"/>
    <col min="8" max="8" width="12.5703125" style="82" bestFit="1" customWidth="1"/>
    <col min="9" max="9" width="3.5703125" style="82" customWidth="1"/>
    <col min="10" max="10" width="11.42578125" style="82" customWidth="1"/>
    <col min="11" max="16384" width="9.140625" style="82"/>
  </cols>
  <sheetData>
    <row r="1" spans="1:11" ht="14.25" customHeight="1" x14ac:dyDescent="0.2">
      <c r="A1" s="29" t="s">
        <v>135</v>
      </c>
      <c r="B1" s="187" t="str">
        <f>'ANA SAYFA'!B93</f>
        <v>İBRAHİM AĞ</v>
      </c>
      <c r="C1" s="1166" t="s">
        <v>136</v>
      </c>
      <c r="D1" s="1166"/>
      <c r="E1" s="1166"/>
      <c r="F1" s="1166"/>
      <c r="G1" s="1166"/>
      <c r="H1" s="1166"/>
      <c r="J1" s="1157" t="s">
        <v>712</v>
      </c>
    </row>
    <row r="2" spans="1:11" ht="14.25" customHeight="1" x14ac:dyDescent="0.2">
      <c r="A2" s="29" t="s">
        <v>137</v>
      </c>
      <c r="B2" s="186">
        <f>'ANA SAYFA'!D93</f>
        <v>16541865534</v>
      </c>
      <c r="C2" s="1166"/>
      <c r="D2" s="1166"/>
      <c r="E2" s="1166"/>
      <c r="F2" s="1166"/>
      <c r="G2" s="1166"/>
      <c r="H2" s="1166"/>
      <c r="J2" s="1158"/>
    </row>
    <row r="3" spans="1:11" ht="14.25" customHeight="1" thickBot="1" x14ac:dyDescent="0.25">
      <c r="A3" s="29" t="s">
        <v>131</v>
      </c>
      <c r="B3" s="187" t="str">
        <f>'ANA SAYFA'!C93</f>
        <v xml:space="preserve">İŞ MAKİNELERİ YAĞCISI </v>
      </c>
      <c r="C3" s="1166"/>
      <c r="D3" s="1166"/>
      <c r="E3" s="1166"/>
      <c r="F3" s="1166"/>
      <c r="G3" s="1166"/>
      <c r="H3" s="1166"/>
      <c r="J3" s="1159"/>
    </row>
    <row r="4" spans="1:11" ht="14.25" customHeight="1" x14ac:dyDescent="0.2">
      <c r="A4" s="29" t="s">
        <v>120</v>
      </c>
      <c r="B4" s="136">
        <f>'ANA SAYFA'!E93</f>
        <v>46107</v>
      </c>
      <c r="C4" s="1166"/>
      <c r="D4" s="1166"/>
      <c r="E4" s="1166"/>
      <c r="F4" s="1166"/>
      <c r="G4" s="1166"/>
      <c r="H4" s="1166"/>
    </row>
    <row r="5" spans="1:11" ht="14.25" customHeight="1" x14ac:dyDescent="0.2">
      <c r="A5" s="29" t="s">
        <v>130</v>
      </c>
      <c r="B5" s="136">
        <f>'ANA SAYFA'!F93</f>
        <v>38786</v>
      </c>
      <c r="C5" s="1166"/>
      <c r="D5" s="1166"/>
      <c r="E5" s="1166"/>
      <c r="F5" s="1166"/>
      <c r="G5" s="1166"/>
      <c r="H5" s="1166"/>
      <c r="J5" s="699"/>
      <c r="K5" s="699"/>
    </row>
    <row r="6" spans="1:11" ht="31.5" x14ac:dyDescent="0.2">
      <c r="A6" s="69" t="s">
        <v>0</v>
      </c>
      <c r="B6" s="70" t="s">
        <v>1</v>
      </c>
      <c r="C6" s="69" t="s">
        <v>2</v>
      </c>
      <c r="D6" s="71" t="s">
        <v>133</v>
      </c>
      <c r="E6" s="71" t="s">
        <v>4</v>
      </c>
      <c r="F6" s="71" t="s">
        <v>7</v>
      </c>
      <c r="G6" s="71" t="s">
        <v>6</v>
      </c>
      <c r="H6" s="71" t="s">
        <v>3</v>
      </c>
      <c r="J6" s="699"/>
      <c r="K6" s="699"/>
    </row>
    <row r="7" spans="1:11" ht="15.75" customHeight="1" x14ac:dyDescent="0.2">
      <c r="A7" s="673"/>
      <c r="B7" s="1035">
        <v>46161</v>
      </c>
      <c r="C7" s="675">
        <v>46179</v>
      </c>
      <c r="D7" s="676"/>
      <c r="E7" s="676"/>
      <c r="F7" s="704"/>
      <c r="G7" s="703"/>
      <c r="H7" s="223">
        <v>11</v>
      </c>
      <c r="J7" s="190"/>
      <c r="K7" s="190"/>
    </row>
    <row r="8" spans="1:11" s="699" customFormat="1" ht="15.75" customHeight="1" x14ac:dyDescent="0.2">
      <c r="A8" s="673"/>
      <c r="B8" s="1035"/>
      <c r="C8" s="675"/>
      <c r="D8" s="676"/>
      <c r="E8" s="676"/>
      <c r="F8" s="704"/>
      <c r="G8" s="703"/>
      <c r="H8" s="223"/>
      <c r="J8" s="747"/>
      <c r="K8" s="747"/>
    </row>
    <row r="9" spans="1:11" s="699" customFormat="1" ht="15.75" customHeight="1" x14ac:dyDescent="0.2">
      <c r="A9" s="678"/>
      <c r="B9" s="1036"/>
      <c r="C9" s="1037"/>
      <c r="D9" s="868"/>
      <c r="E9" s="868"/>
      <c r="F9" s="704"/>
      <c r="G9" s="703"/>
      <c r="H9" s="223"/>
      <c r="J9" s="726"/>
      <c r="K9" s="726"/>
    </row>
    <row r="10" spans="1:11" s="699" customFormat="1" ht="15.75" customHeight="1" x14ac:dyDescent="0.2">
      <c r="A10" s="678"/>
      <c r="B10" s="1035"/>
      <c r="C10" s="675"/>
      <c r="D10" s="676"/>
      <c r="E10" s="676"/>
      <c r="F10" s="704"/>
      <c r="G10" s="703"/>
      <c r="H10" s="705"/>
      <c r="J10" s="726"/>
      <c r="K10" s="726"/>
    </row>
    <row r="11" spans="1:11" s="699" customFormat="1" ht="15.75" customHeight="1" x14ac:dyDescent="0.2">
      <c r="A11" s="678"/>
      <c r="B11" s="1035"/>
      <c r="C11" s="675"/>
      <c r="D11" s="676"/>
      <c r="E11" s="676"/>
      <c r="F11" s="704"/>
      <c r="G11" s="703"/>
      <c r="H11" s="705"/>
      <c r="J11" s="726"/>
      <c r="K11" s="726"/>
    </row>
    <row r="12" spans="1:11" s="699" customFormat="1" ht="15.75" customHeight="1" x14ac:dyDescent="0.2">
      <c r="A12" s="678"/>
      <c r="B12" s="1035"/>
      <c r="C12" s="675"/>
      <c r="D12" s="676"/>
      <c r="E12" s="687"/>
      <c r="F12" s="704"/>
      <c r="G12" s="703"/>
      <c r="H12" s="705"/>
      <c r="J12" s="726"/>
      <c r="K12" s="726"/>
    </row>
    <row r="13" spans="1:11" s="699" customFormat="1" ht="15.75" customHeight="1" x14ac:dyDescent="0.2">
      <c r="A13" s="678"/>
      <c r="B13" s="1036"/>
      <c r="C13" s="1037"/>
      <c r="D13" s="868"/>
      <c r="E13" s="868"/>
      <c r="F13" s="704"/>
      <c r="G13" s="703"/>
      <c r="H13" s="223"/>
      <c r="J13" s="726"/>
      <c r="K13" s="726"/>
    </row>
    <row r="14" spans="1:11" s="699" customFormat="1" ht="15.75" customHeight="1" x14ac:dyDescent="0.2">
      <c r="A14" s="678"/>
      <c r="B14" s="1035"/>
      <c r="C14" s="675"/>
      <c r="D14" s="676"/>
      <c r="E14" s="687"/>
      <c r="F14" s="704"/>
      <c r="G14" s="703"/>
      <c r="H14" s="705"/>
      <c r="J14" s="726"/>
      <c r="K14" s="726"/>
    </row>
    <row r="15" spans="1:11" s="699" customFormat="1" ht="15.75" customHeight="1" x14ac:dyDescent="0.2">
      <c r="A15" s="678"/>
      <c r="B15" s="1036"/>
      <c r="C15" s="1037"/>
      <c r="D15" s="868"/>
      <c r="E15" s="868"/>
      <c r="F15" s="704"/>
      <c r="G15" s="703"/>
      <c r="H15" s="223"/>
      <c r="J15" s="726"/>
      <c r="K15" s="726"/>
    </row>
    <row r="16" spans="1:11" s="699" customFormat="1" ht="15.75" customHeight="1" x14ac:dyDescent="0.2">
      <c r="A16" s="678"/>
      <c r="B16" s="1035"/>
      <c r="C16" s="675"/>
      <c r="D16" s="676"/>
      <c r="E16" s="687"/>
      <c r="F16" s="704"/>
      <c r="G16" s="703"/>
      <c r="H16" s="705"/>
      <c r="J16" s="726"/>
      <c r="K16" s="726"/>
    </row>
    <row r="17" spans="1:11" s="699" customFormat="1" ht="15.75" customHeight="1" x14ac:dyDescent="0.2">
      <c r="A17" s="678"/>
      <c r="B17" s="980"/>
      <c r="C17" s="675"/>
      <c r="D17" s="676"/>
      <c r="E17" s="687"/>
      <c r="F17" s="704"/>
      <c r="G17" s="703"/>
      <c r="H17" s="705"/>
      <c r="J17" s="726"/>
      <c r="K17" s="726"/>
    </row>
    <row r="18" spans="1:11" s="699" customFormat="1" ht="15.75" customHeight="1" x14ac:dyDescent="0.2">
      <c r="A18" s="678"/>
      <c r="B18" s="980"/>
      <c r="C18" s="675"/>
      <c r="D18" s="676"/>
      <c r="E18" s="687"/>
      <c r="F18" s="704"/>
      <c r="G18" s="703"/>
      <c r="H18" s="705"/>
      <c r="J18" s="726"/>
      <c r="K18" s="726"/>
    </row>
    <row r="19" spans="1:11" s="699" customFormat="1" ht="15.75" customHeight="1" x14ac:dyDescent="0.2">
      <c r="A19" s="678"/>
      <c r="B19" s="980"/>
      <c r="C19" s="675"/>
      <c r="D19" s="676"/>
      <c r="E19" s="687"/>
      <c r="F19" s="704"/>
      <c r="G19" s="703"/>
      <c r="H19" s="705"/>
      <c r="J19" s="726"/>
      <c r="K19" s="726"/>
    </row>
    <row r="20" spans="1:11" s="699" customFormat="1" ht="15.75" customHeight="1" x14ac:dyDescent="0.2">
      <c r="A20" s="678"/>
      <c r="B20" s="980"/>
      <c r="C20" s="675"/>
      <c r="D20" s="676"/>
      <c r="E20" s="687"/>
      <c r="F20" s="704"/>
      <c r="G20" s="703"/>
      <c r="H20" s="705"/>
      <c r="J20" s="726"/>
      <c r="K20" s="726"/>
    </row>
    <row r="21" spans="1:11" ht="15.75" customHeight="1" x14ac:dyDescent="0.2">
      <c r="A21" s="724"/>
      <c r="B21" s="1296"/>
      <c r="C21" s="1296"/>
      <c r="D21" s="735"/>
      <c r="E21" s="722"/>
      <c r="F21" s="748"/>
      <c r="G21" s="723"/>
      <c r="H21" s="749"/>
      <c r="J21" s="148"/>
      <c r="K21" s="148"/>
    </row>
    <row r="22" spans="1:11" ht="15.75" customHeight="1" x14ac:dyDescent="0.2">
      <c r="A22" s="719"/>
      <c r="B22" s="729"/>
      <c r="C22" s="732"/>
      <c r="D22" s="735"/>
      <c r="E22" s="722"/>
      <c r="F22" s="723"/>
      <c r="G22" s="723"/>
      <c r="H22" s="749"/>
    </row>
    <row r="23" spans="1:11" ht="15.75" customHeight="1" x14ac:dyDescent="0.2">
      <c r="A23" s="734"/>
      <c r="B23" s="729"/>
      <c r="C23" s="732"/>
      <c r="D23" s="735"/>
      <c r="E23" s="735"/>
      <c r="F23" s="723"/>
      <c r="G23" s="723"/>
      <c r="H23" s="723"/>
      <c r="J23" s="190"/>
      <c r="K23" s="190"/>
    </row>
    <row r="24" spans="1:11" ht="15.75" customHeight="1" x14ac:dyDescent="0.2">
      <c r="A24" s="725"/>
      <c r="B24" s="720"/>
      <c r="C24" s="721"/>
      <c r="D24" s="735"/>
      <c r="E24" s="735"/>
      <c r="F24" s="723"/>
      <c r="G24" s="723"/>
      <c r="H24" s="723"/>
      <c r="J24" s="148"/>
      <c r="K24" s="148"/>
    </row>
    <row r="25" spans="1:11" ht="15.75" customHeight="1" x14ac:dyDescent="0.2">
      <c r="A25" s="725"/>
      <c r="B25" s="720"/>
      <c r="C25" s="720"/>
      <c r="D25" s="735"/>
      <c r="E25" s="735"/>
      <c r="F25" s="723"/>
      <c r="G25" s="723"/>
      <c r="H25" s="723"/>
    </row>
    <row r="26" spans="1:11" ht="15.75" customHeight="1" x14ac:dyDescent="0.2">
      <c r="A26" s="725"/>
      <c r="B26" s="720"/>
      <c r="C26" s="721"/>
      <c r="D26" s="722"/>
      <c r="E26" s="722"/>
      <c r="F26" s="718"/>
      <c r="G26" s="723"/>
      <c r="H26" s="723"/>
    </row>
    <row r="27" spans="1:11" ht="15.75" customHeight="1" x14ac:dyDescent="0.2">
      <c r="A27" s="725"/>
      <c r="B27" s="720"/>
      <c r="C27" s="721"/>
      <c r="D27" s="722"/>
      <c r="E27" s="722"/>
      <c r="F27" s="718"/>
      <c r="G27" s="723"/>
      <c r="H27" s="723"/>
    </row>
    <row r="28" spans="1:11" ht="15.75" customHeight="1" x14ac:dyDescent="0.2">
      <c r="A28" s="725"/>
      <c r="B28" s="720"/>
      <c r="C28" s="721"/>
      <c r="D28" s="722"/>
      <c r="E28" s="722"/>
      <c r="F28" s="718"/>
      <c r="G28" s="723"/>
      <c r="H28" s="723"/>
    </row>
    <row r="29" spans="1:11" ht="15.75" customHeight="1" x14ac:dyDescent="0.2">
      <c r="A29" s="725"/>
      <c r="B29" s="720"/>
      <c r="C29" s="721"/>
      <c r="D29" s="722"/>
      <c r="E29" s="722"/>
      <c r="F29" s="718"/>
      <c r="G29" s="723"/>
      <c r="H29" s="723"/>
    </row>
    <row r="30" spans="1:11" ht="15.75" customHeight="1" x14ac:dyDescent="0.2">
      <c r="A30" s="725"/>
      <c r="B30" s="720"/>
      <c r="C30" s="721"/>
      <c r="D30" s="722"/>
      <c r="E30" s="722"/>
      <c r="F30" s="718"/>
      <c r="G30" s="723"/>
      <c r="H30" s="723"/>
    </row>
    <row r="31" spans="1:11" ht="15.75" customHeight="1" x14ac:dyDescent="0.2">
      <c r="A31" s="725"/>
      <c r="B31" s="720"/>
      <c r="C31" s="721"/>
      <c r="D31" s="722"/>
      <c r="E31" s="722"/>
      <c r="F31" s="718"/>
      <c r="G31" s="723"/>
      <c r="H31" s="723"/>
    </row>
    <row r="32" spans="1:11" ht="15.75" customHeight="1" x14ac:dyDescent="0.2">
      <c r="A32" s="725"/>
      <c r="B32" s="720"/>
      <c r="C32" s="721"/>
      <c r="D32" s="722"/>
      <c r="E32" s="722"/>
      <c r="F32" s="683"/>
      <c r="G32" s="691"/>
      <c r="H32" s="723"/>
    </row>
    <row r="33" spans="1:8" ht="15.75" customHeight="1" x14ac:dyDescent="0.2">
      <c r="A33" s="725"/>
      <c r="B33" s="720"/>
      <c r="C33" s="721"/>
      <c r="D33" s="722"/>
      <c r="E33" s="722"/>
      <c r="F33" s="683"/>
      <c r="G33" s="691"/>
      <c r="H33" s="691"/>
    </row>
    <row r="34" spans="1:8" ht="15.75" customHeight="1" x14ac:dyDescent="0.2">
      <c r="A34" s="725"/>
      <c r="B34" s="720"/>
      <c r="C34" s="721"/>
      <c r="D34" s="722"/>
      <c r="E34" s="722"/>
      <c r="F34" s="683"/>
      <c r="G34" s="691"/>
      <c r="H34" s="691"/>
    </row>
    <row r="35" spans="1:8" ht="15.75" customHeight="1" x14ac:dyDescent="0.2">
      <c r="F35" s="294" t="s">
        <v>123</v>
      </c>
      <c r="G35" s="294">
        <f>SUM(G7:G34)</f>
        <v>0</v>
      </c>
      <c r="H35" s="300">
        <f>SUM(H7:H34)</f>
        <v>11</v>
      </c>
    </row>
    <row r="36" spans="1:8" x14ac:dyDescent="0.2">
      <c r="F36" s="62"/>
      <c r="G36" s="63"/>
      <c r="H36" s="63"/>
    </row>
    <row r="37" spans="1:8" ht="14.25" x14ac:dyDescent="0.2">
      <c r="F37" s="1153" t="s">
        <v>8</v>
      </c>
      <c r="G37" s="1154"/>
      <c r="H37" s="84">
        <f>G35-H35</f>
        <v>-11</v>
      </c>
    </row>
  </sheetData>
  <mergeCells count="4">
    <mergeCell ref="F37:G37"/>
    <mergeCell ref="B21:C21"/>
    <mergeCell ref="J1:J3"/>
    <mergeCell ref="C1:H5"/>
  </mergeCells>
  <hyperlinks>
    <hyperlink ref="J1:J3" location="'ANA SAYFA'!A1" display="ANA SAYFA"/>
  </hyperlinks>
  <pageMargins left="0.7" right="0.12" top="0.28999999999999998" bottom="0.75" header="0.3" footer="0.3"/>
  <pageSetup paperSize="9" scale="70" orientation="portrait" horizontalDpi="300" verticalDpi="300"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zoomScaleNormal="100" workbookViewId="0">
      <selection activeCell="J1" sqref="J1:J3"/>
    </sheetView>
  </sheetViews>
  <sheetFormatPr defaultColWidth="9.140625" defaultRowHeight="12.75" x14ac:dyDescent="0.2"/>
  <cols>
    <col min="1" max="1" width="18.140625" style="82" bestFit="1" customWidth="1"/>
    <col min="2" max="2" width="29" style="82" customWidth="1"/>
    <col min="3" max="3" width="28.7109375" style="82" customWidth="1"/>
    <col min="4" max="4" width="6.7109375" style="82" bestFit="1" customWidth="1"/>
    <col min="5" max="5" width="8.85546875" style="82" bestFit="1" customWidth="1"/>
    <col min="6" max="6" width="18" style="82" bestFit="1" customWidth="1"/>
    <col min="7" max="7" width="14.28515625" style="82" bestFit="1" customWidth="1"/>
    <col min="8" max="8" width="12.5703125" style="82" bestFit="1" customWidth="1"/>
    <col min="9" max="9" width="3.7109375" style="82" customWidth="1"/>
    <col min="10" max="10" width="12.42578125" style="82" customWidth="1"/>
    <col min="11" max="16384" width="9.140625" style="82"/>
  </cols>
  <sheetData>
    <row r="1" spans="1:11" ht="16.5" customHeight="1" x14ac:dyDescent="0.2">
      <c r="A1" s="29" t="s">
        <v>135</v>
      </c>
      <c r="B1" s="187" t="str">
        <f>'ANA SAYFA'!B94</f>
        <v>YILDIZ UZUNOSMAN</v>
      </c>
      <c r="C1" s="1166" t="s">
        <v>136</v>
      </c>
      <c r="D1" s="1166"/>
      <c r="E1" s="1166"/>
      <c r="F1" s="1166"/>
      <c r="G1" s="1166"/>
      <c r="H1" s="1166"/>
      <c r="J1" s="1297" t="s">
        <v>712</v>
      </c>
    </row>
    <row r="2" spans="1:11" ht="16.5" customHeight="1" x14ac:dyDescent="0.2">
      <c r="A2" s="29" t="s">
        <v>137</v>
      </c>
      <c r="B2" s="186">
        <f>'ANA SAYFA'!D94</f>
        <v>10934681350</v>
      </c>
      <c r="C2" s="1166"/>
      <c r="D2" s="1166"/>
      <c r="E2" s="1166"/>
      <c r="F2" s="1166"/>
      <c r="G2" s="1166"/>
      <c r="H2" s="1166"/>
      <c r="J2" s="1298"/>
    </row>
    <row r="3" spans="1:11" ht="16.5" customHeight="1" thickBot="1" x14ac:dyDescent="0.25">
      <c r="A3" s="29" t="s">
        <v>131</v>
      </c>
      <c r="B3" s="187" t="str">
        <f>'ANA SAYFA'!C94</f>
        <v>SEKRETER</v>
      </c>
      <c r="C3" s="1166"/>
      <c r="D3" s="1166"/>
      <c r="E3" s="1166"/>
      <c r="F3" s="1166"/>
      <c r="G3" s="1166"/>
      <c r="H3" s="1166"/>
      <c r="J3" s="1299"/>
    </row>
    <row r="4" spans="1:11" ht="16.5" customHeight="1" x14ac:dyDescent="0.2">
      <c r="A4" s="29" t="s">
        <v>120</v>
      </c>
      <c r="B4" s="136">
        <f>'ANA SAYFA'!E94</f>
        <v>44622</v>
      </c>
      <c r="C4" s="1166"/>
      <c r="D4" s="1166"/>
      <c r="E4" s="1166"/>
      <c r="F4" s="1166"/>
      <c r="G4" s="1166"/>
      <c r="H4" s="1166"/>
    </row>
    <row r="5" spans="1:11" ht="16.5" customHeight="1" x14ac:dyDescent="0.2">
      <c r="A5" s="29" t="s">
        <v>130</v>
      </c>
      <c r="B5" s="136">
        <f>'ANA SAYFA'!F94</f>
        <v>35344</v>
      </c>
      <c r="C5" s="1166"/>
      <c r="D5" s="1166"/>
      <c r="E5" s="1166"/>
      <c r="F5" s="1166"/>
      <c r="G5" s="1166"/>
      <c r="H5" s="1166"/>
      <c r="J5" s="699"/>
      <c r="K5" s="699"/>
    </row>
    <row r="6" spans="1:11" ht="31.5" x14ac:dyDescent="0.2">
      <c r="A6" s="69" t="s">
        <v>0</v>
      </c>
      <c r="B6" s="70" t="s">
        <v>1</v>
      </c>
      <c r="C6" s="69" t="s">
        <v>2</v>
      </c>
      <c r="D6" s="71" t="s">
        <v>133</v>
      </c>
      <c r="E6" s="71" t="s">
        <v>4</v>
      </c>
      <c r="F6" s="71" t="s">
        <v>7</v>
      </c>
      <c r="G6" s="71" t="s">
        <v>6</v>
      </c>
      <c r="H6" s="71" t="s">
        <v>3</v>
      </c>
      <c r="J6" s="699"/>
      <c r="K6" s="699"/>
    </row>
    <row r="7" spans="1:11" x14ac:dyDescent="0.2">
      <c r="A7" s="35"/>
      <c r="B7" s="404">
        <v>44643</v>
      </c>
      <c r="C7" s="404">
        <v>44644</v>
      </c>
      <c r="D7" s="38">
        <v>0.33333333333333331</v>
      </c>
      <c r="E7" s="57">
        <v>0.33333333333333331</v>
      </c>
      <c r="F7" s="117" t="s">
        <v>413</v>
      </c>
      <c r="G7" s="106">
        <v>14</v>
      </c>
      <c r="H7" s="115">
        <v>1</v>
      </c>
      <c r="J7" s="190"/>
      <c r="K7" s="190"/>
    </row>
    <row r="8" spans="1:11" x14ac:dyDescent="0.2">
      <c r="A8" s="35"/>
      <c r="B8" s="404">
        <v>44879</v>
      </c>
      <c r="C8" s="404">
        <v>44880</v>
      </c>
      <c r="D8" s="38">
        <v>0.33333333333333331</v>
      </c>
      <c r="E8" s="57">
        <v>0.33333333333333331</v>
      </c>
      <c r="F8" s="117" t="s">
        <v>577</v>
      </c>
      <c r="G8" s="106">
        <v>14</v>
      </c>
      <c r="H8" s="115">
        <v>1</v>
      </c>
      <c r="J8" s="190"/>
      <c r="K8" s="190"/>
    </row>
    <row r="9" spans="1:11" x14ac:dyDescent="0.2">
      <c r="A9" s="35"/>
      <c r="B9" s="36">
        <v>45047</v>
      </c>
      <c r="C9" s="37">
        <v>45048</v>
      </c>
      <c r="D9" s="38">
        <v>0.33333333333333331</v>
      </c>
      <c r="E9" s="57">
        <v>0.33333333333333331</v>
      </c>
      <c r="F9" s="117" t="s">
        <v>745</v>
      </c>
      <c r="G9" s="106">
        <v>14</v>
      </c>
      <c r="H9" s="115">
        <v>1</v>
      </c>
      <c r="J9" s="190"/>
      <c r="K9" s="190"/>
    </row>
    <row r="10" spans="1:11" x14ac:dyDescent="0.2">
      <c r="A10" s="42"/>
      <c r="B10" s="36">
        <v>45049</v>
      </c>
      <c r="C10" s="37">
        <v>45050</v>
      </c>
      <c r="D10" s="38">
        <v>0.33333333333333331</v>
      </c>
      <c r="E10" s="57">
        <v>0.33333333333333331</v>
      </c>
      <c r="F10" s="117" t="s">
        <v>963</v>
      </c>
      <c r="G10" s="106">
        <v>14</v>
      </c>
      <c r="H10" s="115">
        <v>1</v>
      </c>
      <c r="J10" s="148"/>
      <c r="K10" s="148"/>
    </row>
    <row r="11" spans="1:11" x14ac:dyDescent="0.2">
      <c r="A11" s="42"/>
      <c r="B11" s="36">
        <v>45152</v>
      </c>
      <c r="C11" s="37">
        <v>45157</v>
      </c>
      <c r="D11" s="38">
        <v>0.33333333333333331</v>
      </c>
      <c r="E11" s="57">
        <v>0.33333333333333331</v>
      </c>
      <c r="F11" s="79"/>
      <c r="G11" s="66"/>
      <c r="H11" s="115">
        <v>5</v>
      </c>
      <c r="J11" s="148"/>
      <c r="K11" s="148"/>
    </row>
    <row r="12" spans="1:11" x14ac:dyDescent="0.2">
      <c r="A12" s="43"/>
      <c r="B12" s="36">
        <v>45223</v>
      </c>
      <c r="C12" s="44">
        <v>45224</v>
      </c>
      <c r="D12" s="86">
        <v>0.33333333333333331</v>
      </c>
      <c r="E12" s="86">
        <v>0.33333333333333331</v>
      </c>
      <c r="F12" s="81"/>
      <c r="G12" s="66"/>
      <c r="H12" s="115">
        <v>1</v>
      </c>
    </row>
    <row r="13" spans="1:11" x14ac:dyDescent="0.2">
      <c r="A13" s="47"/>
      <c r="B13" s="36">
        <v>45485</v>
      </c>
      <c r="C13" s="44">
        <v>45485</v>
      </c>
      <c r="D13" s="86">
        <v>0.33333333333333331</v>
      </c>
      <c r="E13" s="86">
        <v>0.33333333333333331</v>
      </c>
      <c r="F13" s="81"/>
      <c r="G13" s="66"/>
      <c r="H13" s="106">
        <v>1</v>
      </c>
      <c r="J13" s="190"/>
      <c r="K13" s="190"/>
    </row>
    <row r="14" spans="1:11" x14ac:dyDescent="0.2">
      <c r="A14" s="55"/>
      <c r="B14" s="58" t="s">
        <v>640</v>
      </c>
      <c r="C14" s="58" t="s">
        <v>640</v>
      </c>
      <c r="D14" s="86">
        <v>0.33333333333333331</v>
      </c>
      <c r="E14" s="86">
        <v>0.33333333333333331</v>
      </c>
      <c r="F14" s="81"/>
      <c r="G14" s="66"/>
      <c r="H14" s="66">
        <v>1</v>
      </c>
      <c r="J14" s="148"/>
      <c r="K14" s="148"/>
    </row>
    <row r="15" spans="1:11" x14ac:dyDescent="0.2">
      <c r="A15" s="147"/>
      <c r="B15" s="142">
        <v>45588</v>
      </c>
      <c r="C15" s="143">
        <v>45593</v>
      </c>
      <c r="D15" s="702">
        <v>0.33333333333333331</v>
      </c>
      <c r="E15" s="702">
        <v>0.33333333333333331</v>
      </c>
      <c r="F15" s="253"/>
      <c r="G15" s="145"/>
      <c r="H15" s="145">
        <v>4</v>
      </c>
    </row>
    <row r="16" spans="1:11" x14ac:dyDescent="0.2">
      <c r="A16" s="147"/>
      <c r="B16" s="142">
        <v>45791</v>
      </c>
      <c r="C16" s="143">
        <v>45791</v>
      </c>
      <c r="D16" s="144">
        <v>0.33333333333333331</v>
      </c>
      <c r="E16" s="144">
        <v>0.5625</v>
      </c>
      <c r="F16" s="263"/>
      <c r="G16" s="145"/>
      <c r="H16" s="237">
        <v>0.5</v>
      </c>
    </row>
    <row r="17" spans="1:8" s="699" customFormat="1" x14ac:dyDescent="0.2">
      <c r="A17" s="725"/>
      <c r="B17" s="720">
        <v>45848</v>
      </c>
      <c r="C17" s="721">
        <v>45848</v>
      </c>
      <c r="D17" s="702">
        <v>0.33333333333333331</v>
      </c>
      <c r="E17" s="702">
        <v>0.33333333333333331</v>
      </c>
      <c r="F17" s="263"/>
      <c r="G17" s="723"/>
      <c r="H17" s="723">
        <v>1</v>
      </c>
    </row>
    <row r="18" spans="1:8" s="699" customFormat="1" x14ac:dyDescent="0.2">
      <c r="A18" s="725"/>
      <c r="B18" s="720">
        <v>45899</v>
      </c>
      <c r="C18" s="721">
        <v>45908</v>
      </c>
      <c r="D18" s="702">
        <v>0.33333333333333331</v>
      </c>
      <c r="E18" s="702">
        <v>0.33333333333333331</v>
      </c>
      <c r="F18" s="263"/>
      <c r="G18" s="723"/>
      <c r="H18" s="723">
        <v>6</v>
      </c>
    </row>
    <row r="19" spans="1:8" s="699" customFormat="1" x14ac:dyDescent="0.2">
      <c r="A19" s="725"/>
      <c r="B19" s="720">
        <v>45952</v>
      </c>
      <c r="C19" s="721">
        <v>45953</v>
      </c>
      <c r="D19" s="702">
        <v>0.33333333333333331</v>
      </c>
      <c r="E19" s="702">
        <v>0.33333333333333331</v>
      </c>
      <c r="F19" s="263"/>
      <c r="G19" s="723"/>
      <c r="H19" s="723">
        <v>1</v>
      </c>
    </row>
    <row r="20" spans="1:8" s="699" customFormat="1" x14ac:dyDescent="0.2">
      <c r="A20" s="725"/>
      <c r="B20" s="720">
        <v>45993</v>
      </c>
      <c r="C20" s="721">
        <v>45994</v>
      </c>
      <c r="D20" s="722"/>
      <c r="E20" s="722"/>
      <c r="F20" s="263"/>
      <c r="G20" s="723"/>
      <c r="H20" s="723">
        <v>1</v>
      </c>
    </row>
    <row r="21" spans="1:8" s="699" customFormat="1" x14ac:dyDescent="0.2">
      <c r="A21" s="725"/>
      <c r="B21" s="720">
        <v>46095</v>
      </c>
      <c r="C21" s="721">
        <v>46097</v>
      </c>
      <c r="D21" s="722"/>
      <c r="E21" s="722"/>
      <c r="F21" s="263"/>
      <c r="G21" s="723"/>
      <c r="H21" s="723">
        <v>1</v>
      </c>
    </row>
    <row r="22" spans="1:8" s="699" customFormat="1" x14ac:dyDescent="0.2">
      <c r="A22" s="725"/>
      <c r="B22" s="720">
        <v>46115</v>
      </c>
      <c r="C22" s="721">
        <v>46116</v>
      </c>
      <c r="D22" s="722"/>
      <c r="E22" s="722"/>
      <c r="F22" s="263"/>
      <c r="G22" s="723"/>
      <c r="H22" s="723">
        <v>1</v>
      </c>
    </row>
    <row r="23" spans="1:8" s="699" customFormat="1" x14ac:dyDescent="0.2">
      <c r="A23" s="725"/>
      <c r="B23" s="720">
        <v>46157</v>
      </c>
      <c r="C23" s="721">
        <v>46160</v>
      </c>
      <c r="D23" s="722"/>
      <c r="E23" s="722"/>
      <c r="F23" s="263"/>
      <c r="G23" s="723"/>
      <c r="H23" s="723">
        <v>2</v>
      </c>
    </row>
    <row r="24" spans="1:8" s="699" customFormat="1" x14ac:dyDescent="0.2">
      <c r="A24" s="725"/>
      <c r="B24" s="720"/>
      <c r="C24" s="721"/>
      <c r="D24" s="722"/>
      <c r="E24" s="722"/>
      <c r="F24" s="263"/>
      <c r="G24" s="723"/>
      <c r="H24" s="723"/>
    </row>
    <row r="25" spans="1:8" s="699" customFormat="1" x14ac:dyDescent="0.2">
      <c r="A25" s="725"/>
      <c r="B25" s="720"/>
      <c r="C25" s="721"/>
      <c r="D25" s="722"/>
      <c r="E25" s="722"/>
      <c r="F25" s="263"/>
      <c r="G25" s="723"/>
      <c r="H25" s="723"/>
    </row>
    <row r="26" spans="1:8" s="699" customFormat="1" x14ac:dyDescent="0.2">
      <c r="A26" s="725"/>
      <c r="B26" s="720"/>
      <c r="C26" s="721"/>
      <c r="D26" s="722"/>
      <c r="E26" s="722"/>
      <c r="F26" s="263"/>
      <c r="G26" s="723"/>
      <c r="H26" s="723"/>
    </row>
    <row r="27" spans="1:8" s="699" customFormat="1" x14ac:dyDescent="0.2">
      <c r="A27" s="725"/>
      <c r="B27" s="720"/>
      <c r="C27" s="721"/>
      <c r="D27" s="722"/>
      <c r="E27" s="722"/>
      <c r="F27" s="263"/>
      <c r="G27" s="723"/>
      <c r="H27" s="723"/>
    </row>
    <row r="28" spans="1:8" s="699" customFormat="1" x14ac:dyDescent="0.2">
      <c r="A28" s="725"/>
      <c r="B28" s="720"/>
      <c r="C28" s="721"/>
      <c r="D28" s="722"/>
      <c r="E28" s="722"/>
      <c r="F28" s="263"/>
      <c r="G28" s="723"/>
      <c r="H28" s="723"/>
    </row>
    <row r="29" spans="1:8" s="699" customFormat="1" x14ac:dyDescent="0.2">
      <c r="A29" s="725"/>
      <c r="B29" s="720"/>
      <c r="C29" s="721"/>
      <c r="D29" s="722"/>
      <c r="E29" s="722"/>
      <c r="F29" s="263"/>
      <c r="G29" s="723"/>
      <c r="H29" s="723"/>
    </row>
    <row r="30" spans="1:8" s="699" customFormat="1" x14ac:dyDescent="0.2">
      <c r="A30" s="725"/>
      <c r="B30" s="720"/>
      <c r="C30" s="721"/>
      <c r="D30" s="722"/>
      <c r="E30" s="722"/>
      <c r="F30" s="263"/>
      <c r="G30" s="723"/>
      <c r="H30" s="723"/>
    </row>
    <row r="31" spans="1:8" s="699" customFormat="1" x14ac:dyDescent="0.2">
      <c r="A31" s="725"/>
      <c r="B31" s="720"/>
      <c r="C31" s="721"/>
      <c r="D31" s="722"/>
      <c r="E31" s="722"/>
      <c r="F31" s="263"/>
      <c r="G31" s="723"/>
      <c r="H31" s="723"/>
    </row>
    <row r="32" spans="1:8" s="699" customFormat="1" x14ac:dyDescent="0.2">
      <c r="A32" s="725"/>
      <c r="B32" s="720"/>
      <c r="C32" s="721"/>
      <c r="D32" s="722"/>
      <c r="E32" s="722"/>
      <c r="F32" s="263"/>
      <c r="G32" s="723"/>
      <c r="H32" s="723"/>
    </row>
    <row r="33" spans="1:8" x14ac:dyDescent="0.2">
      <c r="A33" s="147"/>
      <c r="B33" s="142"/>
      <c r="C33" s="143"/>
      <c r="D33" s="144"/>
      <c r="E33" s="144"/>
      <c r="F33" s="263"/>
      <c r="G33" s="145"/>
      <c r="H33" s="145"/>
    </row>
    <row r="34" spans="1:8" x14ac:dyDescent="0.2">
      <c r="A34" s="147"/>
      <c r="B34" s="142"/>
      <c r="C34" s="143"/>
      <c r="D34" s="144"/>
      <c r="E34" s="144"/>
      <c r="F34" s="263"/>
      <c r="G34" s="145"/>
      <c r="H34" s="145"/>
    </row>
    <row r="35" spans="1:8" x14ac:dyDescent="0.2">
      <c r="A35" s="147"/>
      <c r="B35" s="142"/>
      <c r="C35" s="143"/>
      <c r="D35" s="144"/>
      <c r="E35" s="144"/>
      <c r="F35" s="263"/>
      <c r="G35" s="145"/>
      <c r="H35" s="145"/>
    </row>
    <row r="36" spans="1:8" x14ac:dyDescent="0.2">
      <c r="A36" s="147"/>
      <c r="B36" s="142"/>
      <c r="C36" s="143"/>
      <c r="D36" s="144"/>
      <c r="E36" s="144"/>
      <c r="F36" s="263"/>
      <c r="G36" s="145"/>
      <c r="H36" s="145"/>
    </row>
    <row r="37" spans="1:8" x14ac:dyDescent="0.2">
      <c r="A37" s="147"/>
      <c r="B37" s="142"/>
      <c r="C37" s="143"/>
      <c r="D37" s="144"/>
      <c r="E37" s="144"/>
      <c r="F37" s="263"/>
      <c r="G37" s="145"/>
      <c r="H37" s="145"/>
    </row>
    <row r="38" spans="1:8" x14ac:dyDescent="0.2">
      <c r="A38" s="147"/>
      <c r="B38" s="142"/>
      <c r="C38" s="143"/>
      <c r="D38" s="144"/>
      <c r="E38" s="144"/>
      <c r="F38" s="282"/>
      <c r="G38" s="66"/>
      <c r="H38" s="145"/>
    </row>
    <row r="39" spans="1:8" x14ac:dyDescent="0.2">
      <c r="A39" s="147"/>
      <c r="B39" s="142"/>
      <c r="C39" s="143"/>
      <c r="D39" s="144"/>
      <c r="E39" s="144"/>
      <c r="F39" s="282"/>
      <c r="G39" s="66"/>
      <c r="H39" s="66"/>
    </row>
    <row r="40" spans="1:8" x14ac:dyDescent="0.2">
      <c r="A40" s="147"/>
      <c r="B40" s="142"/>
      <c r="C40" s="143"/>
      <c r="D40" s="144"/>
      <c r="E40" s="144"/>
      <c r="F40" s="282"/>
      <c r="G40" s="66"/>
      <c r="H40" s="66"/>
    </row>
    <row r="41" spans="1:8" x14ac:dyDescent="0.2">
      <c r="F41" s="277" t="s">
        <v>123</v>
      </c>
      <c r="G41" s="277">
        <f>SUM(G7:G40)</f>
        <v>56</v>
      </c>
      <c r="H41" s="697">
        <f>SUM(H7:H39)</f>
        <v>29.5</v>
      </c>
    </row>
    <row r="42" spans="1:8" x14ac:dyDescent="0.2">
      <c r="F42" s="62"/>
      <c r="G42" s="63"/>
      <c r="H42" s="63"/>
    </row>
    <row r="43" spans="1:8" ht="14.25" x14ac:dyDescent="0.2">
      <c r="F43" s="1153" t="s">
        <v>8</v>
      </c>
      <c r="G43" s="1154"/>
      <c r="H43" s="84">
        <f>G41-H41</f>
        <v>26.5</v>
      </c>
    </row>
  </sheetData>
  <mergeCells count="3">
    <mergeCell ref="F43:G43"/>
    <mergeCell ref="J1:J3"/>
    <mergeCell ref="C1:H5"/>
  </mergeCells>
  <hyperlinks>
    <hyperlink ref="J1:J3" location="'ANA SAYFA'!A1" display="ANA SAYFA"/>
  </hyperlinks>
  <pageMargins left="0.7" right="0.12" top="0.12" bottom="0.27" header="0.12" footer="0.3"/>
  <pageSetup paperSize="9" scale="72" orientation="portrait" r:id="rId1"/>
  <colBreaks count="1" manualBreakCount="1">
    <brk id="8" max="1048575" man="1"/>
  </colBreaks>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6"/>
  <sheetViews>
    <sheetView zoomScaleNormal="100" workbookViewId="0">
      <selection activeCell="J1" sqref="J1:J3"/>
    </sheetView>
  </sheetViews>
  <sheetFormatPr defaultColWidth="9.140625" defaultRowHeight="12.75" x14ac:dyDescent="0.2"/>
  <cols>
    <col min="1" max="1" width="18.5703125" style="699" bestFit="1" customWidth="1"/>
    <col min="2" max="2" width="27.28515625" style="699" customWidth="1"/>
    <col min="3" max="3" width="27.7109375" style="699" bestFit="1" customWidth="1"/>
    <col min="4" max="5" width="9.28515625" style="699" customWidth="1"/>
    <col min="6" max="6" width="20.140625" style="699" bestFit="1" customWidth="1"/>
    <col min="7" max="7" width="14.42578125" style="699" bestFit="1" customWidth="1"/>
    <col min="8" max="8" width="12.7109375" style="699" bestFit="1" customWidth="1"/>
    <col min="9" max="9" width="3.7109375" style="699" customWidth="1"/>
    <col min="10" max="10" width="11.5703125" style="699" bestFit="1" customWidth="1"/>
    <col min="11" max="16384" width="9.140625" style="699"/>
  </cols>
  <sheetData>
    <row r="1" spans="1:11" ht="15" customHeight="1" x14ac:dyDescent="0.2">
      <c r="A1" s="669" t="s">
        <v>135</v>
      </c>
      <c r="B1" s="744" t="str">
        <f>'ANA SAYFA'!B95</f>
        <v>SALİH TUĞLU</v>
      </c>
      <c r="C1" s="1166" t="s">
        <v>136</v>
      </c>
      <c r="D1" s="1166"/>
      <c r="E1" s="1166"/>
      <c r="F1" s="1166"/>
      <c r="G1" s="1166"/>
      <c r="H1" s="1166"/>
      <c r="J1" s="1228" t="s">
        <v>712</v>
      </c>
    </row>
    <row r="2" spans="1:11" ht="15" customHeight="1" x14ac:dyDescent="0.2">
      <c r="A2" s="669" t="s">
        <v>137</v>
      </c>
      <c r="B2" s="743">
        <f>'ANA SAYFA'!D95</f>
        <v>54160512958</v>
      </c>
      <c r="C2" s="1166"/>
      <c r="D2" s="1166"/>
      <c r="E2" s="1166"/>
      <c r="F2" s="1166"/>
      <c r="G2" s="1166"/>
      <c r="H2" s="1166"/>
      <c r="J2" s="1229"/>
    </row>
    <row r="3" spans="1:11" ht="15" customHeight="1" thickBot="1" x14ac:dyDescent="0.25">
      <c r="A3" s="669" t="s">
        <v>131</v>
      </c>
      <c r="B3" s="744" t="str">
        <f>'ANA SAYFA'!C95</f>
        <v>EKSKAVATÖR</v>
      </c>
      <c r="C3" s="1166"/>
      <c r="D3" s="1166"/>
      <c r="E3" s="1166"/>
      <c r="F3" s="1166"/>
      <c r="G3" s="1166"/>
      <c r="H3" s="1166"/>
      <c r="J3" s="1230"/>
    </row>
    <row r="4" spans="1:11" ht="15" customHeight="1" x14ac:dyDescent="0.2">
      <c r="A4" s="669" t="s">
        <v>120</v>
      </c>
      <c r="B4" s="716">
        <f>'ANA SAYFA'!E95</f>
        <v>45217</v>
      </c>
      <c r="C4" s="1166"/>
      <c r="D4" s="1166"/>
      <c r="E4" s="1166"/>
      <c r="F4" s="1166"/>
      <c r="G4" s="1166"/>
      <c r="H4" s="1166"/>
    </row>
    <row r="5" spans="1:11" ht="15" customHeight="1" x14ac:dyDescent="0.2">
      <c r="A5" s="669" t="s">
        <v>130</v>
      </c>
      <c r="B5" s="716">
        <f>'ANA SAYFA'!F95</f>
        <v>36039</v>
      </c>
      <c r="C5" s="1166"/>
      <c r="D5" s="1166"/>
      <c r="E5" s="1166"/>
      <c r="F5" s="1166"/>
      <c r="G5" s="1166"/>
      <c r="H5" s="1166"/>
    </row>
    <row r="6" spans="1:11" ht="31.5" x14ac:dyDescent="0.2">
      <c r="A6" s="693" t="s">
        <v>0</v>
      </c>
      <c r="B6" s="694" t="s">
        <v>1</v>
      </c>
      <c r="C6" s="693" t="s">
        <v>2</v>
      </c>
      <c r="D6" s="695" t="s">
        <v>133</v>
      </c>
      <c r="E6" s="695" t="s">
        <v>4</v>
      </c>
      <c r="F6" s="695" t="s">
        <v>7</v>
      </c>
      <c r="G6" s="695" t="s">
        <v>6</v>
      </c>
      <c r="H6" s="695" t="s">
        <v>3</v>
      </c>
    </row>
    <row r="7" spans="1:11" ht="13.5" customHeight="1" x14ac:dyDescent="0.2">
      <c r="A7" s="717"/>
      <c r="B7" s="674" t="s">
        <v>501</v>
      </c>
      <c r="C7" s="674" t="s">
        <v>501</v>
      </c>
      <c r="D7" s="676"/>
      <c r="E7" s="676"/>
      <c r="F7" s="704" t="s">
        <v>759</v>
      </c>
      <c r="G7" s="681">
        <v>14</v>
      </c>
      <c r="H7" s="677">
        <v>1</v>
      </c>
      <c r="J7" s="747"/>
      <c r="K7" s="747"/>
    </row>
    <row r="8" spans="1:11" ht="13.5" customHeight="1" x14ac:dyDescent="0.2">
      <c r="A8" s="724"/>
      <c r="B8" s="674">
        <v>45503</v>
      </c>
      <c r="C8" s="675">
        <v>45503</v>
      </c>
      <c r="D8" s="676"/>
      <c r="E8" s="687"/>
      <c r="F8" s="704" t="s">
        <v>958</v>
      </c>
      <c r="G8" s="681">
        <v>14</v>
      </c>
      <c r="H8" s="677">
        <v>1</v>
      </c>
      <c r="J8" s="726"/>
      <c r="K8" s="726"/>
    </row>
    <row r="9" spans="1:11" ht="13.5" customHeight="1" x14ac:dyDescent="0.2">
      <c r="A9" s="724"/>
      <c r="B9" s="674">
        <v>45542</v>
      </c>
      <c r="C9" s="675">
        <v>45542</v>
      </c>
      <c r="D9" s="676"/>
      <c r="E9" s="687"/>
      <c r="F9" s="681"/>
      <c r="G9" s="691"/>
      <c r="H9" s="677">
        <v>1</v>
      </c>
      <c r="J9" s="726"/>
      <c r="K9" s="726"/>
    </row>
    <row r="10" spans="1:11" ht="13.5" customHeight="1" x14ac:dyDescent="0.2">
      <c r="A10" s="719"/>
      <c r="B10" s="729">
        <v>45562</v>
      </c>
      <c r="C10" s="732">
        <v>45562</v>
      </c>
      <c r="D10" s="733"/>
      <c r="E10" s="733"/>
      <c r="F10" s="723"/>
      <c r="G10" s="723"/>
      <c r="H10" s="755">
        <v>1</v>
      </c>
    </row>
    <row r="11" spans="1:11" ht="13.5" customHeight="1" x14ac:dyDescent="0.2">
      <c r="A11" s="734"/>
      <c r="B11" s="729">
        <v>45598</v>
      </c>
      <c r="C11" s="732">
        <v>45598</v>
      </c>
      <c r="D11" s="735"/>
      <c r="E11" s="735"/>
      <c r="F11" s="723"/>
      <c r="G11" s="723"/>
      <c r="H11" s="436">
        <v>1</v>
      </c>
      <c r="J11" s="747"/>
      <c r="K11" s="747"/>
    </row>
    <row r="12" spans="1:11" ht="13.5" customHeight="1" x14ac:dyDescent="0.2">
      <c r="A12" s="725"/>
      <c r="B12" s="720">
        <v>45776</v>
      </c>
      <c r="C12" s="721">
        <v>45776</v>
      </c>
      <c r="D12" s="735"/>
      <c r="E12" s="735"/>
      <c r="F12" s="723"/>
      <c r="G12" s="723"/>
      <c r="H12" s="237">
        <v>1</v>
      </c>
      <c r="J12" s="726"/>
      <c r="K12" s="726"/>
    </row>
    <row r="13" spans="1:11" ht="13.5" customHeight="1" x14ac:dyDescent="0.2">
      <c r="A13" s="725"/>
      <c r="B13" s="720">
        <v>45780</v>
      </c>
      <c r="C13" s="721">
        <v>45781</v>
      </c>
      <c r="D13" s="735"/>
      <c r="E13" s="735"/>
      <c r="F13" s="723"/>
      <c r="G13" s="723"/>
      <c r="H13" s="237">
        <v>1</v>
      </c>
      <c r="J13" s="726"/>
      <c r="K13" s="726"/>
    </row>
    <row r="14" spans="1:11" ht="13.5" customHeight="1" x14ac:dyDescent="0.2">
      <c r="A14" s="725"/>
      <c r="B14" s="720">
        <v>45824</v>
      </c>
      <c r="C14" s="721">
        <v>45824</v>
      </c>
      <c r="D14" s="735"/>
      <c r="E14" s="735"/>
      <c r="F14" s="723"/>
      <c r="G14" s="723"/>
      <c r="H14" s="237">
        <v>1</v>
      </c>
    </row>
    <row r="15" spans="1:11" ht="13.5" customHeight="1" x14ac:dyDescent="0.2">
      <c r="A15" s="725"/>
      <c r="B15" s="720">
        <v>45829</v>
      </c>
      <c r="C15" s="721">
        <v>45829</v>
      </c>
      <c r="D15" s="722"/>
      <c r="E15" s="722"/>
      <c r="F15" s="718"/>
      <c r="G15" s="723"/>
      <c r="H15" s="237">
        <v>1</v>
      </c>
    </row>
    <row r="16" spans="1:11" ht="13.5" customHeight="1" x14ac:dyDescent="0.2">
      <c r="A16" s="725"/>
      <c r="B16" s="720">
        <v>45876</v>
      </c>
      <c r="C16" s="721">
        <v>45877</v>
      </c>
      <c r="D16" s="722">
        <v>0.33333333333333331</v>
      </c>
      <c r="E16" s="722">
        <v>0.33333333333333331</v>
      </c>
      <c r="F16" s="718"/>
      <c r="G16" s="723"/>
      <c r="H16" s="237">
        <v>1</v>
      </c>
    </row>
    <row r="17" spans="1:8" ht="13.5" customHeight="1" x14ac:dyDescent="0.2">
      <c r="A17" s="725"/>
      <c r="B17" s="720">
        <v>45934</v>
      </c>
      <c r="C17" s="721">
        <v>45937</v>
      </c>
      <c r="D17" s="722"/>
      <c r="E17" s="722"/>
      <c r="F17" s="718"/>
      <c r="G17" s="723"/>
      <c r="H17" s="237">
        <v>2</v>
      </c>
    </row>
    <row r="18" spans="1:8" ht="13.5" customHeight="1" x14ac:dyDescent="0.2">
      <c r="A18" s="725"/>
      <c r="B18" s="720">
        <v>46181</v>
      </c>
      <c r="C18" s="721">
        <v>46185</v>
      </c>
      <c r="D18" s="722"/>
      <c r="E18" s="722"/>
      <c r="F18" s="718"/>
      <c r="G18" s="723"/>
      <c r="H18" s="237">
        <v>4</v>
      </c>
    </row>
    <row r="19" spans="1:8" ht="13.5" customHeight="1" x14ac:dyDescent="0.2">
      <c r="A19" s="725"/>
      <c r="B19" s="720"/>
      <c r="C19" s="721"/>
      <c r="D19" s="722"/>
      <c r="E19" s="722"/>
      <c r="F19" s="718"/>
      <c r="G19" s="723"/>
      <c r="H19" s="237"/>
    </row>
    <row r="20" spans="1:8" ht="13.5" customHeight="1" x14ac:dyDescent="0.2">
      <c r="A20" s="725"/>
      <c r="B20" s="720"/>
      <c r="C20" s="721"/>
      <c r="D20" s="722"/>
      <c r="E20" s="722"/>
      <c r="F20" s="718"/>
      <c r="G20" s="723"/>
      <c r="H20" s="237"/>
    </row>
    <row r="21" spans="1:8" ht="13.5" customHeight="1" x14ac:dyDescent="0.2">
      <c r="A21" s="725"/>
      <c r="B21" s="720"/>
      <c r="C21" s="721"/>
      <c r="D21" s="722"/>
      <c r="E21" s="722"/>
      <c r="F21" s="683"/>
      <c r="G21" s="691"/>
      <c r="H21" s="237"/>
    </row>
    <row r="22" spans="1:8" ht="13.5" customHeight="1" x14ac:dyDescent="0.2">
      <c r="A22" s="725"/>
      <c r="B22" s="720"/>
      <c r="C22" s="721"/>
      <c r="D22" s="722"/>
      <c r="E22" s="722"/>
      <c r="F22" s="683"/>
      <c r="G22" s="691"/>
      <c r="H22" s="80"/>
    </row>
    <row r="23" spans="1:8" ht="13.5" customHeight="1" x14ac:dyDescent="0.2">
      <c r="A23" s="725"/>
      <c r="B23" s="720"/>
      <c r="C23" s="721"/>
      <c r="D23" s="722"/>
      <c r="E23" s="722"/>
      <c r="F23" s="683"/>
      <c r="G23" s="691"/>
      <c r="H23" s="80"/>
    </row>
    <row r="24" spans="1:8" ht="13.5" customHeight="1" x14ac:dyDescent="0.2">
      <c r="F24" s="696" t="s">
        <v>123</v>
      </c>
      <c r="G24" s="697">
        <f>SUM(G7:G23)</f>
        <v>28</v>
      </c>
      <c r="H24" s="697">
        <f>SUM(H7:H23)</f>
        <v>16</v>
      </c>
    </row>
    <row r="25" spans="1:8" ht="13.5" customHeight="1" x14ac:dyDescent="0.2">
      <c r="F25" s="689"/>
      <c r="G25" s="690"/>
      <c r="H25" s="690"/>
    </row>
    <row r="26" spans="1:8" ht="13.5" customHeight="1" x14ac:dyDescent="0.2">
      <c r="F26" s="1153" t="s">
        <v>8</v>
      </c>
      <c r="G26" s="1154"/>
      <c r="H26" s="701">
        <f>G24-H24</f>
        <v>12</v>
      </c>
    </row>
  </sheetData>
  <mergeCells count="3">
    <mergeCell ref="F26:G26"/>
    <mergeCell ref="J1:J3"/>
    <mergeCell ref="C1:H5"/>
  </mergeCells>
  <hyperlinks>
    <hyperlink ref="J1:J3" location="'ANA SAYFA'!A1" display="ANA SAYFA"/>
  </hyperlinks>
  <pageMargins left="0.25" right="0.25" top="0.28999999999999998" bottom="0.75" header="0.3" footer="0.3"/>
  <pageSetup paperSize="9" scale="72" orientation="portrait" verticalDpi="300"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
  <sheetViews>
    <sheetView zoomScaleNormal="100" workbookViewId="0">
      <selection activeCell="J1" sqref="J1:J3"/>
    </sheetView>
  </sheetViews>
  <sheetFormatPr defaultColWidth="9.140625" defaultRowHeight="12.75" x14ac:dyDescent="0.2"/>
  <cols>
    <col min="1" max="1" width="18.5703125" style="699" bestFit="1" customWidth="1"/>
    <col min="2" max="2" width="28.140625" style="699" customWidth="1"/>
    <col min="3" max="3" width="24.5703125" style="699" bestFit="1" customWidth="1"/>
    <col min="4" max="5" width="9.28515625" style="699" bestFit="1" customWidth="1"/>
    <col min="6" max="6" width="20.7109375" style="699" customWidth="1"/>
    <col min="7" max="7" width="13.7109375" style="699" bestFit="1" customWidth="1"/>
    <col min="8" max="8" width="12.7109375" style="699" bestFit="1" customWidth="1"/>
    <col min="9" max="9" width="8.140625" style="699" customWidth="1"/>
    <col min="10" max="10" width="12.5703125" style="699" customWidth="1"/>
    <col min="11" max="11" width="4" style="699" customWidth="1"/>
    <col min="12" max="12" width="5.7109375" style="699" customWidth="1"/>
    <col min="13" max="16384" width="9.140625" style="699"/>
  </cols>
  <sheetData>
    <row r="1" spans="1:11" ht="13.5" customHeight="1" x14ac:dyDescent="0.2">
      <c r="A1" s="669" t="s">
        <v>135</v>
      </c>
      <c r="B1" s="744" t="str">
        <f>'ANA SAYFA'!B96</f>
        <v>İDRİS GÖK</v>
      </c>
      <c r="C1" s="1166" t="s">
        <v>136</v>
      </c>
      <c r="D1" s="1166"/>
      <c r="E1" s="1166"/>
      <c r="F1" s="1166"/>
      <c r="G1" s="1166"/>
      <c r="H1" s="1166"/>
      <c r="J1" s="1300" t="s">
        <v>712</v>
      </c>
    </row>
    <row r="2" spans="1:11" ht="13.5" customHeight="1" x14ac:dyDescent="0.2">
      <c r="A2" s="669" t="s">
        <v>137</v>
      </c>
      <c r="B2" s="743">
        <f>'ANA SAYFA'!D96</f>
        <v>15692782370</v>
      </c>
      <c r="C2" s="1166"/>
      <c r="D2" s="1166"/>
      <c r="E2" s="1166"/>
      <c r="F2" s="1166"/>
      <c r="G2" s="1166"/>
      <c r="H2" s="1166"/>
      <c r="J2" s="1301"/>
    </row>
    <row r="3" spans="1:11" ht="13.5" customHeight="1" thickBot="1" x14ac:dyDescent="0.25">
      <c r="A3" s="669" t="s">
        <v>131</v>
      </c>
      <c r="B3" s="744" t="str">
        <f>'ANA SAYFA'!C96</f>
        <v>TIR-ÇEKİCİ ŞOFÖRÜ</v>
      </c>
      <c r="C3" s="1166"/>
      <c r="D3" s="1166"/>
      <c r="E3" s="1166"/>
      <c r="F3" s="1166"/>
      <c r="G3" s="1166"/>
      <c r="H3" s="1166"/>
      <c r="J3" s="1302"/>
    </row>
    <row r="4" spans="1:11" ht="19.149999999999999" customHeight="1" x14ac:dyDescent="0.2">
      <c r="A4" s="669" t="s">
        <v>120</v>
      </c>
      <c r="B4" s="716">
        <f>'ANA SAYFA'!E96</f>
        <v>45301</v>
      </c>
      <c r="C4" s="1166"/>
      <c r="D4" s="1166"/>
      <c r="E4" s="1166"/>
      <c r="F4" s="1166"/>
      <c r="G4" s="1166"/>
      <c r="H4" s="1166"/>
    </row>
    <row r="5" spans="1:11" ht="13.5" customHeight="1" x14ac:dyDescent="0.2">
      <c r="A5" s="669" t="s">
        <v>130</v>
      </c>
      <c r="B5" s="716">
        <f>'ANA SAYFA'!F96</f>
        <v>18297</v>
      </c>
      <c r="C5" s="1166"/>
      <c r="D5" s="1166"/>
      <c r="E5" s="1166"/>
      <c r="F5" s="1166"/>
      <c r="G5" s="1166"/>
      <c r="H5" s="1166"/>
    </row>
    <row r="6" spans="1:11" ht="31.5" x14ac:dyDescent="0.2">
      <c r="A6" s="693" t="s">
        <v>0</v>
      </c>
      <c r="B6" s="694" t="s">
        <v>1</v>
      </c>
      <c r="C6" s="693" t="s">
        <v>2</v>
      </c>
      <c r="D6" s="695" t="s">
        <v>133</v>
      </c>
      <c r="E6" s="695" t="s">
        <v>4</v>
      </c>
      <c r="F6" s="695" t="s">
        <v>7</v>
      </c>
      <c r="G6" s="695" t="s">
        <v>389</v>
      </c>
      <c r="H6" s="695" t="s">
        <v>3</v>
      </c>
    </row>
    <row r="7" spans="1:11" x14ac:dyDescent="0.2">
      <c r="A7" s="833"/>
      <c r="B7" s="780">
        <v>44568</v>
      </c>
      <c r="C7" s="781">
        <v>44586</v>
      </c>
      <c r="D7" s="676">
        <v>0.33333333333333331</v>
      </c>
      <c r="E7" s="676">
        <v>0.33333333333333331</v>
      </c>
      <c r="F7" s="736" t="s">
        <v>388</v>
      </c>
      <c r="G7" s="681">
        <v>20</v>
      </c>
      <c r="H7" s="834">
        <v>16</v>
      </c>
      <c r="I7" s="829" t="s">
        <v>438</v>
      </c>
      <c r="J7" s="747"/>
      <c r="K7" s="747"/>
    </row>
    <row r="8" spans="1:11" x14ac:dyDescent="0.2">
      <c r="A8" s="833"/>
      <c r="B8" s="780">
        <v>44960</v>
      </c>
      <c r="C8" s="781">
        <v>44977</v>
      </c>
      <c r="D8" s="676">
        <v>0.33333333333333331</v>
      </c>
      <c r="E8" s="676">
        <v>0.33333333333333331</v>
      </c>
      <c r="F8" s="704" t="s">
        <v>441</v>
      </c>
      <c r="G8" s="681">
        <v>20</v>
      </c>
      <c r="H8" s="834">
        <v>15</v>
      </c>
      <c r="I8" s="829" t="s">
        <v>438</v>
      </c>
      <c r="J8" s="747"/>
      <c r="K8" s="747"/>
    </row>
    <row r="9" spans="1:11" x14ac:dyDescent="0.2">
      <c r="A9" s="673"/>
      <c r="B9" s="674">
        <v>45052</v>
      </c>
      <c r="C9" s="675">
        <v>45054</v>
      </c>
      <c r="D9" s="676">
        <v>0.33333333333333331</v>
      </c>
      <c r="E9" s="676">
        <v>0.33333333333333331</v>
      </c>
      <c r="F9" s="704" t="s">
        <v>626</v>
      </c>
      <c r="G9" s="691">
        <v>20</v>
      </c>
      <c r="H9" s="677"/>
      <c r="J9" s="747"/>
      <c r="K9" s="747"/>
    </row>
    <row r="10" spans="1:11" ht="12.75" customHeight="1" x14ac:dyDescent="0.2">
      <c r="A10" s="678"/>
      <c r="B10" s="1181" t="s">
        <v>723</v>
      </c>
      <c r="C10" s="1303"/>
      <c r="D10" s="1303"/>
      <c r="E10" s="1182"/>
      <c r="F10" s="681"/>
      <c r="G10" s="802">
        <v>1</v>
      </c>
      <c r="H10" s="677"/>
      <c r="J10" s="726"/>
      <c r="K10" s="726"/>
    </row>
    <row r="11" spans="1:11" x14ac:dyDescent="0.2">
      <c r="A11" s="678"/>
      <c r="B11" s="674">
        <v>46183</v>
      </c>
      <c r="C11" s="674">
        <v>46187</v>
      </c>
      <c r="D11" s="674"/>
      <c r="E11" s="674"/>
      <c r="F11" s="681"/>
      <c r="G11" s="691"/>
      <c r="H11" s="677">
        <v>4</v>
      </c>
      <c r="J11" s="726"/>
      <c r="K11" s="726"/>
    </row>
    <row r="12" spans="1:11" x14ac:dyDescent="0.2">
      <c r="A12" s="678"/>
      <c r="B12" s="674"/>
      <c r="C12" s="674"/>
      <c r="D12" s="674"/>
      <c r="E12" s="674"/>
      <c r="F12" s="681"/>
      <c r="G12" s="691"/>
      <c r="H12" s="677"/>
      <c r="J12" s="726"/>
      <c r="K12" s="726"/>
    </row>
    <row r="13" spans="1:11" x14ac:dyDescent="0.2">
      <c r="A13" s="678"/>
      <c r="B13" s="674"/>
      <c r="C13" s="674"/>
      <c r="D13" s="674"/>
      <c r="E13" s="674"/>
      <c r="F13" s="681"/>
      <c r="G13" s="691"/>
      <c r="H13" s="677"/>
      <c r="J13" s="726"/>
      <c r="K13" s="726"/>
    </row>
    <row r="14" spans="1:11" x14ac:dyDescent="0.2">
      <c r="A14" s="678"/>
      <c r="B14" s="674"/>
      <c r="C14" s="674"/>
      <c r="D14" s="674"/>
      <c r="E14" s="674"/>
      <c r="F14" s="681"/>
      <c r="G14" s="691"/>
      <c r="H14" s="677"/>
      <c r="J14" s="726"/>
      <c r="K14" s="726"/>
    </row>
    <row r="15" spans="1:11" x14ac:dyDescent="0.2">
      <c r="A15" s="678"/>
      <c r="B15" s="674"/>
      <c r="C15" s="674"/>
      <c r="D15" s="674"/>
      <c r="E15" s="674"/>
      <c r="F15" s="681"/>
      <c r="G15" s="691"/>
      <c r="H15" s="677"/>
      <c r="J15" s="726"/>
      <c r="K15" s="726"/>
    </row>
    <row r="16" spans="1:11" x14ac:dyDescent="0.2">
      <c r="A16" s="678"/>
      <c r="B16" s="674"/>
      <c r="C16" s="674"/>
      <c r="D16" s="674"/>
      <c r="E16" s="674"/>
      <c r="F16" s="681"/>
      <c r="G16" s="691"/>
      <c r="H16" s="677"/>
      <c r="J16" s="726"/>
      <c r="K16" s="726"/>
    </row>
    <row r="17" spans="1:11" x14ac:dyDescent="0.2">
      <c r="A17" s="678"/>
      <c r="B17" s="674"/>
      <c r="C17" s="675"/>
      <c r="D17" s="676"/>
      <c r="E17" s="687"/>
      <c r="F17" s="681"/>
      <c r="G17" s="691"/>
      <c r="H17" s="677"/>
      <c r="J17" s="726"/>
      <c r="K17" s="726"/>
    </row>
    <row r="18" spans="1:11" x14ac:dyDescent="0.2">
      <c r="A18" s="679"/>
      <c r="B18" s="674"/>
      <c r="C18" s="680"/>
      <c r="D18" s="702"/>
      <c r="E18" s="702"/>
      <c r="F18" s="691"/>
      <c r="G18" s="691"/>
      <c r="H18" s="677"/>
    </row>
    <row r="19" spans="1:11" x14ac:dyDescent="0.2">
      <c r="A19" s="682"/>
      <c r="B19" s="674"/>
      <c r="C19" s="680"/>
      <c r="D19" s="676"/>
      <c r="E19" s="676"/>
      <c r="F19" s="691"/>
      <c r="G19" s="691"/>
      <c r="H19" s="681"/>
      <c r="J19" s="747"/>
      <c r="K19" s="747"/>
    </row>
    <row r="20" spans="1:11" x14ac:dyDescent="0.2">
      <c r="A20" s="685"/>
      <c r="B20" s="688"/>
      <c r="C20" s="686"/>
      <c r="D20" s="676"/>
      <c r="E20" s="676"/>
      <c r="F20" s="691"/>
      <c r="G20" s="691"/>
      <c r="H20" s="691"/>
      <c r="J20" s="726"/>
      <c r="K20" s="726"/>
    </row>
    <row r="21" spans="1:11" x14ac:dyDescent="0.2">
      <c r="A21" s="685"/>
      <c r="B21" s="688"/>
      <c r="C21" s="686"/>
      <c r="D21" s="676"/>
      <c r="E21" s="676"/>
      <c r="F21" s="691"/>
      <c r="G21" s="691"/>
      <c r="H21" s="691"/>
    </row>
    <row r="22" spans="1:11" x14ac:dyDescent="0.2">
      <c r="A22" s="685"/>
      <c r="B22" s="688"/>
      <c r="C22" s="686"/>
      <c r="D22" s="687"/>
      <c r="E22" s="687"/>
      <c r="F22" s="683"/>
      <c r="G22" s="691"/>
      <c r="H22" s="692"/>
    </row>
    <row r="23" spans="1:11" x14ac:dyDescent="0.2">
      <c r="A23" s="685"/>
      <c r="B23" s="688"/>
      <c r="C23" s="686"/>
      <c r="D23" s="687"/>
      <c r="E23" s="687"/>
      <c r="F23" s="683"/>
      <c r="G23" s="691"/>
      <c r="H23" s="691"/>
    </row>
    <row r="24" spans="1:11" x14ac:dyDescent="0.2">
      <c r="A24" s="685"/>
      <c r="B24" s="688"/>
      <c r="C24" s="686"/>
      <c r="D24" s="687"/>
      <c r="E24" s="687"/>
      <c r="F24" s="683"/>
      <c r="G24" s="691"/>
      <c r="H24" s="691"/>
    </row>
    <row r="25" spans="1:11" x14ac:dyDescent="0.2">
      <c r="A25" s="685"/>
      <c r="B25" s="688"/>
      <c r="C25" s="686"/>
      <c r="D25" s="687"/>
      <c r="E25" s="687"/>
      <c r="F25" s="683"/>
      <c r="G25" s="691"/>
      <c r="H25" s="691"/>
    </row>
    <row r="26" spans="1:11" x14ac:dyDescent="0.2">
      <c r="A26" s="685"/>
      <c r="B26" s="688"/>
      <c r="C26" s="686"/>
      <c r="D26" s="687"/>
      <c r="E26" s="687"/>
      <c r="F26" s="683"/>
      <c r="G26" s="691"/>
      <c r="H26" s="691"/>
    </row>
    <row r="27" spans="1:11" x14ac:dyDescent="0.2">
      <c r="A27" s="685"/>
      <c r="B27" s="688"/>
      <c r="C27" s="686"/>
      <c r="D27" s="687"/>
      <c r="E27" s="687"/>
      <c r="F27" s="683"/>
      <c r="G27" s="691"/>
      <c r="H27" s="691"/>
    </row>
    <row r="28" spans="1:11" x14ac:dyDescent="0.2">
      <c r="A28" s="685"/>
      <c r="B28" s="688"/>
      <c r="C28" s="686"/>
      <c r="D28" s="687"/>
      <c r="E28" s="687"/>
      <c r="F28" s="683"/>
      <c r="G28" s="691"/>
      <c r="H28" s="691"/>
    </row>
    <row r="29" spans="1:11" x14ac:dyDescent="0.2">
      <c r="A29" s="685"/>
      <c r="B29" s="688"/>
      <c r="C29" s="686"/>
      <c r="D29" s="687"/>
      <c r="E29" s="687"/>
      <c r="F29" s="683"/>
      <c r="G29" s="691"/>
      <c r="H29" s="692"/>
    </row>
    <row r="30" spans="1:11" x14ac:dyDescent="0.2">
      <c r="A30" s="685"/>
      <c r="B30" s="688"/>
      <c r="C30" s="686"/>
      <c r="D30" s="687"/>
      <c r="E30" s="687"/>
      <c r="F30" s="683"/>
      <c r="G30" s="691"/>
      <c r="H30" s="691"/>
    </row>
    <row r="31" spans="1:11" x14ac:dyDescent="0.2">
      <c r="F31" s="696" t="s">
        <v>123</v>
      </c>
      <c r="G31" s="697">
        <f>SUM(G7:G22)</f>
        <v>61</v>
      </c>
      <c r="H31" s="697">
        <f>SUM(H7:H29)</f>
        <v>35</v>
      </c>
    </row>
    <row r="32" spans="1:11" x14ac:dyDescent="0.2">
      <c r="F32" s="689"/>
      <c r="G32" s="690"/>
      <c r="H32" s="690"/>
    </row>
    <row r="33" spans="1:8" ht="14.25" x14ac:dyDescent="0.2">
      <c r="F33" s="1153" t="s">
        <v>8</v>
      </c>
      <c r="G33" s="1154"/>
      <c r="H33" s="701">
        <f>G31-H31</f>
        <v>26</v>
      </c>
    </row>
    <row r="35" spans="1:8" ht="15" x14ac:dyDescent="0.2">
      <c r="A35" s="830" t="s">
        <v>724</v>
      </c>
    </row>
    <row r="36" spans="1:8" ht="14.25" x14ac:dyDescent="0.2">
      <c r="A36" s="831" t="s">
        <v>726</v>
      </c>
      <c r="B36" s="832" t="s">
        <v>725</v>
      </c>
    </row>
    <row r="37" spans="1:8" ht="14.25" x14ac:dyDescent="0.2">
      <c r="A37" s="831" t="s">
        <v>727</v>
      </c>
      <c r="B37" s="832" t="s">
        <v>728</v>
      </c>
    </row>
    <row r="38" spans="1:8" x14ac:dyDescent="0.2">
      <c r="A38" s="763"/>
    </row>
  </sheetData>
  <mergeCells count="4">
    <mergeCell ref="J1:J3"/>
    <mergeCell ref="C1:H5"/>
    <mergeCell ref="F33:G33"/>
    <mergeCell ref="B10:E10"/>
  </mergeCells>
  <hyperlinks>
    <hyperlink ref="J1:J3" location="'ANA SAYFA'!A1" display="ANA SAYFA"/>
  </hyperlinks>
  <pageMargins left="0.7" right="0.12" top="0.28999999999999998" bottom="0.75" header="0.3" footer="0.3"/>
  <pageSetup paperSize="9" scale="67" orientation="portrait" r:id="rId1"/>
  <colBreaks count="1" manualBreakCount="1">
    <brk id="9" max="1048575" man="1"/>
  </colBreaks>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zoomScaleNormal="100" workbookViewId="0">
      <selection activeCell="J1" sqref="J1:J3"/>
    </sheetView>
  </sheetViews>
  <sheetFormatPr defaultColWidth="9.140625" defaultRowHeight="12.75" x14ac:dyDescent="0.2"/>
  <cols>
    <col min="1" max="1" width="18.140625" style="82" bestFit="1" customWidth="1"/>
    <col min="2" max="2" width="28.5703125" style="82" bestFit="1" customWidth="1"/>
    <col min="3" max="3" width="30.140625" style="82" bestFit="1" customWidth="1"/>
    <col min="4" max="5" width="9.28515625" style="82" bestFit="1" customWidth="1"/>
    <col min="6" max="6" width="20.140625" style="82" bestFit="1" customWidth="1"/>
    <col min="7" max="7" width="14.28515625" style="82" bestFit="1" customWidth="1"/>
    <col min="8" max="8" width="12.5703125" style="82" bestFit="1" customWidth="1"/>
    <col min="9" max="9" width="3.28515625" style="82" customWidth="1"/>
    <col min="10" max="10" width="11.7109375" style="82" customWidth="1"/>
    <col min="11" max="16384" width="9.140625" style="82"/>
  </cols>
  <sheetData>
    <row r="1" spans="1:11" ht="14.25" customHeight="1" x14ac:dyDescent="0.2">
      <c r="A1" s="29" t="s">
        <v>135</v>
      </c>
      <c r="B1" s="216" t="str">
        <f>'ANA SAYFA'!B97</f>
        <v>ERSİN KÖLE</v>
      </c>
      <c r="C1" s="1166" t="s">
        <v>136</v>
      </c>
      <c r="D1" s="1166"/>
      <c r="E1" s="1166"/>
      <c r="F1" s="1166"/>
      <c r="G1" s="1166"/>
      <c r="H1" s="1166"/>
      <c r="J1" s="1157" t="s">
        <v>712</v>
      </c>
    </row>
    <row r="2" spans="1:11" ht="14.25" customHeight="1" x14ac:dyDescent="0.2">
      <c r="A2" s="29" t="s">
        <v>137</v>
      </c>
      <c r="B2" s="217">
        <f>'ANA SAYFA'!D97</f>
        <v>41572588572</v>
      </c>
      <c r="C2" s="1166"/>
      <c r="D2" s="1166"/>
      <c r="E2" s="1166"/>
      <c r="F2" s="1166"/>
      <c r="G2" s="1166"/>
      <c r="H2" s="1166"/>
      <c r="J2" s="1158"/>
    </row>
    <row r="3" spans="1:11" ht="14.25" customHeight="1" thickBot="1" x14ac:dyDescent="0.25">
      <c r="A3" s="29" t="s">
        <v>131</v>
      </c>
      <c r="B3" s="216" t="str">
        <f>'ANA SAYFA'!C97</f>
        <v>TIR-ÇEKİCİ ŞOFÖRÜ</v>
      </c>
      <c r="C3" s="1166"/>
      <c r="D3" s="1166"/>
      <c r="E3" s="1166"/>
      <c r="F3" s="1166"/>
      <c r="G3" s="1166"/>
      <c r="H3" s="1166"/>
      <c r="J3" s="1159"/>
    </row>
    <row r="4" spans="1:11" ht="14.25" customHeight="1" x14ac:dyDescent="0.2">
      <c r="A4" s="29" t="s">
        <v>120</v>
      </c>
      <c r="B4" s="218">
        <f>'ANA SAYFA'!E97</f>
        <v>44802</v>
      </c>
      <c r="C4" s="1166"/>
      <c r="D4" s="1166"/>
      <c r="E4" s="1166"/>
      <c r="F4" s="1166"/>
      <c r="G4" s="1166"/>
      <c r="H4" s="1166"/>
    </row>
    <row r="5" spans="1:11" ht="14.25" customHeight="1" x14ac:dyDescent="0.2">
      <c r="A5" s="29" t="s">
        <v>130</v>
      </c>
      <c r="B5" s="218">
        <f>'ANA SAYFA'!F97</f>
        <v>32068</v>
      </c>
      <c r="C5" s="1166"/>
      <c r="D5" s="1166"/>
      <c r="E5" s="1166"/>
      <c r="F5" s="1166"/>
      <c r="G5" s="1166"/>
      <c r="H5" s="1166"/>
    </row>
    <row r="6" spans="1:11" ht="31.5" x14ac:dyDescent="0.2">
      <c r="A6" s="565" t="s">
        <v>0</v>
      </c>
      <c r="B6" s="70" t="s">
        <v>1</v>
      </c>
      <c r="C6" s="565" t="s">
        <v>2</v>
      </c>
      <c r="D6" s="71" t="s">
        <v>133</v>
      </c>
      <c r="E6" s="71" t="s">
        <v>4</v>
      </c>
      <c r="F6" s="71" t="s">
        <v>7</v>
      </c>
      <c r="G6" s="71" t="s">
        <v>6</v>
      </c>
      <c r="H6" s="71" t="s">
        <v>3</v>
      </c>
    </row>
    <row r="7" spans="1:11" s="113" customFormat="1" ht="14.45" customHeight="1" x14ac:dyDescent="0.15">
      <c r="A7" s="375"/>
      <c r="B7" s="378" t="s">
        <v>453</v>
      </c>
      <c r="C7" s="378" t="s">
        <v>454</v>
      </c>
      <c r="D7" s="38">
        <v>0.33333333333333331</v>
      </c>
      <c r="E7" s="57">
        <v>0.33333333333333331</v>
      </c>
      <c r="F7" s="136" t="s">
        <v>434</v>
      </c>
      <c r="G7" s="564">
        <v>14</v>
      </c>
      <c r="H7" s="238">
        <v>1</v>
      </c>
      <c r="J7" s="376"/>
      <c r="K7" s="376"/>
    </row>
    <row r="8" spans="1:11" x14ac:dyDescent="0.2">
      <c r="A8" s="139"/>
      <c r="B8" s="155">
        <v>45055</v>
      </c>
      <c r="C8" s="156">
        <v>45056</v>
      </c>
      <c r="D8" s="168">
        <v>0.5</v>
      </c>
      <c r="E8" s="168">
        <v>0.33333333333333331</v>
      </c>
      <c r="F8" s="136" t="s">
        <v>601</v>
      </c>
      <c r="G8" s="564">
        <v>14</v>
      </c>
      <c r="H8" s="239">
        <v>0.5</v>
      </c>
      <c r="J8" s="190"/>
      <c r="K8" s="190"/>
    </row>
    <row r="9" spans="1:11" x14ac:dyDescent="0.2">
      <c r="A9" s="146"/>
      <c r="B9" s="155">
        <v>45103</v>
      </c>
      <c r="C9" s="156">
        <v>45110</v>
      </c>
      <c r="D9" s="168">
        <v>0.33333333333333331</v>
      </c>
      <c r="E9" s="144">
        <v>0.33333333333333331</v>
      </c>
      <c r="F9" s="189" t="s">
        <v>800</v>
      </c>
      <c r="G9" s="191">
        <v>14</v>
      </c>
      <c r="H9" s="238">
        <v>1</v>
      </c>
      <c r="J9" s="148"/>
      <c r="K9" s="148"/>
    </row>
    <row r="10" spans="1:11" x14ac:dyDescent="0.2">
      <c r="A10" s="146"/>
      <c r="B10" s="155">
        <v>45133</v>
      </c>
      <c r="C10" s="156">
        <v>45135</v>
      </c>
      <c r="D10" s="168">
        <v>0.33333333333333331</v>
      </c>
      <c r="E10" s="144">
        <v>0.33333333333333331</v>
      </c>
      <c r="F10" s="191"/>
      <c r="G10" s="145"/>
      <c r="H10" s="238">
        <v>2</v>
      </c>
      <c r="J10" s="148"/>
      <c r="K10" s="148"/>
    </row>
    <row r="11" spans="1:11" x14ac:dyDescent="0.2">
      <c r="A11" s="141"/>
      <c r="B11" s="155">
        <v>45223</v>
      </c>
      <c r="C11" s="158">
        <v>45226</v>
      </c>
      <c r="D11" s="168">
        <v>0.33333333333333331</v>
      </c>
      <c r="E11" s="144">
        <v>0.33333333333333331</v>
      </c>
      <c r="F11" s="145"/>
      <c r="G11" s="145"/>
      <c r="H11" s="238">
        <v>3</v>
      </c>
    </row>
    <row r="12" spans="1:11" x14ac:dyDescent="0.2">
      <c r="A12" s="160"/>
      <c r="B12" s="155">
        <v>45304</v>
      </c>
      <c r="C12" s="158">
        <v>45310</v>
      </c>
      <c r="D12" s="168">
        <v>0.33333333333333331</v>
      </c>
      <c r="E12" s="168">
        <v>0.33333333333333331</v>
      </c>
      <c r="F12" s="145"/>
      <c r="G12" s="145"/>
      <c r="H12" s="191">
        <v>5</v>
      </c>
      <c r="J12" s="190"/>
      <c r="K12" s="190"/>
    </row>
    <row r="13" spans="1:11" x14ac:dyDescent="0.2">
      <c r="A13" s="147"/>
      <c r="B13" s="142">
        <v>45342</v>
      </c>
      <c r="C13" s="143">
        <v>45343</v>
      </c>
      <c r="D13" s="168">
        <v>0.33333333333333331</v>
      </c>
      <c r="E13" s="168">
        <v>0.33333333333333331</v>
      </c>
      <c r="F13" s="145"/>
      <c r="G13" s="145"/>
      <c r="H13" s="191">
        <v>1</v>
      </c>
      <c r="J13" s="148"/>
      <c r="K13" s="148"/>
    </row>
    <row r="14" spans="1:11" x14ac:dyDescent="0.2">
      <c r="A14" s="147"/>
      <c r="B14" s="142">
        <v>45444</v>
      </c>
      <c r="C14" s="142">
        <v>45444</v>
      </c>
      <c r="D14" s="168">
        <v>0.33333333333333331</v>
      </c>
      <c r="E14" s="168">
        <v>0.33333333333333331</v>
      </c>
      <c r="F14" s="145"/>
      <c r="G14" s="145"/>
      <c r="H14" s="145">
        <v>1</v>
      </c>
    </row>
    <row r="15" spans="1:11" x14ac:dyDescent="0.2">
      <c r="A15" s="147"/>
      <c r="B15" s="142">
        <v>45455</v>
      </c>
      <c r="C15" s="143">
        <v>45457</v>
      </c>
      <c r="D15" s="168">
        <v>0.33333333333333331</v>
      </c>
      <c r="E15" s="168">
        <v>0.33333333333333331</v>
      </c>
      <c r="F15" s="140"/>
      <c r="G15" s="145"/>
      <c r="H15" s="242">
        <v>3</v>
      </c>
    </row>
    <row r="16" spans="1:11" x14ac:dyDescent="0.2">
      <c r="A16" s="147"/>
      <c r="B16" s="142">
        <v>45532</v>
      </c>
      <c r="C16" s="143">
        <v>45532</v>
      </c>
      <c r="D16" s="168">
        <v>0.33333333333333331</v>
      </c>
      <c r="E16" s="168">
        <v>0.33333333333333331</v>
      </c>
      <c r="F16" s="140"/>
      <c r="G16" s="145"/>
      <c r="H16" s="145">
        <v>1</v>
      </c>
    </row>
    <row r="17" spans="1:8" x14ac:dyDescent="0.2">
      <c r="A17" s="147"/>
      <c r="B17" s="142">
        <v>45544</v>
      </c>
      <c r="C17" s="143">
        <v>45548</v>
      </c>
      <c r="D17" s="168">
        <v>0.33333333333333331</v>
      </c>
      <c r="E17" s="168">
        <v>0.33333333333333331</v>
      </c>
      <c r="F17" s="140"/>
      <c r="G17" s="145"/>
      <c r="H17" s="145">
        <v>5</v>
      </c>
    </row>
    <row r="18" spans="1:8" x14ac:dyDescent="0.2">
      <c r="A18" s="147"/>
      <c r="B18" s="142">
        <v>45607</v>
      </c>
      <c r="C18" s="143">
        <v>45609</v>
      </c>
      <c r="D18" s="168">
        <v>0.33333333333333331</v>
      </c>
      <c r="E18" s="168">
        <v>0.33333333333333331</v>
      </c>
      <c r="F18" s="140"/>
      <c r="G18" s="145"/>
      <c r="H18" s="145">
        <v>3</v>
      </c>
    </row>
    <row r="19" spans="1:8" x14ac:dyDescent="0.2">
      <c r="A19" s="147"/>
      <c r="B19" s="142">
        <v>45610</v>
      </c>
      <c r="C19" s="143">
        <v>45611</v>
      </c>
      <c r="D19" s="168">
        <v>0.33333333333333331</v>
      </c>
      <c r="E19" s="168">
        <v>0.33333333333333331</v>
      </c>
      <c r="F19" s="140"/>
      <c r="G19" s="145"/>
      <c r="H19" s="145">
        <v>2</v>
      </c>
    </row>
    <row r="20" spans="1:8" x14ac:dyDescent="0.2">
      <c r="A20" s="147"/>
      <c r="B20" s="142">
        <v>45764</v>
      </c>
      <c r="C20" s="143">
        <v>45764</v>
      </c>
      <c r="D20" s="735">
        <v>0.33333333333333331</v>
      </c>
      <c r="E20" s="735">
        <v>0.33333333333333331</v>
      </c>
      <c r="F20" s="140"/>
      <c r="G20" s="145"/>
      <c r="H20" s="145">
        <v>1</v>
      </c>
    </row>
    <row r="21" spans="1:8" x14ac:dyDescent="0.2">
      <c r="A21" s="147"/>
      <c r="B21" s="142">
        <v>45847</v>
      </c>
      <c r="C21" s="143">
        <v>45853</v>
      </c>
      <c r="D21" s="144">
        <v>0.33333333333333331</v>
      </c>
      <c r="E21" s="144">
        <v>0.33333333333333331</v>
      </c>
      <c r="F21" s="140"/>
      <c r="G21" s="145"/>
      <c r="H21" s="145">
        <v>5</v>
      </c>
    </row>
    <row r="22" spans="1:8" x14ac:dyDescent="0.2">
      <c r="A22" s="147"/>
      <c r="B22" s="142">
        <v>45884</v>
      </c>
      <c r="C22" s="143">
        <v>45887</v>
      </c>
      <c r="D22" s="144">
        <v>0.33333333333333331</v>
      </c>
      <c r="E22" s="144">
        <v>0.33333333333333331</v>
      </c>
      <c r="F22" s="140"/>
      <c r="G22" s="145"/>
      <c r="H22" s="145">
        <v>2</v>
      </c>
    </row>
    <row r="23" spans="1:8" x14ac:dyDescent="0.2">
      <c r="A23" s="147"/>
      <c r="B23" s="142">
        <v>45969</v>
      </c>
      <c r="C23" s="143">
        <v>45973</v>
      </c>
      <c r="D23" s="722">
        <v>0.33333333333333331</v>
      </c>
      <c r="E23" s="722">
        <v>0.33333333333333331</v>
      </c>
      <c r="F23" s="140"/>
      <c r="G23" s="145"/>
      <c r="H23" s="145">
        <v>3</v>
      </c>
    </row>
    <row r="24" spans="1:8" x14ac:dyDescent="0.2">
      <c r="A24" s="147"/>
      <c r="B24" s="142">
        <v>46059</v>
      </c>
      <c r="C24" s="143">
        <v>46060</v>
      </c>
      <c r="D24" s="144"/>
      <c r="E24" s="144"/>
      <c r="F24" s="140"/>
      <c r="G24" s="145"/>
      <c r="H24" s="145">
        <v>1</v>
      </c>
    </row>
    <row r="25" spans="1:8" x14ac:dyDescent="0.2">
      <c r="A25" s="147"/>
      <c r="B25" s="142">
        <v>46195</v>
      </c>
      <c r="C25" s="143">
        <v>46199</v>
      </c>
      <c r="D25" s="144"/>
      <c r="E25" s="144"/>
      <c r="F25" s="140"/>
      <c r="G25" s="145"/>
      <c r="H25" s="145">
        <v>5</v>
      </c>
    </row>
    <row r="26" spans="1:8" x14ac:dyDescent="0.2">
      <c r="A26" s="147"/>
      <c r="B26" s="142"/>
      <c r="C26" s="143"/>
      <c r="D26" s="144"/>
      <c r="E26" s="144"/>
      <c r="F26" s="140"/>
      <c r="G26" s="145"/>
      <c r="H26" s="145"/>
    </row>
    <row r="27" spans="1:8" x14ac:dyDescent="0.2">
      <c r="A27" s="147"/>
      <c r="B27" s="142"/>
      <c r="C27" s="143"/>
      <c r="D27" s="144"/>
      <c r="E27" s="144"/>
      <c r="F27" s="140"/>
      <c r="G27" s="145"/>
      <c r="H27" s="145"/>
    </row>
    <row r="28" spans="1:8" x14ac:dyDescent="0.2">
      <c r="A28" s="147"/>
      <c r="B28" s="142"/>
      <c r="C28" s="143"/>
      <c r="D28" s="144"/>
      <c r="E28" s="144"/>
      <c r="F28" s="140"/>
      <c r="G28" s="145"/>
      <c r="H28" s="145"/>
    </row>
    <row r="29" spans="1:8" x14ac:dyDescent="0.2">
      <c r="A29" s="147"/>
      <c r="B29" s="142"/>
      <c r="C29" s="143"/>
      <c r="D29" s="144"/>
      <c r="E29" s="144"/>
      <c r="F29" s="140"/>
      <c r="G29" s="145"/>
      <c r="H29" s="145"/>
    </row>
    <row r="30" spans="1:8" x14ac:dyDescent="0.2">
      <c r="A30" s="147"/>
      <c r="B30" s="142"/>
      <c r="C30" s="143"/>
      <c r="D30" s="144"/>
      <c r="E30" s="144"/>
      <c r="F30" s="140"/>
      <c r="G30" s="145"/>
      <c r="H30" s="145"/>
    </row>
    <row r="31" spans="1:8" x14ac:dyDescent="0.2">
      <c r="A31" s="147"/>
      <c r="B31" s="142"/>
      <c r="C31" s="143"/>
      <c r="D31" s="144"/>
      <c r="E31" s="144"/>
      <c r="F31" s="140"/>
      <c r="G31" s="145"/>
      <c r="H31" s="145"/>
    </row>
    <row r="32" spans="1:8" x14ac:dyDescent="0.2">
      <c r="A32" s="147"/>
      <c r="B32" s="142"/>
      <c r="C32" s="143"/>
      <c r="D32" s="144"/>
      <c r="E32" s="144"/>
      <c r="F32" s="140"/>
      <c r="G32" s="145"/>
      <c r="H32" s="145"/>
    </row>
    <row r="33" spans="1:8" x14ac:dyDescent="0.2">
      <c r="A33" s="147"/>
      <c r="B33" s="142"/>
      <c r="C33" s="143"/>
      <c r="D33" s="144"/>
      <c r="E33" s="144"/>
      <c r="F33" s="140"/>
      <c r="G33" s="145"/>
      <c r="H33" s="145"/>
    </row>
    <row r="34" spans="1:8" x14ac:dyDescent="0.2">
      <c r="A34" s="147"/>
      <c r="B34" s="142"/>
      <c r="C34" s="143"/>
      <c r="D34" s="144"/>
      <c r="E34" s="144"/>
      <c r="F34" s="140"/>
      <c r="G34" s="145"/>
      <c r="H34" s="145"/>
    </row>
    <row r="35" spans="1:8" x14ac:dyDescent="0.2">
      <c r="A35" s="147"/>
      <c r="B35" s="142"/>
      <c r="C35" s="143"/>
      <c r="D35" s="144"/>
      <c r="E35" s="144"/>
      <c r="F35" s="140"/>
      <c r="G35" s="145"/>
      <c r="H35" s="145"/>
    </row>
    <row r="36" spans="1:8" x14ac:dyDescent="0.2">
      <c r="A36" s="147"/>
      <c r="B36" s="142"/>
      <c r="C36" s="143"/>
      <c r="D36" s="144"/>
      <c r="E36" s="144"/>
      <c r="F36" s="48"/>
      <c r="G36" s="66"/>
      <c r="H36" s="145"/>
    </row>
    <row r="37" spans="1:8" x14ac:dyDescent="0.2">
      <c r="A37" s="147"/>
      <c r="B37" s="142"/>
      <c r="C37" s="143"/>
      <c r="D37" s="144"/>
      <c r="E37" s="144"/>
      <c r="F37" s="48"/>
      <c r="G37" s="66"/>
      <c r="H37" s="68"/>
    </row>
    <row r="38" spans="1:8" x14ac:dyDescent="0.2">
      <c r="A38" s="147"/>
      <c r="B38" s="142"/>
      <c r="C38" s="143"/>
      <c r="D38" s="144"/>
      <c r="E38" s="144"/>
      <c r="F38" s="48"/>
      <c r="G38" s="66"/>
      <c r="H38" s="66"/>
    </row>
    <row r="39" spans="1:8" x14ac:dyDescent="0.2">
      <c r="F39" s="567" t="s">
        <v>123</v>
      </c>
      <c r="G39" s="77">
        <f>SUM(G7:G15)</f>
        <v>42</v>
      </c>
      <c r="H39" s="77">
        <f>SUM(H8:H37)</f>
        <v>44.5</v>
      </c>
    </row>
    <row r="40" spans="1:8" x14ac:dyDescent="0.2">
      <c r="F40" s="62"/>
      <c r="G40" s="63"/>
      <c r="H40" s="63"/>
    </row>
    <row r="41" spans="1:8" ht="14.25" x14ac:dyDescent="0.2">
      <c r="F41" s="1153" t="s">
        <v>8</v>
      </c>
      <c r="G41" s="1154"/>
      <c r="H41" s="84">
        <f>G39-H39</f>
        <v>-2.5</v>
      </c>
    </row>
  </sheetData>
  <mergeCells count="3">
    <mergeCell ref="F41:G41"/>
    <mergeCell ref="C1:H5"/>
    <mergeCell ref="J1:J3"/>
  </mergeCells>
  <hyperlinks>
    <hyperlink ref="J1:J3" location="'ANA SAYFA'!A1" display="ANA SAYFA"/>
  </hyperlinks>
  <pageMargins left="0.76" right="0.12" top="0.31" bottom="0.75" header="0.3" footer="0.3"/>
  <pageSetup paperSize="9" scale="65" orientation="portrait" r:id="rId1"/>
  <colBreaks count="1" manualBreakCount="1">
    <brk id="8" max="1048575" man="1"/>
  </colBreaks>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6"/>
  <sheetViews>
    <sheetView zoomScaleNormal="100" workbookViewId="0">
      <selection activeCell="J1" sqref="J1:J3"/>
    </sheetView>
  </sheetViews>
  <sheetFormatPr defaultColWidth="9.140625" defaultRowHeight="12.75" x14ac:dyDescent="0.2"/>
  <cols>
    <col min="1" max="1" width="18.140625" style="82" bestFit="1" customWidth="1"/>
    <col min="2" max="2" width="28.28515625" style="82" bestFit="1" customWidth="1"/>
    <col min="3" max="3" width="27.5703125" style="82" bestFit="1" customWidth="1"/>
    <col min="4" max="5" width="9.28515625" style="82" bestFit="1" customWidth="1"/>
    <col min="6" max="6" width="16.28515625" style="82" bestFit="1" customWidth="1"/>
    <col min="7" max="7" width="14.42578125" style="82" bestFit="1" customWidth="1"/>
    <col min="8" max="8" width="12.7109375" style="82" bestFit="1" customWidth="1"/>
    <col min="9" max="9" width="4.140625" style="82" customWidth="1"/>
    <col min="10" max="10" width="11.42578125" style="82" bestFit="1" customWidth="1"/>
    <col min="11" max="16384" width="9.140625" style="82"/>
  </cols>
  <sheetData>
    <row r="1" spans="1:14" ht="15.75" customHeight="1" x14ac:dyDescent="0.2">
      <c r="A1" s="29" t="s">
        <v>135</v>
      </c>
      <c r="B1" s="216" t="str">
        <f>'ANA SAYFA'!B98</f>
        <v xml:space="preserve">HAYDAR AKASLAN </v>
      </c>
      <c r="C1" s="1166" t="s">
        <v>136</v>
      </c>
      <c r="D1" s="1166"/>
      <c r="E1" s="1166"/>
      <c r="F1" s="1166"/>
      <c r="G1" s="1166"/>
      <c r="H1" s="1166"/>
      <c r="J1" s="1157" t="s">
        <v>712</v>
      </c>
    </row>
    <row r="2" spans="1:14" ht="15.75" customHeight="1" x14ac:dyDescent="0.2">
      <c r="A2" s="29" t="s">
        <v>137</v>
      </c>
      <c r="B2" s="217">
        <f>'ANA SAYFA'!D98</f>
        <v>58597346568</v>
      </c>
      <c r="C2" s="1166"/>
      <c r="D2" s="1166"/>
      <c r="E2" s="1166"/>
      <c r="F2" s="1166"/>
      <c r="G2" s="1166"/>
      <c r="H2" s="1166"/>
      <c r="J2" s="1158"/>
    </row>
    <row r="3" spans="1:14" ht="15.75" customHeight="1" thickBot="1" x14ac:dyDescent="0.25">
      <c r="A3" s="29" t="s">
        <v>131</v>
      </c>
      <c r="B3" s="216" t="str">
        <f>'ANA SAYFA'!C98</f>
        <v>BULDOZER OPERATÖRÜ</v>
      </c>
      <c r="C3" s="1166"/>
      <c r="D3" s="1166"/>
      <c r="E3" s="1166"/>
      <c r="F3" s="1166"/>
      <c r="G3" s="1166"/>
      <c r="H3" s="1166"/>
      <c r="J3" s="1159"/>
    </row>
    <row r="4" spans="1:14" ht="15.75" customHeight="1" x14ac:dyDescent="0.2">
      <c r="A4" s="29" t="s">
        <v>120</v>
      </c>
      <c r="B4" s="218">
        <f>'ANA SAYFA'!E98</f>
        <v>45468</v>
      </c>
      <c r="C4" s="1166"/>
      <c r="D4" s="1166"/>
      <c r="E4" s="1166"/>
      <c r="F4" s="1166"/>
      <c r="G4" s="1166"/>
      <c r="H4" s="1166"/>
    </row>
    <row r="5" spans="1:14" ht="15.75" customHeight="1" x14ac:dyDescent="0.2">
      <c r="A5" s="29" t="s">
        <v>130</v>
      </c>
      <c r="B5" s="218">
        <f>'ANA SAYFA'!F98</f>
        <v>23126</v>
      </c>
      <c r="C5" s="1166"/>
      <c r="D5" s="1166"/>
      <c r="E5" s="1166"/>
      <c r="F5" s="1166"/>
      <c r="G5" s="1166"/>
      <c r="H5" s="1166"/>
    </row>
    <row r="6" spans="1:14" ht="31.5" x14ac:dyDescent="0.2">
      <c r="A6" s="69" t="s">
        <v>0</v>
      </c>
      <c r="B6" s="70" t="s">
        <v>1</v>
      </c>
      <c r="C6" s="69" t="s">
        <v>2</v>
      </c>
      <c r="D6" s="71" t="s">
        <v>133</v>
      </c>
      <c r="E6" s="71" t="s">
        <v>4</v>
      </c>
      <c r="F6" s="71" t="s">
        <v>7</v>
      </c>
      <c r="G6" s="71" t="s">
        <v>6</v>
      </c>
      <c r="H6" s="71" t="s">
        <v>3</v>
      </c>
    </row>
    <row r="7" spans="1:14" x14ac:dyDescent="0.2">
      <c r="A7" s="139"/>
      <c r="B7" s="155">
        <v>45499</v>
      </c>
      <c r="C7" s="156">
        <v>45499</v>
      </c>
      <c r="D7" s="168">
        <v>0.33333333333333331</v>
      </c>
      <c r="E7" s="168">
        <v>0.33333333333333331</v>
      </c>
      <c r="F7" s="136"/>
      <c r="G7" s="191"/>
      <c r="H7" s="238">
        <v>1</v>
      </c>
      <c r="J7" s="190"/>
    </row>
    <row r="8" spans="1:14" x14ac:dyDescent="0.2">
      <c r="A8" s="146"/>
      <c r="B8" s="155">
        <v>45533</v>
      </c>
      <c r="C8" s="155">
        <v>45533</v>
      </c>
      <c r="D8" s="168">
        <v>0.33333333333333331</v>
      </c>
      <c r="E8" s="168">
        <v>0.33333333333333331</v>
      </c>
      <c r="F8" s="191"/>
      <c r="G8" s="145"/>
      <c r="H8" s="238">
        <v>1</v>
      </c>
      <c r="K8" s="357"/>
      <c r="L8" s="356"/>
      <c r="M8" s="356"/>
      <c r="N8" s="356"/>
    </row>
    <row r="9" spans="1:14" x14ac:dyDescent="0.2">
      <c r="A9" s="146"/>
      <c r="B9" s="1253" t="s">
        <v>632</v>
      </c>
      <c r="C9" s="1254"/>
      <c r="D9" s="168"/>
      <c r="E9" s="144"/>
      <c r="F9" s="191"/>
      <c r="G9" s="145"/>
      <c r="H9" s="238">
        <v>-2</v>
      </c>
      <c r="K9" s="357"/>
      <c r="L9" s="356"/>
      <c r="M9" s="356"/>
      <c r="N9" s="356"/>
    </row>
    <row r="10" spans="1:14" x14ac:dyDescent="0.2">
      <c r="A10" s="160"/>
      <c r="B10" s="155">
        <v>45565</v>
      </c>
      <c r="C10" s="158">
        <v>45565</v>
      </c>
      <c r="D10" s="168">
        <v>0.33333333333333331</v>
      </c>
      <c r="E10" s="168">
        <v>0.33333333333333331</v>
      </c>
      <c r="F10" s="145"/>
      <c r="G10" s="145"/>
      <c r="H10" s="240">
        <v>1</v>
      </c>
      <c r="J10" s="190"/>
    </row>
    <row r="11" spans="1:14" x14ac:dyDescent="0.2">
      <c r="A11" s="141"/>
      <c r="B11" s="155">
        <v>45848</v>
      </c>
      <c r="C11" s="158">
        <v>45852</v>
      </c>
      <c r="D11" s="159"/>
      <c r="E11" s="159"/>
      <c r="F11" s="145"/>
      <c r="G11" s="145"/>
      <c r="H11" s="238">
        <v>4</v>
      </c>
    </row>
    <row r="12" spans="1:14" x14ac:dyDescent="0.2">
      <c r="A12" s="160"/>
      <c r="B12" s="155">
        <v>45989</v>
      </c>
      <c r="C12" s="158">
        <v>45992</v>
      </c>
      <c r="D12" s="159"/>
      <c r="E12" s="159"/>
      <c r="F12" s="145"/>
      <c r="G12" s="145"/>
      <c r="H12" s="240">
        <v>2</v>
      </c>
      <c r="J12" s="190"/>
    </row>
    <row r="13" spans="1:14" x14ac:dyDescent="0.2">
      <c r="A13" s="160"/>
      <c r="B13" s="155">
        <v>46129</v>
      </c>
      <c r="C13" s="158">
        <v>46132</v>
      </c>
      <c r="D13" s="159"/>
      <c r="E13" s="159"/>
      <c r="F13" s="145"/>
      <c r="G13" s="145"/>
      <c r="H13" s="240">
        <v>2</v>
      </c>
      <c r="J13" s="190"/>
    </row>
    <row r="14" spans="1:14" x14ac:dyDescent="0.2">
      <c r="A14" s="147"/>
      <c r="B14" s="142"/>
      <c r="C14" s="143"/>
      <c r="D14" s="168"/>
      <c r="E14" s="168"/>
      <c r="F14" s="145"/>
      <c r="G14" s="145"/>
      <c r="H14" s="241"/>
    </row>
    <row r="15" spans="1:14" x14ac:dyDescent="0.2">
      <c r="A15" s="147"/>
      <c r="B15" s="142"/>
      <c r="C15" s="143"/>
      <c r="D15" s="144"/>
      <c r="E15" s="144"/>
      <c r="F15" s="140"/>
      <c r="G15" s="145"/>
      <c r="H15" s="241"/>
    </row>
    <row r="16" spans="1:14" x14ac:dyDescent="0.2">
      <c r="A16" s="147"/>
      <c r="B16" s="142"/>
      <c r="C16" s="143"/>
      <c r="D16" s="144"/>
      <c r="E16" s="144"/>
      <c r="F16" s="140"/>
      <c r="G16" s="145"/>
      <c r="H16" s="241"/>
    </row>
    <row r="17" spans="1:8" x14ac:dyDescent="0.2">
      <c r="A17" s="147"/>
      <c r="B17" s="142"/>
      <c r="C17" s="143"/>
      <c r="D17" s="144"/>
      <c r="E17" s="144"/>
      <c r="F17" s="140"/>
      <c r="G17" s="145"/>
      <c r="H17" s="241"/>
    </row>
    <row r="18" spans="1:8" x14ac:dyDescent="0.2">
      <c r="A18" s="147"/>
      <c r="B18" s="142"/>
      <c r="C18" s="143"/>
      <c r="D18" s="144"/>
      <c r="E18" s="144"/>
      <c r="F18" s="140"/>
      <c r="G18" s="145"/>
      <c r="H18" s="241"/>
    </row>
    <row r="19" spans="1:8" x14ac:dyDescent="0.2">
      <c r="A19" s="147"/>
      <c r="B19" s="142"/>
      <c r="C19" s="143"/>
      <c r="D19" s="144"/>
      <c r="E19" s="144"/>
      <c r="F19" s="140"/>
      <c r="G19" s="145"/>
      <c r="H19" s="241"/>
    </row>
    <row r="20" spans="1:8" x14ac:dyDescent="0.2">
      <c r="A20" s="147"/>
      <c r="B20" s="142"/>
      <c r="C20" s="143"/>
      <c r="D20" s="144"/>
      <c r="E20" s="144"/>
      <c r="F20" s="140"/>
      <c r="G20" s="145"/>
      <c r="H20" s="241"/>
    </row>
    <row r="21" spans="1:8" x14ac:dyDescent="0.2">
      <c r="A21" s="147"/>
      <c r="B21" s="142"/>
      <c r="C21" s="143"/>
      <c r="D21" s="144"/>
      <c r="E21" s="144"/>
      <c r="F21" s="48"/>
      <c r="G21" s="66"/>
      <c r="H21" s="241"/>
    </row>
    <row r="22" spans="1:8" x14ac:dyDescent="0.2">
      <c r="A22" s="147"/>
      <c r="B22" s="142"/>
      <c r="C22" s="143"/>
      <c r="D22" s="144"/>
      <c r="E22" s="144"/>
      <c r="F22" s="48"/>
      <c r="G22" s="66"/>
      <c r="H22" s="633"/>
    </row>
    <row r="23" spans="1:8" x14ac:dyDescent="0.2">
      <c r="A23" s="147"/>
      <c r="B23" s="142"/>
      <c r="C23" s="143"/>
      <c r="D23" s="144"/>
      <c r="E23" s="144"/>
      <c r="F23" s="48"/>
      <c r="G23" s="66"/>
      <c r="H23" s="633"/>
    </row>
    <row r="24" spans="1:8" x14ac:dyDescent="0.2">
      <c r="F24" s="277" t="s">
        <v>123</v>
      </c>
      <c r="G24" s="77">
        <f>SUM(G7:G15)</f>
        <v>0</v>
      </c>
      <c r="H24" s="108">
        <f>SUM(H7:H22)</f>
        <v>9</v>
      </c>
    </row>
    <row r="25" spans="1:8" x14ac:dyDescent="0.2">
      <c r="F25" s="62"/>
      <c r="G25" s="63"/>
      <c r="H25" s="645"/>
    </row>
    <row r="26" spans="1:8" ht="14.25" x14ac:dyDescent="0.2">
      <c r="F26" s="1153" t="s">
        <v>8</v>
      </c>
      <c r="G26" s="1154"/>
      <c r="H26" s="109">
        <f>G24-H24</f>
        <v>-9</v>
      </c>
    </row>
  </sheetData>
  <mergeCells count="4">
    <mergeCell ref="F26:G26"/>
    <mergeCell ref="B9:C9"/>
    <mergeCell ref="C1:H5"/>
    <mergeCell ref="J1:J3"/>
  </mergeCells>
  <hyperlinks>
    <hyperlink ref="J1:J3" location="'ANA SAYFA'!A1" display="ANA SAYFA"/>
  </hyperlinks>
  <pageMargins left="0.7" right="0.12" top="0.28000000000000003" bottom="0.75" header="0.3" footer="0.3"/>
  <pageSetup paperSize="9" scale="71" orientation="portrait"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zoomScaleNormal="100" workbookViewId="0">
      <pane ySplit="6" topLeftCell="A7" activePane="bottomLeft" state="frozen"/>
      <selection pane="bottomLeft" activeCell="J1" sqref="J1:J3"/>
    </sheetView>
  </sheetViews>
  <sheetFormatPr defaultColWidth="9.140625" defaultRowHeight="12.75" x14ac:dyDescent="0.2"/>
  <cols>
    <col min="1" max="1" width="18.140625" style="82" bestFit="1" customWidth="1"/>
    <col min="2" max="2" width="26.42578125" style="82" bestFit="1" customWidth="1"/>
    <col min="3" max="3" width="28.7109375" style="82" bestFit="1" customWidth="1"/>
    <col min="4" max="5" width="9.28515625" style="82" bestFit="1" customWidth="1"/>
    <col min="6" max="6" width="22.85546875" style="82" bestFit="1" customWidth="1"/>
    <col min="7" max="7" width="14.42578125" style="82" bestFit="1" customWidth="1"/>
    <col min="8" max="8" width="12.7109375" style="82" bestFit="1" customWidth="1"/>
    <col min="9" max="9" width="3.7109375" style="82" customWidth="1"/>
    <col min="10" max="10" width="11.42578125" style="82" customWidth="1"/>
    <col min="11" max="16384" width="9.140625" style="82"/>
  </cols>
  <sheetData>
    <row r="1" spans="1:11" ht="15.75" customHeight="1" x14ac:dyDescent="0.2">
      <c r="A1" s="29" t="s">
        <v>135</v>
      </c>
      <c r="B1" s="216" t="str">
        <f>'ANA SAYFA'!B99</f>
        <v>ŞÜKRÜ KOCATEPE</v>
      </c>
      <c r="C1" s="1166" t="s">
        <v>136</v>
      </c>
      <c r="D1" s="1166"/>
      <c r="E1" s="1166"/>
      <c r="F1" s="1166"/>
      <c r="G1" s="1166"/>
      <c r="H1" s="1166"/>
      <c r="J1" s="1157" t="s">
        <v>712</v>
      </c>
    </row>
    <row r="2" spans="1:11" ht="15.75" customHeight="1" x14ac:dyDescent="0.2">
      <c r="A2" s="29" t="s">
        <v>137</v>
      </c>
      <c r="B2" s="217">
        <f>'ANA SAYFA'!D99</f>
        <v>11981918604</v>
      </c>
      <c r="C2" s="1166"/>
      <c r="D2" s="1166"/>
      <c r="E2" s="1166"/>
      <c r="F2" s="1166"/>
      <c r="G2" s="1166"/>
      <c r="H2" s="1166"/>
      <c r="J2" s="1158"/>
    </row>
    <row r="3" spans="1:11" ht="15.75" customHeight="1" thickBot="1" x14ac:dyDescent="0.25">
      <c r="A3" s="29" t="s">
        <v>131</v>
      </c>
      <c r="B3" s="216" t="str">
        <f>'ANA SAYFA'!C99</f>
        <v>OPERATÖR</v>
      </c>
      <c r="C3" s="1166"/>
      <c r="D3" s="1166"/>
      <c r="E3" s="1166"/>
      <c r="F3" s="1166"/>
      <c r="G3" s="1166"/>
      <c r="H3" s="1166"/>
      <c r="J3" s="1159"/>
    </row>
    <row r="4" spans="1:11" ht="15.75" customHeight="1" x14ac:dyDescent="0.2">
      <c r="A4" s="29" t="s">
        <v>120</v>
      </c>
      <c r="B4" s="218">
        <f>'ANA SAYFA'!E99</f>
        <v>44853</v>
      </c>
      <c r="C4" s="1166"/>
      <c r="D4" s="1166"/>
      <c r="E4" s="1166"/>
      <c r="F4" s="1166"/>
      <c r="G4" s="1166"/>
      <c r="H4" s="1166"/>
    </row>
    <row r="5" spans="1:11" ht="15.75" customHeight="1" x14ac:dyDescent="0.2">
      <c r="A5" s="29" t="s">
        <v>130</v>
      </c>
      <c r="B5" s="218">
        <f>'ANA SAYFA'!F99</f>
        <v>28856</v>
      </c>
      <c r="C5" s="1166"/>
      <c r="D5" s="1166"/>
      <c r="E5" s="1166"/>
      <c r="F5" s="1166"/>
      <c r="G5" s="1166"/>
      <c r="H5" s="1166"/>
      <c r="J5" s="699"/>
      <c r="K5" s="699"/>
    </row>
    <row r="6" spans="1:11" ht="31.5" x14ac:dyDescent="0.2">
      <c r="A6" s="69" t="s">
        <v>0</v>
      </c>
      <c r="B6" s="70" t="s">
        <v>1</v>
      </c>
      <c r="C6" s="69" t="s">
        <v>2</v>
      </c>
      <c r="D6" s="71" t="s">
        <v>133</v>
      </c>
      <c r="E6" s="71" t="s">
        <v>4</v>
      </c>
      <c r="F6" s="71" t="s">
        <v>7</v>
      </c>
      <c r="G6" s="71" t="s">
        <v>6</v>
      </c>
      <c r="H6" s="71" t="s">
        <v>3</v>
      </c>
      <c r="J6" s="699"/>
      <c r="K6" s="699"/>
    </row>
    <row r="7" spans="1:11" x14ac:dyDescent="0.2">
      <c r="A7" s="139"/>
      <c r="B7" s="155">
        <v>45056</v>
      </c>
      <c r="C7" s="156">
        <v>45058</v>
      </c>
      <c r="D7" s="168">
        <v>0.33333333333333331</v>
      </c>
      <c r="E7" s="168">
        <v>0.33333333333333331</v>
      </c>
      <c r="F7" s="136" t="s">
        <v>627</v>
      </c>
      <c r="G7" s="191">
        <v>14</v>
      </c>
      <c r="H7" s="755">
        <v>2</v>
      </c>
      <c r="J7" s="190"/>
      <c r="K7" s="190"/>
    </row>
    <row r="8" spans="1:11" x14ac:dyDescent="0.2">
      <c r="A8" s="146"/>
      <c r="B8" s="155">
        <v>45189</v>
      </c>
      <c r="C8" s="156">
        <v>45190</v>
      </c>
      <c r="D8" s="168">
        <v>0.33333333333333331</v>
      </c>
      <c r="E8" s="168">
        <v>0.33333333333333331</v>
      </c>
      <c r="F8" s="136" t="s">
        <v>653</v>
      </c>
      <c r="G8" s="191">
        <v>14</v>
      </c>
      <c r="H8" s="755">
        <v>1</v>
      </c>
      <c r="J8" s="148"/>
      <c r="K8" s="148"/>
    </row>
    <row r="9" spans="1:11" x14ac:dyDescent="0.2">
      <c r="A9" s="146"/>
      <c r="B9" s="155">
        <v>45195</v>
      </c>
      <c r="C9" s="156">
        <v>45196</v>
      </c>
      <c r="D9" s="168">
        <v>0.33333333333333331</v>
      </c>
      <c r="E9" s="168">
        <v>0.33333333333333331</v>
      </c>
      <c r="F9" s="191" t="s">
        <v>910</v>
      </c>
      <c r="G9" s="145">
        <v>14</v>
      </c>
      <c r="H9" s="755">
        <v>1</v>
      </c>
      <c r="J9" s="148"/>
      <c r="K9" s="148"/>
    </row>
    <row r="10" spans="1:11" x14ac:dyDescent="0.2">
      <c r="A10" s="141"/>
      <c r="B10" s="155">
        <v>45208</v>
      </c>
      <c r="C10" s="158">
        <v>45209</v>
      </c>
      <c r="D10" s="168">
        <v>0.33333333333333331</v>
      </c>
      <c r="E10" s="168">
        <v>0.33333333333333331</v>
      </c>
      <c r="F10" s="191"/>
      <c r="G10" s="145"/>
      <c r="H10" s="755">
        <v>1</v>
      </c>
    </row>
    <row r="11" spans="1:11" x14ac:dyDescent="0.2">
      <c r="A11" s="160"/>
      <c r="B11" s="155">
        <v>45218</v>
      </c>
      <c r="C11" s="158">
        <v>45219</v>
      </c>
      <c r="D11" s="168">
        <v>0.33333333333333331</v>
      </c>
      <c r="E11" s="168">
        <v>0.33333333333333331</v>
      </c>
      <c r="F11" s="191"/>
      <c r="G11" s="145"/>
      <c r="H11" s="755">
        <v>1</v>
      </c>
      <c r="J11" s="190"/>
      <c r="K11" s="190"/>
    </row>
    <row r="12" spans="1:11" x14ac:dyDescent="0.2">
      <c r="A12" s="147"/>
      <c r="B12" s="142">
        <v>45344</v>
      </c>
      <c r="C12" s="143">
        <v>45346</v>
      </c>
      <c r="D12" s="168">
        <v>0.33333333333333331</v>
      </c>
      <c r="E12" s="168">
        <v>0.33333333333333331</v>
      </c>
      <c r="F12" s="145"/>
      <c r="G12" s="145"/>
      <c r="H12" s="237">
        <v>2</v>
      </c>
      <c r="J12" s="148"/>
      <c r="K12" s="148"/>
    </row>
    <row r="13" spans="1:11" x14ac:dyDescent="0.2">
      <c r="A13" s="147"/>
      <c r="B13" s="142">
        <v>45598</v>
      </c>
      <c r="C13" s="143">
        <v>45598</v>
      </c>
      <c r="D13" s="168"/>
      <c r="E13" s="168"/>
      <c r="F13" s="145"/>
      <c r="G13" s="145"/>
      <c r="H13" s="237">
        <v>1</v>
      </c>
    </row>
    <row r="14" spans="1:11" x14ac:dyDescent="0.2">
      <c r="A14" s="147"/>
      <c r="B14" s="142">
        <v>45665</v>
      </c>
      <c r="C14" s="143">
        <v>45665</v>
      </c>
      <c r="D14" s="144"/>
      <c r="E14" s="144"/>
      <c r="F14" s="140"/>
      <c r="G14" s="145"/>
      <c r="H14" s="237">
        <v>1</v>
      </c>
    </row>
    <row r="15" spans="1:11" x14ac:dyDescent="0.2">
      <c r="A15" s="147"/>
      <c r="B15" s="142">
        <v>45685</v>
      </c>
      <c r="C15" s="143">
        <v>45685</v>
      </c>
      <c r="D15" s="144"/>
      <c r="E15" s="144"/>
      <c r="F15" s="140"/>
      <c r="G15" s="145"/>
      <c r="H15" s="237">
        <v>1</v>
      </c>
    </row>
    <row r="16" spans="1:11" s="699" customFormat="1" x14ac:dyDescent="0.2">
      <c r="A16" s="725"/>
      <c r="B16" s="720">
        <v>45876</v>
      </c>
      <c r="C16" s="721">
        <v>45877</v>
      </c>
      <c r="D16" s="722">
        <v>0.33333333333333331</v>
      </c>
      <c r="E16" s="722">
        <v>0.33333333333333331</v>
      </c>
      <c r="F16" s="718"/>
      <c r="G16" s="723"/>
      <c r="H16" s="237">
        <v>1</v>
      </c>
    </row>
    <row r="17" spans="1:10" s="699" customFormat="1" x14ac:dyDescent="0.2">
      <c r="A17" s="725"/>
      <c r="B17" s="720">
        <v>45863</v>
      </c>
      <c r="C17" s="721">
        <v>45864</v>
      </c>
      <c r="D17" s="722">
        <v>0.33333333333333331</v>
      </c>
      <c r="E17" s="722">
        <v>0.33333333333333331</v>
      </c>
      <c r="F17" s="718"/>
      <c r="G17" s="723"/>
      <c r="H17" s="237">
        <v>1</v>
      </c>
    </row>
    <row r="18" spans="1:10" s="699" customFormat="1" x14ac:dyDescent="0.2">
      <c r="A18" s="725"/>
      <c r="B18" s="720">
        <v>45947</v>
      </c>
      <c r="C18" s="721">
        <v>45948</v>
      </c>
      <c r="D18" s="722"/>
      <c r="E18" s="722"/>
      <c r="F18" s="718"/>
      <c r="G18" s="723"/>
      <c r="H18" s="237">
        <v>1</v>
      </c>
    </row>
    <row r="19" spans="1:10" s="699" customFormat="1" x14ac:dyDescent="0.2">
      <c r="A19" s="725"/>
      <c r="B19" s="720">
        <v>45954</v>
      </c>
      <c r="C19" s="721">
        <v>45955</v>
      </c>
      <c r="D19" s="722"/>
      <c r="E19" s="722"/>
      <c r="F19" s="718"/>
      <c r="G19" s="723"/>
      <c r="H19" s="237">
        <v>1</v>
      </c>
    </row>
    <row r="20" spans="1:10" s="699" customFormat="1" x14ac:dyDescent="0.2">
      <c r="A20" s="725"/>
      <c r="B20" s="720">
        <v>46046</v>
      </c>
      <c r="C20" s="721">
        <v>46050</v>
      </c>
      <c r="D20" s="722"/>
      <c r="E20" s="722"/>
      <c r="F20" s="718"/>
      <c r="G20" s="723"/>
      <c r="H20" s="237">
        <v>3</v>
      </c>
    </row>
    <row r="21" spans="1:10" s="699" customFormat="1" x14ac:dyDescent="0.2">
      <c r="A21" s="725"/>
      <c r="B21" s="720">
        <v>46139</v>
      </c>
      <c r="C21" s="721">
        <v>46140</v>
      </c>
      <c r="D21" s="722"/>
      <c r="E21" s="722"/>
      <c r="F21" s="718"/>
      <c r="G21" s="723"/>
      <c r="H21" s="237">
        <v>1</v>
      </c>
      <c r="J21" s="699" t="s">
        <v>830</v>
      </c>
    </row>
    <row r="22" spans="1:10" s="699" customFormat="1" x14ac:dyDescent="0.2">
      <c r="A22" s="725"/>
      <c r="B22" s="720">
        <v>46184</v>
      </c>
      <c r="C22" s="721">
        <v>46186</v>
      </c>
      <c r="D22" s="722"/>
      <c r="E22" s="722"/>
      <c r="F22" s="718"/>
      <c r="G22" s="723"/>
      <c r="H22" s="237">
        <v>2</v>
      </c>
    </row>
    <row r="23" spans="1:10" s="699" customFormat="1" x14ac:dyDescent="0.2">
      <c r="A23" s="725"/>
      <c r="B23" s="720">
        <v>46202</v>
      </c>
      <c r="C23" s="721">
        <v>46204</v>
      </c>
      <c r="D23" s="722"/>
      <c r="E23" s="722"/>
      <c r="F23" s="718"/>
      <c r="G23" s="723"/>
      <c r="H23" s="237">
        <v>2</v>
      </c>
    </row>
    <row r="24" spans="1:10" s="699" customFormat="1" x14ac:dyDescent="0.2">
      <c r="A24" s="725"/>
      <c r="B24" s="720"/>
      <c r="C24" s="721"/>
      <c r="D24" s="722"/>
      <c r="E24" s="722"/>
      <c r="F24" s="718"/>
      <c r="G24" s="723"/>
      <c r="H24" s="237"/>
    </row>
    <row r="25" spans="1:10" s="699" customFormat="1" x14ac:dyDescent="0.2">
      <c r="A25" s="725"/>
      <c r="B25" s="720"/>
      <c r="C25" s="721"/>
      <c r="D25" s="722"/>
      <c r="E25" s="722"/>
      <c r="F25" s="718"/>
      <c r="G25" s="723"/>
      <c r="H25" s="237"/>
    </row>
    <row r="26" spans="1:10" s="699" customFormat="1" x14ac:dyDescent="0.2">
      <c r="A26" s="725"/>
      <c r="B26" s="720"/>
      <c r="C26" s="721"/>
      <c r="D26" s="722"/>
      <c r="E26" s="722"/>
      <c r="F26" s="718"/>
      <c r="G26" s="723"/>
      <c r="H26" s="237"/>
    </row>
    <row r="27" spans="1:10" s="699" customFormat="1" x14ac:dyDescent="0.2">
      <c r="A27" s="725"/>
      <c r="B27" s="720"/>
      <c r="C27" s="721"/>
      <c r="D27" s="722"/>
      <c r="E27" s="722"/>
      <c r="F27" s="718"/>
      <c r="G27" s="723"/>
      <c r="H27" s="237"/>
    </row>
    <row r="28" spans="1:10" s="699" customFormat="1" x14ac:dyDescent="0.2">
      <c r="A28" s="725"/>
      <c r="B28" s="720"/>
      <c r="C28" s="721"/>
      <c r="D28" s="722"/>
      <c r="E28" s="722"/>
      <c r="F28" s="718"/>
      <c r="G28" s="723"/>
      <c r="H28" s="237"/>
    </row>
    <row r="29" spans="1:10" s="699" customFormat="1" x14ac:dyDescent="0.2">
      <c r="A29" s="725"/>
      <c r="B29" s="720"/>
      <c r="C29" s="721"/>
      <c r="D29" s="722"/>
      <c r="E29" s="722"/>
      <c r="F29" s="718"/>
      <c r="G29" s="723"/>
      <c r="H29" s="237"/>
    </row>
    <row r="30" spans="1:10" s="699" customFormat="1" x14ac:dyDescent="0.2">
      <c r="A30" s="725"/>
      <c r="B30" s="720"/>
      <c r="C30" s="721"/>
      <c r="D30" s="722"/>
      <c r="E30" s="722"/>
      <c r="F30" s="718"/>
      <c r="G30" s="723"/>
      <c r="H30" s="237"/>
    </row>
    <row r="31" spans="1:10" s="699" customFormat="1" x14ac:dyDescent="0.2">
      <c r="A31" s="725"/>
      <c r="B31" s="720"/>
      <c r="C31" s="721"/>
      <c r="D31" s="722"/>
      <c r="E31" s="722"/>
      <c r="F31" s="718"/>
      <c r="G31" s="723"/>
      <c r="H31" s="237"/>
    </row>
    <row r="32" spans="1:10" x14ac:dyDescent="0.2">
      <c r="A32" s="147"/>
      <c r="B32" s="142"/>
      <c r="C32" s="143"/>
      <c r="D32" s="144"/>
      <c r="E32" s="144"/>
      <c r="F32" s="140"/>
      <c r="G32" s="145"/>
      <c r="H32" s="237"/>
    </row>
    <row r="33" spans="1:8" x14ac:dyDescent="0.2">
      <c r="A33" s="147"/>
      <c r="B33" s="142"/>
      <c r="C33" s="143"/>
      <c r="D33" s="144"/>
      <c r="E33" s="144"/>
      <c r="F33" s="140"/>
      <c r="G33" s="145"/>
      <c r="H33" s="237"/>
    </row>
    <row r="34" spans="1:8" x14ac:dyDescent="0.2">
      <c r="A34" s="147"/>
      <c r="B34" s="142"/>
      <c r="C34" s="143"/>
      <c r="D34" s="144"/>
      <c r="E34" s="144"/>
      <c r="F34" s="140"/>
      <c r="G34" s="145"/>
      <c r="H34" s="237"/>
    </row>
    <row r="35" spans="1:8" x14ac:dyDescent="0.2">
      <c r="A35" s="147"/>
      <c r="B35" s="142"/>
      <c r="C35" s="143"/>
      <c r="D35" s="144"/>
      <c r="E35" s="144"/>
      <c r="F35" s="140"/>
      <c r="G35" s="145"/>
      <c r="H35" s="237"/>
    </row>
    <row r="36" spans="1:8" x14ac:dyDescent="0.2">
      <c r="A36" s="147"/>
      <c r="B36" s="142"/>
      <c r="C36" s="143"/>
      <c r="D36" s="144"/>
      <c r="E36" s="144"/>
      <c r="F36" s="48"/>
      <c r="G36" s="66"/>
      <c r="H36" s="237"/>
    </row>
    <row r="37" spans="1:8" x14ac:dyDescent="0.2">
      <c r="A37" s="147"/>
      <c r="B37" s="142"/>
      <c r="C37" s="143"/>
      <c r="D37" s="144"/>
      <c r="E37" s="144"/>
      <c r="F37" s="48"/>
      <c r="G37" s="66"/>
      <c r="H37" s="80"/>
    </row>
    <row r="38" spans="1:8" x14ac:dyDescent="0.2">
      <c r="A38" s="147"/>
      <c r="B38" s="142"/>
      <c r="C38" s="143"/>
      <c r="D38" s="144"/>
      <c r="E38" s="144"/>
      <c r="F38" s="48"/>
      <c r="G38" s="66"/>
      <c r="H38" s="80"/>
    </row>
    <row r="39" spans="1:8" x14ac:dyDescent="0.2">
      <c r="F39" s="277" t="s">
        <v>123</v>
      </c>
      <c r="G39" s="77">
        <f>SUM(G7:G38)</f>
        <v>42</v>
      </c>
      <c r="H39" s="697">
        <f>SUM(H7:H38)</f>
        <v>23</v>
      </c>
    </row>
    <row r="40" spans="1:8" x14ac:dyDescent="0.2">
      <c r="F40" s="62"/>
      <c r="G40" s="63"/>
      <c r="H40" s="63"/>
    </row>
    <row r="41" spans="1:8" ht="14.25" x14ac:dyDescent="0.2">
      <c r="F41" s="1153" t="s">
        <v>8</v>
      </c>
      <c r="G41" s="1154"/>
      <c r="H41" s="84">
        <f>G39-H39</f>
        <v>19</v>
      </c>
    </row>
  </sheetData>
  <mergeCells count="3">
    <mergeCell ref="F41:G41"/>
    <mergeCell ref="J1:J3"/>
    <mergeCell ref="C1:H5"/>
  </mergeCells>
  <hyperlinks>
    <hyperlink ref="J1:J3" location="'ANA SAYFA'!A1" display="ANA SAYFA"/>
  </hyperlinks>
  <pageMargins left="0.7" right="0.12" top="0.12" bottom="0.28000000000000003" header="0.12" footer="0.3"/>
  <pageSetup paperSize="9" scale="68" orientation="portrait" r:id="rId1"/>
  <colBreaks count="1" manualBreakCount="1">
    <brk id="8" max="1048575" man="1"/>
  </colBreaks>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
  <sheetViews>
    <sheetView zoomScaleNormal="100" workbookViewId="0">
      <selection activeCell="J1" sqref="J1:J3"/>
    </sheetView>
  </sheetViews>
  <sheetFormatPr defaultRowHeight="12.75" x14ac:dyDescent="0.2"/>
  <cols>
    <col min="1" max="1" width="18.140625" bestFit="1" customWidth="1"/>
    <col min="2" max="2" width="23.85546875" bestFit="1" customWidth="1"/>
    <col min="3" max="3" width="23.7109375" bestFit="1" customWidth="1"/>
    <col min="4" max="5" width="9.42578125" customWidth="1"/>
    <col min="6" max="6" width="20.140625" bestFit="1" customWidth="1"/>
    <col min="7" max="8" width="13.85546875" customWidth="1"/>
    <col min="9" max="9" width="4.85546875" customWidth="1"/>
    <col min="10" max="10" width="11.7109375" customWidth="1"/>
  </cols>
  <sheetData>
    <row r="1" spans="1:13" ht="14.25" customHeight="1" x14ac:dyDescent="0.2">
      <c r="A1" s="29" t="s">
        <v>135</v>
      </c>
      <c r="B1" s="216" t="str">
        <f>'ANA SAYFA'!B100</f>
        <v>MEHMET AY</v>
      </c>
      <c r="C1" s="1166" t="s">
        <v>136</v>
      </c>
      <c r="D1" s="1166"/>
      <c r="E1" s="1166"/>
      <c r="F1" s="1166"/>
      <c r="G1" s="1166"/>
      <c r="H1" s="1166"/>
      <c r="J1" s="1157" t="s">
        <v>712</v>
      </c>
    </row>
    <row r="2" spans="1:13" ht="14.25" customHeight="1" x14ac:dyDescent="0.2">
      <c r="A2" s="29" t="s">
        <v>137</v>
      </c>
      <c r="B2" s="217">
        <f>'ANA SAYFA'!D100</f>
        <v>42862841858</v>
      </c>
      <c r="C2" s="1166"/>
      <c r="D2" s="1166"/>
      <c r="E2" s="1166"/>
      <c r="F2" s="1166"/>
      <c r="G2" s="1166"/>
      <c r="H2" s="1166"/>
      <c r="J2" s="1158"/>
    </row>
    <row r="3" spans="1:13" ht="14.25" customHeight="1" thickBot="1" x14ac:dyDescent="0.25">
      <c r="A3" s="29" t="s">
        <v>131</v>
      </c>
      <c r="B3" s="216" t="str">
        <f>'ANA SAYFA'!C100</f>
        <v>FORMEN</v>
      </c>
      <c r="C3" s="1166"/>
      <c r="D3" s="1166"/>
      <c r="E3" s="1166"/>
      <c r="F3" s="1166"/>
      <c r="G3" s="1166"/>
      <c r="H3" s="1166"/>
      <c r="J3" s="1159"/>
    </row>
    <row r="4" spans="1:13" ht="14.25" customHeight="1" x14ac:dyDescent="0.2">
      <c r="A4" s="29" t="s">
        <v>120</v>
      </c>
      <c r="B4" s="218">
        <f>'ANA SAYFA'!E100</f>
        <v>44846</v>
      </c>
      <c r="C4" s="1166"/>
      <c r="D4" s="1166"/>
      <c r="E4" s="1166"/>
      <c r="F4" s="1166"/>
      <c r="G4" s="1166"/>
      <c r="H4" s="1166"/>
    </row>
    <row r="5" spans="1:13" ht="14.25" customHeight="1" x14ac:dyDescent="0.2">
      <c r="A5" s="29" t="s">
        <v>130</v>
      </c>
      <c r="B5" s="218">
        <f>'ANA SAYFA'!F100</f>
        <v>32883</v>
      </c>
      <c r="C5" s="1166"/>
      <c r="D5" s="1166"/>
      <c r="E5" s="1166"/>
      <c r="F5" s="1166"/>
      <c r="G5" s="1166"/>
      <c r="H5" s="1166"/>
      <c r="J5" s="653"/>
      <c r="K5" s="653"/>
    </row>
    <row r="6" spans="1:13" ht="31.5" x14ac:dyDescent="0.2">
      <c r="A6" s="69" t="s">
        <v>0</v>
      </c>
      <c r="B6" s="70" t="s">
        <v>1</v>
      </c>
      <c r="C6" s="69" t="s">
        <v>2</v>
      </c>
      <c r="D6" s="71" t="s">
        <v>133</v>
      </c>
      <c r="E6" s="71" t="s">
        <v>4</v>
      </c>
      <c r="F6" s="71" t="s">
        <v>7</v>
      </c>
      <c r="G6" s="71" t="s">
        <v>6</v>
      </c>
      <c r="H6" s="71" t="s">
        <v>3</v>
      </c>
      <c r="J6" s="653"/>
      <c r="K6" s="653"/>
    </row>
    <row r="7" spans="1:13" x14ac:dyDescent="0.2">
      <c r="A7" s="12"/>
      <c r="B7" s="17">
        <v>45064</v>
      </c>
      <c r="C7" s="18">
        <v>45066</v>
      </c>
      <c r="D7" s="13">
        <v>0.33333333333333331</v>
      </c>
      <c r="E7" s="13">
        <v>0.33333333333333331</v>
      </c>
      <c r="F7" s="136" t="s">
        <v>732</v>
      </c>
      <c r="G7" s="6">
        <v>14</v>
      </c>
      <c r="H7" s="22">
        <v>2</v>
      </c>
      <c r="J7" s="224"/>
      <c r="K7" s="224"/>
    </row>
    <row r="8" spans="1:13" x14ac:dyDescent="0.2">
      <c r="A8" s="4"/>
      <c r="B8" s="17">
        <v>45131</v>
      </c>
      <c r="C8" s="18">
        <v>45132</v>
      </c>
      <c r="D8" s="13">
        <v>0.33333333333333331</v>
      </c>
      <c r="E8" s="8">
        <v>0.33333333333333331</v>
      </c>
      <c r="F8" s="136" t="s">
        <v>647</v>
      </c>
      <c r="G8" s="6">
        <v>14</v>
      </c>
      <c r="H8" s="22">
        <v>1</v>
      </c>
      <c r="J8" s="3"/>
      <c r="K8" s="3"/>
    </row>
    <row r="9" spans="1:13" x14ac:dyDescent="0.2">
      <c r="A9" s="4"/>
      <c r="B9" s="17">
        <v>45234</v>
      </c>
      <c r="C9" s="18">
        <v>45236</v>
      </c>
      <c r="D9" s="13">
        <v>0.33333333333333331</v>
      </c>
      <c r="E9" s="8">
        <v>0.33333333333333331</v>
      </c>
      <c r="F9" s="746" t="s">
        <v>913</v>
      </c>
      <c r="G9" s="6">
        <v>14</v>
      </c>
      <c r="H9" s="22">
        <v>1</v>
      </c>
      <c r="J9" s="3"/>
      <c r="K9" s="3"/>
      <c r="L9" s="523"/>
      <c r="M9" s="514"/>
    </row>
    <row r="10" spans="1:13" x14ac:dyDescent="0.2">
      <c r="A10" s="2"/>
      <c r="B10" s="17">
        <v>45276</v>
      </c>
      <c r="C10" s="19">
        <v>45278</v>
      </c>
      <c r="D10" s="9">
        <v>0.33333333333333331</v>
      </c>
      <c r="E10" s="9">
        <v>0.33333333333333331</v>
      </c>
      <c r="F10" s="25"/>
      <c r="G10" s="25"/>
      <c r="H10" s="22">
        <v>1</v>
      </c>
    </row>
    <row r="11" spans="1:13" x14ac:dyDescent="0.2">
      <c r="A11" s="11"/>
      <c r="B11" s="17">
        <v>45301</v>
      </c>
      <c r="C11" s="19">
        <v>45306</v>
      </c>
      <c r="D11" s="13">
        <v>0.33333333333333331</v>
      </c>
      <c r="E11" s="13">
        <v>0.33333333333333331</v>
      </c>
      <c r="F11" s="25"/>
      <c r="G11" s="25"/>
      <c r="H11" s="6">
        <v>4</v>
      </c>
      <c r="J11" s="224"/>
      <c r="K11" s="224"/>
    </row>
    <row r="12" spans="1:13" x14ac:dyDescent="0.2">
      <c r="A12" s="1"/>
      <c r="B12" s="15">
        <v>45360</v>
      </c>
      <c r="C12" s="16">
        <v>45362</v>
      </c>
      <c r="D12" s="13">
        <v>0.33333333333333331</v>
      </c>
      <c r="E12" s="13">
        <v>0.33333333333333331</v>
      </c>
      <c r="F12" s="25"/>
      <c r="G12" s="25"/>
      <c r="H12" s="25">
        <v>1</v>
      </c>
      <c r="J12" s="3"/>
      <c r="K12" s="3"/>
    </row>
    <row r="13" spans="1:13" s="653" customFormat="1" x14ac:dyDescent="0.2">
      <c r="A13" s="654"/>
      <c r="B13" s="662">
        <v>45482</v>
      </c>
      <c r="C13" s="663">
        <v>45482</v>
      </c>
      <c r="D13" s="660">
        <v>0.5</v>
      </c>
      <c r="E13" s="660">
        <v>0.33333333333333331</v>
      </c>
      <c r="F13" s="666"/>
      <c r="G13" s="666"/>
      <c r="H13" s="665">
        <v>0.5</v>
      </c>
      <c r="J13" s="655"/>
      <c r="K13" s="655"/>
    </row>
    <row r="14" spans="1:13" x14ac:dyDescent="0.2">
      <c r="A14" s="1"/>
      <c r="B14" s="15">
        <v>45500</v>
      </c>
      <c r="C14" s="16">
        <v>45502</v>
      </c>
      <c r="D14" s="660">
        <v>0.33333333333333331</v>
      </c>
      <c r="E14" s="660">
        <v>0.33333333333333331</v>
      </c>
      <c r="F14" s="25"/>
      <c r="G14" s="25"/>
      <c r="H14" s="25">
        <v>2</v>
      </c>
    </row>
    <row r="15" spans="1:13" x14ac:dyDescent="0.2">
      <c r="A15" s="1"/>
      <c r="B15" s="15">
        <v>45570</v>
      </c>
      <c r="C15" s="16">
        <v>45580</v>
      </c>
      <c r="D15" s="660">
        <v>0.33333333333333331</v>
      </c>
      <c r="E15" s="660">
        <v>0.33333333333333331</v>
      </c>
      <c r="F15" s="7"/>
      <c r="G15" s="25"/>
      <c r="H15" s="27">
        <v>1</v>
      </c>
    </row>
    <row r="16" spans="1:13" x14ac:dyDescent="0.2">
      <c r="A16" s="1"/>
      <c r="B16" s="15">
        <v>45675</v>
      </c>
      <c r="C16" s="16">
        <v>45685</v>
      </c>
      <c r="D16" s="660">
        <v>0.33333333333333331</v>
      </c>
      <c r="E16" s="660">
        <v>0.33333333333333331</v>
      </c>
      <c r="F16" s="7"/>
      <c r="G16" s="25"/>
      <c r="H16" s="25">
        <v>9</v>
      </c>
    </row>
    <row r="17" spans="1:8" s="653" customFormat="1" x14ac:dyDescent="0.2">
      <c r="A17" s="654"/>
      <c r="B17" s="662">
        <v>45749</v>
      </c>
      <c r="C17" s="663">
        <v>45749</v>
      </c>
      <c r="D17" s="660">
        <v>0.33333333333333331</v>
      </c>
      <c r="E17" s="660">
        <v>0.33333333333333331</v>
      </c>
      <c r="F17" s="658"/>
      <c r="G17" s="666"/>
      <c r="H17" s="666">
        <v>1</v>
      </c>
    </row>
    <row r="18" spans="1:8" s="653" customFormat="1" x14ac:dyDescent="0.2">
      <c r="A18" s="654"/>
      <c r="B18" s="662">
        <v>45857</v>
      </c>
      <c r="C18" s="663">
        <v>45857</v>
      </c>
      <c r="D18" s="660">
        <v>0.33333333333333331</v>
      </c>
      <c r="E18" s="660">
        <v>0.33333333333333331</v>
      </c>
      <c r="F18" s="658"/>
      <c r="G18" s="666"/>
      <c r="H18" s="666">
        <v>1</v>
      </c>
    </row>
    <row r="19" spans="1:8" s="653" customFormat="1" x14ac:dyDescent="0.2">
      <c r="A19" s="654"/>
      <c r="B19" s="662">
        <v>45968</v>
      </c>
      <c r="C19" s="663">
        <v>45974</v>
      </c>
      <c r="D19" s="660">
        <v>0.33333333333333331</v>
      </c>
      <c r="E19" s="660">
        <v>0.33333333333333331</v>
      </c>
      <c r="F19" s="658"/>
      <c r="G19" s="666"/>
      <c r="H19" s="666">
        <v>5</v>
      </c>
    </row>
    <row r="20" spans="1:8" s="653" customFormat="1" x14ac:dyDescent="0.2">
      <c r="A20" s="654"/>
      <c r="B20" s="662">
        <v>45979</v>
      </c>
      <c r="C20" s="663">
        <v>45980</v>
      </c>
      <c r="D20" s="660"/>
      <c r="E20" s="660"/>
      <c r="F20" s="658"/>
      <c r="G20" s="666"/>
      <c r="H20" s="666">
        <v>1</v>
      </c>
    </row>
    <row r="21" spans="1:8" s="653" customFormat="1" x14ac:dyDescent="0.2">
      <c r="A21" s="654"/>
      <c r="B21" s="662">
        <v>46006</v>
      </c>
      <c r="C21" s="663">
        <v>46007</v>
      </c>
      <c r="D21" s="660"/>
      <c r="E21" s="660"/>
      <c r="F21" s="658"/>
      <c r="G21" s="666"/>
      <c r="H21" s="666">
        <v>1</v>
      </c>
    </row>
    <row r="22" spans="1:8" s="653" customFormat="1" x14ac:dyDescent="0.2">
      <c r="A22" s="654"/>
      <c r="B22" s="662">
        <v>46115</v>
      </c>
      <c r="C22" s="663">
        <v>46117</v>
      </c>
      <c r="D22" s="660"/>
      <c r="E22" s="660"/>
      <c r="F22" s="658"/>
      <c r="G22" s="666"/>
      <c r="H22" s="666">
        <v>2</v>
      </c>
    </row>
    <row r="23" spans="1:8" s="653" customFormat="1" x14ac:dyDescent="0.2">
      <c r="A23" s="654"/>
      <c r="B23" s="662"/>
      <c r="C23" s="663"/>
      <c r="D23" s="660"/>
      <c r="E23" s="660"/>
      <c r="F23" s="658"/>
      <c r="G23" s="666"/>
      <c r="H23" s="666"/>
    </row>
    <row r="24" spans="1:8" s="653" customFormat="1" x14ac:dyDescent="0.2">
      <c r="A24" s="654"/>
      <c r="B24" s="662"/>
      <c r="C24" s="663"/>
      <c r="D24" s="660"/>
      <c r="E24" s="660"/>
      <c r="F24" s="658"/>
      <c r="G24" s="666"/>
      <c r="H24" s="666"/>
    </row>
    <row r="25" spans="1:8" s="653" customFormat="1" x14ac:dyDescent="0.2">
      <c r="A25" s="654"/>
      <c r="B25" s="662"/>
      <c r="C25" s="663"/>
      <c r="D25" s="660"/>
      <c r="E25" s="660"/>
      <c r="F25" s="658"/>
      <c r="G25" s="666"/>
      <c r="H25" s="666"/>
    </row>
    <row r="26" spans="1:8" s="653" customFormat="1" x14ac:dyDescent="0.2">
      <c r="A26" s="654"/>
      <c r="B26" s="662"/>
      <c r="C26" s="663"/>
      <c r="D26" s="660"/>
      <c r="E26" s="660"/>
      <c r="F26" s="658"/>
      <c r="G26" s="666"/>
      <c r="H26" s="666"/>
    </row>
    <row r="27" spans="1:8" s="653" customFormat="1" x14ac:dyDescent="0.2">
      <c r="A27" s="654"/>
      <c r="B27" s="662"/>
      <c r="C27" s="663"/>
      <c r="D27" s="660"/>
      <c r="E27" s="660"/>
      <c r="F27" s="658"/>
      <c r="G27" s="666"/>
      <c r="H27" s="666"/>
    </row>
    <row r="28" spans="1:8" s="653" customFormat="1" x14ac:dyDescent="0.2">
      <c r="A28" s="654"/>
      <c r="B28" s="662"/>
      <c r="C28" s="663"/>
      <c r="D28" s="660"/>
      <c r="E28" s="660"/>
      <c r="F28" s="658"/>
      <c r="G28" s="666"/>
      <c r="H28" s="666"/>
    </row>
    <row r="29" spans="1:8" x14ac:dyDescent="0.2">
      <c r="A29" s="1"/>
      <c r="B29" s="15"/>
      <c r="C29" s="16"/>
      <c r="D29" s="8"/>
      <c r="E29" s="8"/>
      <c r="F29" s="7"/>
      <c r="G29" s="25"/>
      <c r="H29" s="25"/>
    </row>
    <row r="30" spans="1:8" x14ac:dyDescent="0.2">
      <c r="A30" s="1"/>
      <c r="B30" s="15"/>
      <c r="C30" s="16"/>
      <c r="D30" s="8"/>
      <c r="E30" s="8"/>
      <c r="F30" s="7"/>
      <c r="G30" s="25"/>
      <c r="H30" s="25"/>
    </row>
    <row r="31" spans="1:8" x14ac:dyDescent="0.2">
      <c r="A31" s="1"/>
      <c r="B31" s="15"/>
      <c r="C31" s="16"/>
      <c r="D31" s="8"/>
      <c r="E31" s="8"/>
      <c r="F31" s="7"/>
      <c r="G31" s="25"/>
      <c r="H31" s="25"/>
    </row>
    <row r="32" spans="1:8" x14ac:dyDescent="0.2">
      <c r="A32" s="1"/>
      <c r="B32" s="15"/>
      <c r="C32" s="16"/>
      <c r="D32" s="8"/>
      <c r="E32" s="8"/>
      <c r="F32" s="7"/>
      <c r="G32" s="25"/>
      <c r="H32" s="25"/>
    </row>
    <row r="33" spans="1:8" x14ac:dyDescent="0.2">
      <c r="A33" s="1"/>
      <c r="B33" s="15"/>
      <c r="C33" s="16"/>
      <c r="D33" s="8"/>
      <c r="E33" s="8"/>
      <c r="F33" s="48"/>
      <c r="G33" s="66"/>
      <c r="H33" s="25"/>
    </row>
    <row r="34" spans="1:8" x14ac:dyDescent="0.2">
      <c r="A34" s="1"/>
      <c r="B34" s="15"/>
      <c r="C34" s="16"/>
      <c r="D34" s="8"/>
      <c r="E34" s="8"/>
      <c r="F34" s="48"/>
      <c r="G34" s="66"/>
      <c r="H34" s="68"/>
    </row>
    <row r="35" spans="1:8" x14ac:dyDescent="0.2">
      <c r="A35" s="1"/>
      <c r="B35" s="15"/>
      <c r="C35" s="16"/>
      <c r="D35" s="8"/>
      <c r="E35" s="8"/>
      <c r="F35" s="48"/>
      <c r="G35" s="66"/>
      <c r="H35" s="66"/>
    </row>
    <row r="36" spans="1:8" x14ac:dyDescent="0.2">
      <c r="F36" s="76" t="s">
        <v>123</v>
      </c>
      <c r="G36" s="77">
        <f>SUM(G7:G15)</f>
        <v>42</v>
      </c>
      <c r="H36" s="77">
        <f>SUM(H7:H34)</f>
        <v>33.5</v>
      </c>
    </row>
    <row r="37" spans="1:8" x14ac:dyDescent="0.2">
      <c r="F37" s="62"/>
      <c r="G37" s="63"/>
      <c r="H37" s="63"/>
    </row>
    <row r="38" spans="1:8" ht="14.25" x14ac:dyDescent="0.2">
      <c r="F38" s="1153" t="s">
        <v>8</v>
      </c>
      <c r="G38" s="1154"/>
      <c r="H38" s="84">
        <f>G36-H36</f>
        <v>8.5</v>
      </c>
    </row>
    <row r="39" spans="1:8" x14ac:dyDescent="0.2">
      <c r="A39" s="803">
        <v>45473</v>
      </c>
      <c r="B39" s="801" t="s">
        <v>649</v>
      </c>
      <c r="C39" s="653"/>
    </row>
  </sheetData>
  <mergeCells count="3">
    <mergeCell ref="F38:G38"/>
    <mergeCell ref="J1:J3"/>
    <mergeCell ref="C1:H5"/>
  </mergeCells>
  <hyperlinks>
    <hyperlink ref="J1:J3" location="'ANA SAYFA'!A1" display="ANA SAYFA"/>
  </hyperlinks>
  <pageMargins left="0.7" right="0.12" top="0.28000000000000003" bottom="0.75" header="0.3" footer="0.3"/>
  <pageSetup paperSize="9" scale="72" orientation="portrait" r:id="rId1"/>
  <colBreaks count="1" manualBreakCount="1">
    <brk id="8" max="1048575" man="1"/>
  </colBreaks>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zoomScaleNormal="100" workbookViewId="0">
      <selection activeCell="J1" sqref="J1:J3"/>
    </sheetView>
  </sheetViews>
  <sheetFormatPr defaultRowHeight="12.75" x14ac:dyDescent="0.2"/>
  <cols>
    <col min="1" max="1" width="18.140625" bestFit="1" customWidth="1"/>
    <col min="2" max="2" width="27.5703125" bestFit="1" customWidth="1"/>
    <col min="3" max="3" width="27.42578125" bestFit="1" customWidth="1"/>
    <col min="4" max="5" width="9.140625" bestFit="1" customWidth="1"/>
    <col min="6" max="6" width="20.42578125" customWidth="1"/>
    <col min="7" max="7" width="14.42578125" bestFit="1" customWidth="1"/>
    <col min="8" max="8" width="12.5703125" bestFit="1" customWidth="1"/>
    <col min="9" max="9" width="4.42578125" customWidth="1"/>
    <col min="10" max="10" width="11.85546875" customWidth="1"/>
  </cols>
  <sheetData>
    <row r="1" spans="1:12" ht="15" customHeight="1" x14ac:dyDescent="0.2">
      <c r="A1" s="669" t="s">
        <v>135</v>
      </c>
      <c r="B1" s="216" t="str">
        <f>'ANA SAYFA'!B101</f>
        <v>NECATİ KOCATEPE</v>
      </c>
      <c r="C1" s="1166" t="s">
        <v>136</v>
      </c>
      <c r="D1" s="1166"/>
      <c r="E1" s="1166"/>
      <c r="F1" s="1166"/>
      <c r="G1" s="1166"/>
      <c r="H1" s="1166"/>
      <c r="J1" s="1157" t="s">
        <v>712</v>
      </c>
    </row>
    <row r="2" spans="1:12" ht="15" customHeight="1" x14ac:dyDescent="0.2">
      <c r="A2" s="669" t="s">
        <v>137</v>
      </c>
      <c r="B2" s="217">
        <f>'ANA SAYFA'!D101</f>
        <v>12005917870</v>
      </c>
      <c r="C2" s="1166"/>
      <c r="D2" s="1166"/>
      <c r="E2" s="1166"/>
      <c r="F2" s="1166"/>
      <c r="G2" s="1166"/>
      <c r="H2" s="1166"/>
      <c r="J2" s="1158"/>
    </row>
    <row r="3" spans="1:12" ht="15" customHeight="1" thickBot="1" x14ac:dyDescent="0.25">
      <c r="A3" s="669" t="s">
        <v>131</v>
      </c>
      <c r="B3" s="216" t="str">
        <f>'ANA SAYFA'!C101</f>
        <v>OPERATÖR</v>
      </c>
      <c r="C3" s="1166"/>
      <c r="D3" s="1166"/>
      <c r="E3" s="1166"/>
      <c r="F3" s="1166"/>
      <c r="G3" s="1166"/>
      <c r="H3" s="1166"/>
      <c r="J3" s="1159"/>
    </row>
    <row r="4" spans="1:12" ht="15" customHeight="1" x14ac:dyDescent="0.2">
      <c r="A4" s="669" t="s">
        <v>120</v>
      </c>
      <c r="B4" s="218">
        <f>'ANA SAYFA'!E101</f>
        <v>45211</v>
      </c>
      <c r="C4" s="1166"/>
      <c r="D4" s="1166"/>
      <c r="E4" s="1166"/>
      <c r="F4" s="1166"/>
      <c r="G4" s="1166"/>
      <c r="H4" s="1166"/>
    </row>
    <row r="5" spans="1:12" ht="15" customHeight="1" x14ac:dyDescent="0.2">
      <c r="A5" s="669" t="s">
        <v>130</v>
      </c>
      <c r="B5" s="218">
        <f>'ANA SAYFA'!F101</f>
        <v>25749</v>
      </c>
      <c r="C5" s="1166"/>
      <c r="D5" s="1166"/>
      <c r="E5" s="1166"/>
      <c r="F5" s="1166"/>
      <c r="G5" s="1166"/>
      <c r="H5" s="1166"/>
      <c r="J5" s="653"/>
      <c r="K5" s="653"/>
    </row>
    <row r="6" spans="1:12" ht="31.5" x14ac:dyDescent="0.2">
      <c r="A6" s="693" t="s">
        <v>0</v>
      </c>
      <c r="B6" s="694" t="s">
        <v>1</v>
      </c>
      <c r="C6" s="693" t="s">
        <v>2</v>
      </c>
      <c r="D6" s="695" t="s">
        <v>133</v>
      </c>
      <c r="E6" s="695" t="s">
        <v>4</v>
      </c>
      <c r="F6" s="695" t="s">
        <v>7</v>
      </c>
      <c r="G6" s="695" t="s">
        <v>6</v>
      </c>
      <c r="H6" s="695" t="s">
        <v>3</v>
      </c>
      <c r="J6" s="653"/>
      <c r="K6" s="653"/>
    </row>
    <row r="7" spans="1:12" ht="15" customHeight="1" x14ac:dyDescent="0.2">
      <c r="A7" s="717"/>
      <c r="B7" s="729">
        <v>45229</v>
      </c>
      <c r="C7" s="730">
        <v>45230</v>
      </c>
      <c r="D7" s="735">
        <v>0.33333333333333331</v>
      </c>
      <c r="E7" s="735">
        <v>0.33333333333333331</v>
      </c>
      <c r="F7" s="716" t="s">
        <v>647</v>
      </c>
      <c r="G7" s="748">
        <v>20</v>
      </c>
      <c r="H7" s="755">
        <v>1</v>
      </c>
      <c r="J7" s="256"/>
      <c r="K7" s="256"/>
    </row>
    <row r="8" spans="1:12" ht="12.75" customHeight="1" x14ac:dyDescent="0.2">
      <c r="A8" s="1206" t="s">
        <v>484</v>
      </c>
      <c r="B8" s="1304"/>
      <c r="C8" s="1207"/>
      <c r="D8" s="735"/>
      <c r="E8" s="735"/>
      <c r="F8" s="746" t="s">
        <v>913</v>
      </c>
      <c r="G8" s="748">
        <v>20</v>
      </c>
      <c r="H8" s="853">
        <v>-1</v>
      </c>
      <c r="J8" s="3"/>
      <c r="K8" s="3"/>
    </row>
    <row r="9" spans="1:12" ht="15" customHeight="1" x14ac:dyDescent="0.2">
      <c r="A9" s="724"/>
      <c r="B9" s="729" t="s">
        <v>517</v>
      </c>
      <c r="C9" s="729" t="s">
        <v>517</v>
      </c>
      <c r="D9" s="735">
        <v>0.33333333333333331</v>
      </c>
      <c r="E9" s="735">
        <v>0.33333333333333331</v>
      </c>
      <c r="F9" s="748"/>
      <c r="G9" s="723"/>
      <c r="H9" s="755">
        <v>1</v>
      </c>
      <c r="J9" s="3"/>
      <c r="K9" s="3"/>
      <c r="L9" s="358"/>
    </row>
    <row r="10" spans="1:12" ht="15" customHeight="1" x14ac:dyDescent="0.2">
      <c r="A10" s="719"/>
      <c r="B10" s="729">
        <v>45463</v>
      </c>
      <c r="C10" s="732">
        <v>45463</v>
      </c>
      <c r="D10" s="735">
        <v>0.33333333333333331</v>
      </c>
      <c r="E10" s="735">
        <v>0.33333333333333331</v>
      </c>
      <c r="F10" s="723"/>
      <c r="G10" s="723"/>
      <c r="H10" s="755">
        <v>1</v>
      </c>
    </row>
    <row r="11" spans="1:12" ht="15" customHeight="1" x14ac:dyDescent="0.2">
      <c r="A11" s="734"/>
      <c r="B11" s="729">
        <v>45457</v>
      </c>
      <c r="C11" s="732">
        <v>45457</v>
      </c>
      <c r="D11" s="735">
        <v>0.33333333333333331</v>
      </c>
      <c r="E11" s="735">
        <v>0.33333333333333331</v>
      </c>
      <c r="F11" s="723"/>
      <c r="G11" s="723"/>
      <c r="H11" s="755">
        <v>1</v>
      </c>
      <c r="J11" s="256"/>
      <c r="K11" s="256"/>
    </row>
    <row r="12" spans="1:12" ht="15" customHeight="1" x14ac:dyDescent="0.2">
      <c r="A12" s="725"/>
      <c r="B12" s="720">
        <v>45502</v>
      </c>
      <c r="C12" s="721">
        <v>45507</v>
      </c>
      <c r="D12" s="735">
        <v>0.33333333333333331</v>
      </c>
      <c r="E12" s="735">
        <v>0.33333333333333331</v>
      </c>
      <c r="F12" s="723"/>
      <c r="G12" s="723"/>
      <c r="H12" s="755">
        <v>6</v>
      </c>
      <c r="J12" s="3"/>
      <c r="K12" s="3"/>
    </row>
    <row r="13" spans="1:12" ht="15" customHeight="1" x14ac:dyDescent="0.2">
      <c r="A13" s="1195" t="s">
        <v>595</v>
      </c>
      <c r="B13" s="1246"/>
      <c r="C13" s="1196"/>
      <c r="D13" s="735"/>
      <c r="E13" s="735"/>
      <c r="F13" s="723"/>
      <c r="G13" s="723"/>
      <c r="H13" s="822">
        <v>-1</v>
      </c>
    </row>
    <row r="14" spans="1:12" ht="15" customHeight="1" x14ac:dyDescent="0.2">
      <c r="A14" s="725"/>
      <c r="B14" s="720">
        <v>45590</v>
      </c>
      <c r="C14" s="721">
        <v>45590</v>
      </c>
      <c r="D14" s="735">
        <v>0.33333333333333331</v>
      </c>
      <c r="E14" s="735">
        <v>0.33333333333333331</v>
      </c>
      <c r="F14" s="718"/>
      <c r="G14" s="723"/>
      <c r="H14" s="758">
        <v>1</v>
      </c>
    </row>
    <row r="15" spans="1:12" ht="15" customHeight="1" x14ac:dyDescent="0.2">
      <c r="A15" s="725"/>
      <c r="B15" s="720">
        <v>45631</v>
      </c>
      <c r="C15" s="721">
        <v>45633</v>
      </c>
      <c r="D15" s="735">
        <v>0.33333333333333331</v>
      </c>
      <c r="E15" s="735">
        <v>0.33333333333333331</v>
      </c>
      <c r="F15" s="718"/>
      <c r="G15" s="723"/>
      <c r="H15" s="723">
        <v>3</v>
      </c>
    </row>
    <row r="16" spans="1:12" ht="15" customHeight="1" x14ac:dyDescent="0.2">
      <c r="A16" s="725"/>
      <c r="B16" s="720">
        <v>45684</v>
      </c>
      <c r="C16" s="721">
        <v>45692</v>
      </c>
      <c r="D16" s="735">
        <v>0.33333333333333331</v>
      </c>
      <c r="E16" s="735">
        <v>0.33333333333333331</v>
      </c>
      <c r="F16" s="718"/>
      <c r="G16" s="723"/>
      <c r="H16" s="723">
        <v>9</v>
      </c>
    </row>
    <row r="17" spans="1:8" s="653" customFormat="1" ht="15" customHeight="1" x14ac:dyDescent="0.2">
      <c r="A17" s="725"/>
      <c r="B17" s="720">
        <v>45702</v>
      </c>
      <c r="C17" s="721">
        <v>45702</v>
      </c>
      <c r="D17" s="735">
        <v>0.33333333333333331</v>
      </c>
      <c r="E17" s="735">
        <v>0.33333333333333331</v>
      </c>
      <c r="F17" s="718"/>
      <c r="G17" s="723"/>
      <c r="H17" s="723">
        <v>1</v>
      </c>
    </row>
    <row r="18" spans="1:8" s="653" customFormat="1" ht="15" customHeight="1" x14ac:dyDescent="0.2">
      <c r="A18" s="1195" t="s">
        <v>783</v>
      </c>
      <c r="B18" s="1246"/>
      <c r="C18" s="1196"/>
      <c r="D18" s="735"/>
      <c r="E18" s="735"/>
      <c r="F18" s="718"/>
      <c r="G18" s="723"/>
      <c r="H18" s="822">
        <v>-2</v>
      </c>
    </row>
    <row r="19" spans="1:8" s="653" customFormat="1" ht="15" customHeight="1" x14ac:dyDescent="0.2">
      <c r="A19" s="725"/>
      <c r="B19" s="720">
        <v>45864</v>
      </c>
      <c r="C19" s="721">
        <v>45869</v>
      </c>
      <c r="D19" s="735">
        <v>0.33333333333333331</v>
      </c>
      <c r="E19" s="735">
        <v>0.75</v>
      </c>
      <c r="F19" s="718"/>
      <c r="G19" s="723"/>
      <c r="H19" s="723">
        <v>-5</v>
      </c>
    </row>
    <row r="20" spans="1:8" s="653" customFormat="1" ht="15" customHeight="1" x14ac:dyDescent="0.2">
      <c r="A20" s="725"/>
      <c r="B20" s="720">
        <v>46043</v>
      </c>
      <c r="C20" s="721">
        <v>46049</v>
      </c>
      <c r="D20" s="735"/>
      <c r="E20" s="735"/>
      <c r="F20" s="718"/>
      <c r="G20" s="723"/>
      <c r="H20" s="723">
        <v>5</v>
      </c>
    </row>
    <row r="21" spans="1:8" s="653" customFormat="1" ht="15" customHeight="1" x14ac:dyDescent="0.2">
      <c r="A21" s="725"/>
      <c r="B21" s="720">
        <v>46099</v>
      </c>
      <c r="C21" s="721">
        <v>46100</v>
      </c>
      <c r="D21" s="735"/>
      <c r="E21" s="735"/>
      <c r="F21" s="718"/>
      <c r="G21" s="723"/>
      <c r="H21" s="723">
        <v>1</v>
      </c>
    </row>
    <row r="22" spans="1:8" s="653" customFormat="1" ht="15" customHeight="1" x14ac:dyDescent="0.2">
      <c r="A22" s="725"/>
      <c r="B22" s="720">
        <v>46181</v>
      </c>
      <c r="C22" s="721">
        <v>46182</v>
      </c>
      <c r="D22" s="735"/>
      <c r="E22" s="735"/>
      <c r="F22" s="718"/>
      <c r="G22" s="723"/>
      <c r="H22" s="723">
        <v>1</v>
      </c>
    </row>
    <row r="23" spans="1:8" ht="15" customHeight="1" x14ac:dyDescent="0.2">
      <c r="A23" s="1"/>
      <c r="B23" s="15"/>
      <c r="C23" s="16"/>
      <c r="D23" s="8"/>
      <c r="E23" s="8"/>
      <c r="F23" s="7"/>
      <c r="G23" s="25"/>
      <c r="H23" s="25"/>
    </row>
    <row r="24" spans="1:8" ht="15" customHeight="1" x14ac:dyDescent="0.2">
      <c r="A24" s="1"/>
      <c r="B24" s="15"/>
      <c r="C24" s="16"/>
      <c r="D24" s="8"/>
      <c r="E24" s="8"/>
      <c r="F24" s="7"/>
      <c r="G24" s="25"/>
      <c r="H24" s="25"/>
    </row>
    <row r="25" spans="1:8" ht="15" customHeight="1" x14ac:dyDescent="0.2">
      <c r="A25" s="1"/>
      <c r="B25" s="15"/>
      <c r="C25" s="16"/>
      <c r="D25" s="8"/>
      <c r="E25" s="8"/>
      <c r="F25" s="7"/>
      <c r="G25" s="25"/>
      <c r="H25" s="25"/>
    </row>
    <row r="26" spans="1:8" ht="15" customHeight="1" x14ac:dyDescent="0.2">
      <c r="A26" s="1"/>
      <c r="B26" s="15"/>
      <c r="C26" s="16"/>
      <c r="D26" s="8"/>
      <c r="E26" s="8"/>
      <c r="F26" s="48"/>
      <c r="G26" s="66"/>
      <c r="H26" s="25"/>
    </row>
    <row r="27" spans="1:8" ht="15" customHeight="1" x14ac:dyDescent="0.2">
      <c r="A27" s="1"/>
      <c r="B27" s="15"/>
      <c r="C27" s="16"/>
      <c r="D27" s="8"/>
      <c r="E27" s="8"/>
      <c r="F27" s="48"/>
      <c r="G27" s="66"/>
      <c r="H27" s="68"/>
    </row>
    <row r="28" spans="1:8" ht="15" customHeight="1" x14ac:dyDescent="0.2">
      <c r="A28" s="1"/>
      <c r="B28" s="15"/>
      <c r="C28" s="16"/>
      <c r="D28" s="8"/>
      <c r="E28" s="8"/>
      <c r="F28" s="48"/>
      <c r="G28" s="66"/>
      <c r="H28" s="66"/>
    </row>
    <row r="29" spans="1:8" x14ac:dyDescent="0.2">
      <c r="F29" s="255" t="s">
        <v>123</v>
      </c>
      <c r="G29" s="77">
        <f>SUM(G7:G28)</f>
        <v>40</v>
      </c>
      <c r="H29" s="77">
        <f>SUM(H7:H28)</f>
        <v>22</v>
      </c>
    </row>
    <row r="30" spans="1:8" x14ac:dyDescent="0.2">
      <c r="F30" s="62"/>
      <c r="G30" s="63"/>
      <c r="H30" s="63"/>
    </row>
    <row r="31" spans="1:8" ht="14.25" x14ac:dyDescent="0.2">
      <c r="F31" s="1153" t="s">
        <v>8</v>
      </c>
      <c r="G31" s="1154"/>
      <c r="H31" s="84">
        <f>G29-H29</f>
        <v>18</v>
      </c>
    </row>
  </sheetData>
  <mergeCells count="6">
    <mergeCell ref="F31:G31"/>
    <mergeCell ref="J1:J3"/>
    <mergeCell ref="C1:H5"/>
    <mergeCell ref="A13:C13"/>
    <mergeCell ref="A8:C8"/>
    <mergeCell ref="A18:C18"/>
  </mergeCells>
  <hyperlinks>
    <hyperlink ref="J1:J3" location="'ANA SAYFA'!A1" display="ANA SAYFA"/>
  </hyperlinks>
  <pageMargins left="0.7" right="0.12" top="0.14000000000000001" bottom="0.75" header="0.12" footer="0.3"/>
  <pageSetup paperSize="9" scale="69" orientation="portrait" r:id="rId1"/>
  <colBreaks count="1" manualBreakCount="1">
    <brk id="8" max="1048575" man="1"/>
  </colBreaks>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workbookViewId="0">
      <selection activeCell="J1" sqref="J1:J3"/>
    </sheetView>
  </sheetViews>
  <sheetFormatPr defaultColWidth="9.140625" defaultRowHeight="12.75" x14ac:dyDescent="0.2"/>
  <cols>
    <col min="1" max="1" width="18.140625" style="82" bestFit="1" customWidth="1"/>
    <col min="2" max="2" width="26.5703125" style="82" bestFit="1" customWidth="1"/>
    <col min="3" max="3" width="26" style="82" bestFit="1" customWidth="1"/>
    <col min="4" max="4" width="6.7109375" style="82" bestFit="1" customWidth="1"/>
    <col min="5" max="5" width="8.85546875" style="82" bestFit="1" customWidth="1"/>
    <col min="6" max="6" width="16.28515625" style="82" bestFit="1" customWidth="1"/>
    <col min="7" max="7" width="14.28515625" style="82" bestFit="1" customWidth="1"/>
    <col min="8" max="8" width="12.5703125" style="82" bestFit="1" customWidth="1"/>
    <col min="9" max="9" width="3.5703125" style="82" customWidth="1"/>
    <col min="10" max="10" width="11.42578125" style="82" bestFit="1" customWidth="1"/>
    <col min="11" max="16384" width="9.140625" style="82"/>
  </cols>
  <sheetData>
    <row r="1" spans="1:11" ht="14.25" customHeight="1" x14ac:dyDescent="0.2">
      <c r="A1" s="29" t="s">
        <v>135</v>
      </c>
      <c r="B1" s="216" t="str">
        <f>'ANA SAYFA'!B102</f>
        <v>EMİNE PALAZ</v>
      </c>
      <c r="C1" s="1166" t="s">
        <v>136</v>
      </c>
      <c r="D1" s="1166"/>
      <c r="E1" s="1166"/>
      <c r="F1" s="1166"/>
      <c r="G1" s="1166"/>
      <c r="H1" s="1166"/>
      <c r="J1" s="1157" t="s">
        <v>712</v>
      </c>
    </row>
    <row r="2" spans="1:11" ht="14.25" customHeight="1" x14ac:dyDescent="0.2">
      <c r="A2" s="29" t="s">
        <v>137</v>
      </c>
      <c r="B2" s="217">
        <f>'ANA SAYFA'!D102</f>
        <v>20203683756</v>
      </c>
      <c r="C2" s="1166"/>
      <c r="D2" s="1166"/>
      <c r="E2" s="1166"/>
      <c r="F2" s="1166"/>
      <c r="G2" s="1166"/>
      <c r="H2" s="1166"/>
      <c r="J2" s="1158"/>
    </row>
    <row r="3" spans="1:11" ht="14.25" customHeight="1" thickBot="1" x14ac:dyDescent="0.25">
      <c r="A3" s="29" t="s">
        <v>131</v>
      </c>
      <c r="B3" s="216" t="str">
        <f>'ANA SAYFA'!C102</f>
        <v>TEMİZLİK GÖREVLİSİ</v>
      </c>
      <c r="C3" s="1166"/>
      <c r="D3" s="1166"/>
      <c r="E3" s="1166"/>
      <c r="F3" s="1166"/>
      <c r="G3" s="1166"/>
      <c r="H3" s="1166"/>
      <c r="J3" s="1159"/>
    </row>
    <row r="4" spans="1:11" ht="14.25" customHeight="1" x14ac:dyDescent="0.2">
      <c r="A4" s="29" t="s">
        <v>120</v>
      </c>
      <c r="B4" s="218">
        <f>'ANA SAYFA'!E102</f>
        <v>45364</v>
      </c>
      <c r="C4" s="1166"/>
      <c r="D4" s="1166"/>
      <c r="E4" s="1166"/>
      <c r="F4" s="1166"/>
      <c r="G4" s="1166"/>
      <c r="H4" s="1166"/>
    </row>
    <row r="5" spans="1:11" ht="14.25" customHeight="1" x14ac:dyDescent="0.2">
      <c r="A5" s="29" t="s">
        <v>130</v>
      </c>
      <c r="B5" s="218">
        <f>'ANA SAYFA'!F102</f>
        <v>28281</v>
      </c>
      <c r="C5" s="1166"/>
      <c r="D5" s="1166"/>
      <c r="E5" s="1166"/>
      <c r="F5" s="1166"/>
      <c r="G5" s="1166"/>
      <c r="H5" s="1166"/>
      <c r="J5" s="699"/>
      <c r="K5" s="699"/>
    </row>
    <row r="6" spans="1:11" ht="31.5" x14ac:dyDescent="0.2">
      <c r="A6" s="69" t="s">
        <v>0</v>
      </c>
      <c r="B6" s="70" t="s">
        <v>1</v>
      </c>
      <c r="C6" s="69" t="s">
        <v>2</v>
      </c>
      <c r="D6" s="71" t="s">
        <v>133</v>
      </c>
      <c r="E6" s="71" t="s">
        <v>4</v>
      </c>
      <c r="F6" s="71" t="s">
        <v>7</v>
      </c>
      <c r="G6" s="71" t="s">
        <v>6</v>
      </c>
      <c r="H6" s="71" t="s">
        <v>3</v>
      </c>
      <c r="J6" s="699"/>
      <c r="K6" s="699"/>
    </row>
    <row r="7" spans="1:11" ht="22.5" x14ac:dyDescent="0.2">
      <c r="A7" s="139" t="s">
        <v>838</v>
      </c>
      <c r="B7" s="155">
        <v>45873</v>
      </c>
      <c r="C7" s="156">
        <v>45785</v>
      </c>
      <c r="D7" s="168"/>
      <c r="E7" s="168"/>
      <c r="F7" s="136" t="s">
        <v>837</v>
      </c>
      <c r="G7" s="157">
        <v>14</v>
      </c>
      <c r="H7" s="192">
        <v>5</v>
      </c>
      <c r="J7" s="190"/>
      <c r="K7" s="190"/>
    </row>
    <row r="8" spans="1:11" s="699" customFormat="1" x14ac:dyDescent="0.2">
      <c r="A8" s="724"/>
      <c r="B8" s="729">
        <v>46044</v>
      </c>
      <c r="C8" s="730">
        <v>46045</v>
      </c>
      <c r="D8" s="735"/>
      <c r="E8" s="722"/>
      <c r="F8" s="748"/>
      <c r="G8" s="723"/>
      <c r="H8" s="749">
        <v>1</v>
      </c>
      <c r="J8" s="726" t="s">
        <v>830</v>
      </c>
      <c r="K8" s="726"/>
    </row>
    <row r="9" spans="1:11" x14ac:dyDescent="0.2">
      <c r="A9" s="146"/>
      <c r="B9" s="155"/>
      <c r="C9" s="156"/>
      <c r="D9" s="168"/>
      <c r="E9" s="144"/>
      <c r="F9" s="191"/>
      <c r="G9" s="145"/>
      <c r="H9" s="192"/>
      <c r="J9" s="148"/>
      <c r="K9" s="148"/>
    </row>
    <row r="10" spans="1:11" x14ac:dyDescent="0.2">
      <c r="A10" s="141"/>
      <c r="B10" s="155"/>
      <c r="C10" s="158"/>
      <c r="D10" s="159"/>
      <c r="E10" s="159"/>
      <c r="F10" s="145"/>
      <c r="G10" s="145"/>
      <c r="H10" s="192"/>
    </row>
    <row r="11" spans="1:11" x14ac:dyDescent="0.2">
      <c r="A11" s="160"/>
      <c r="B11" s="155"/>
      <c r="C11" s="158"/>
      <c r="D11" s="168"/>
      <c r="E11" s="168"/>
      <c r="F11" s="145"/>
      <c r="G11" s="145"/>
      <c r="H11" s="157"/>
      <c r="J11" s="190"/>
      <c r="K11" s="190"/>
    </row>
    <row r="12" spans="1:11" x14ac:dyDescent="0.2">
      <c r="A12" s="147"/>
      <c r="B12" s="142"/>
      <c r="C12" s="143"/>
      <c r="D12" s="168"/>
      <c r="E12" s="168"/>
      <c r="F12" s="145"/>
      <c r="G12" s="145"/>
      <c r="H12" s="145"/>
      <c r="J12" s="148"/>
      <c r="K12" s="148"/>
    </row>
    <row r="13" spans="1:11" s="699" customFormat="1" x14ac:dyDescent="0.2">
      <c r="A13" s="725"/>
      <c r="B13" s="720"/>
      <c r="C13" s="721"/>
      <c r="D13" s="735"/>
      <c r="E13" s="735"/>
      <c r="F13" s="723"/>
      <c r="G13" s="723"/>
      <c r="H13" s="723"/>
      <c r="J13" s="726"/>
      <c r="K13" s="726"/>
    </row>
    <row r="14" spans="1:11" s="699" customFormat="1" x14ac:dyDescent="0.2">
      <c r="A14" s="725"/>
      <c r="B14" s="720"/>
      <c r="C14" s="721"/>
      <c r="D14" s="735"/>
      <c r="E14" s="735"/>
      <c r="F14" s="723"/>
      <c r="G14" s="723"/>
      <c r="H14" s="723"/>
      <c r="J14" s="726"/>
      <c r="K14" s="726"/>
    </row>
    <row r="15" spans="1:11" s="699" customFormat="1" x14ac:dyDescent="0.2">
      <c r="A15" s="725"/>
      <c r="B15" s="720"/>
      <c r="C15" s="721"/>
      <c r="D15" s="735"/>
      <c r="E15" s="735"/>
      <c r="F15" s="723"/>
      <c r="G15" s="723"/>
      <c r="H15" s="723"/>
      <c r="J15" s="726"/>
      <c r="K15" s="726"/>
    </row>
    <row r="16" spans="1:11" s="699" customFormat="1" x14ac:dyDescent="0.2">
      <c r="A16" s="725"/>
      <c r="B16" s="720"/>
      <c r="C16" s="721"/>
      <c r="D16" s="735"/>
      <c r="E16" s="735"/>
      <c r="F16" s="723"/>
      <c r="G16" s="723"/>
      <c r="H16" s="723"/>
      <c r="J16" s="726"/>
      <c r="K16" s="726"/>
    </row>
    <row r="17" spans="1:11" s="699" customFormat="1" x14ac:dyDescent="0.2">
      <c r="A17" s="725"/>
      <c r="B17" s="720"/>
      <c r="C17" s="721"/>
      <c r="D17" s="735"/>
      <c r="E17" s="735"/>
      <c r="F17" s="723"/>
      <c r="G17" s="723"/>
      <c r="H17" s="723"/>
      <c r="J17" s="726"/>
      <c r="K17" s="726"/>
    </row>
    <row r="18" spans="1:11" s="699" customFormat="1" x14ac:dyDescent="0.2">
      <c r="A18" s="725"/>
      <c r="B18" s="720"/>
      <c r="C18" s="721"/>
      <c r="D18" s="735"/>
      <c r="E18" s="735"/>
      <c r="F18" s="723"/>
      <c r="G18" s="723"/>
      <c r="H18" s="723"/>
      <c r="J18" s="726"/>
      <c r="K18" s="726"/>
    </row>
    <row r="19" spans="1:11" s="699" customFormat="1" x14ac:dyDescent="0.2">
      <c r="A19" s="725"/>
      <c r="B19" s="720"/>
      <c r="C19" s="721"/>
      <c r="D19" s="735"/>
      <c r="E19" s="735"/>
      <c r="F19" s="723"/>
      <c r="G19" s="723"/>
      <c r="H19" s="723"/>
      <c r="J19" s="726"/>
      <c r="K19" s="726"/>
    </row>
    <row r="20" spans="1:11" s="699" customFormat="1" x14ac:dyDescent="0.2">
      <c r="A20" s="725"/>
      <c r="B20" s="720"/>
      <c r="C20" s="721"/>
      <c r="D20" s="735"/>
      <c r="E20" s="735"/>
      <c r="F20" s="723"/>
      <c r="G20" s="723"/>
      <c r="H20" s="723"/>
      <c r="J20" s="726"/>
      <c r="K20" s="726"/>
    </row>
    <row r="21" spans="1:11" s="699" customFormat="1" x14ac:dyDescent="0.2">
      <c r="A21" s="725"/>
      <c r="B21" s="720"/>
      <c r="C21" s="721"/>
      <c r="D21" s="735"/>
      <c r="E21" s="735"/>
      <c r="F21" s="723"/>
      <c r="G21" s="723"/>
      <c r="H21" s="723"/>
      <c r="J21" s="726"/>
      <c r="K21" s="726"/>
    </row>
    <row r="22" spans="1:11" s="699" customFormat="1" x14ac:dyDescent="0.2">
      <c r="A22" s="725"/>
      <c r="B22" s="720"/>
      <c r="C22" s="721"/>
      <c r="D22" s="735"/>
      <c r="E22" s="735"/>
      <c r="F22" s="723"/>
      <c r="G22" s="723"/>
      <c r="H22" s="723"/>
      <c r="J22" s="726"/>
      <c r="K22" s="726"/>
    </row>
    <row r="23" spans="1:11" x14ac:dyDescent="0.2">
      <c r="A23" s="147"/>
      <c r="B23" s="142"/>
      <c r="C23" s="143"/>
      <c r="D23" s="168"/>
      <c r="E23" s="168"/>
      <c r="F23" s="145"/>
      <c r="G23" s="145"/>
      <c r="H23" s="145"/>
    </row>
    <row r="24" spans="1:11" x14ac:dyDescent="0.2">
      <c r="A24" s="147"/>
      <c r="B24" s="142"/>
      <c r="C24" s="143"/>
      <c r="D24" s="144"/>
      <c r="E24" s="144"/>
      <c r="F24" s="140"/>
      <c r="G24" s="145"/>
      <c r="H24" s="145"/>
    </row>
    <row r="25" spans="1:11" x14ac:dyDescent="0.2">
      <c r="A25" s="147"/>
      <c r="B25" s="142"/>
      <c r="C25" s="143"/>
      <c r="D25" s="144"/>
      <c r="E25" s="144"/>
      <c r="F25" s="140"/>
      <c r="G25" s="145"/>
      <c r="H25" s="145"/>
    </row>
    <row r="26" spans="1:11" x14ac:dyDescent="0.2">
      <c r="A26" s="147"/>
      <c r="B26" s="142"/>
      <c r="C26" s="143"/>
      <c r="D26" s="144"/>
      <c r="E26" s="144"/>
      <c r="F26" s="140"/>
      <c r="G26" s="145"/>
      <c r="H26" s="145"/>
    </row>
    <row r="27" spans="1:11" x14ac:dyDescent="0.2">
      <c r="A27" s="147"/>
      <c r="B27" s="142"/>
      <c r="C27" s="143"/>
      <c r="D27" s="144"/>
      <c r="E27" s="144"/>
      <c r="F27" s="140"/>
      <c r="G27" s="145"/>
      <c r="H27" s="145"/>
    </row>
    <row r="28" spans="1:11" x14ac:dyDescent="0.2">
      <c r="A28" s="147"/>
      <c r="B28" s="142"/>
      <c r="C28" s="143"/>
      <c r="D28" s="144"/>
      <c r="E28" s="144"/>
      <c r="F28" s="140"/>
      <c r="G28" s="145"/>
      <c r="H28" s="145"/>
    </row>
    <row r="29" spans="1:11" x14ac:dyDescent="0.2">
      <c r="A29" s="147"/>
      <c r="B29" s="142"/>
      <c r="C29" s="143"/>
      <c r="D29" s="144"/>
      <c r="E29" s="144"/>
      <c r="F29" s="140"/>
      <c r="G29" s="145"/>
      <c r="H29" s="145"/>
    </row>
    <row r="30" spans="1:11" x14ac:dyDescent="0.2">
      <c r="A30" s="147"/>
      <c r="B30" s="142"/>
      <c r="C30" s="143"/>
      <c r="D30" s="144"/>
      <c r="E30" s="144"/>
      <c r="F30" s="48"/>
      <c r="G30" s="66"/>
      <c r="H30" s="145"/>
    </row>
    <row r="31" spans="1:11" x14ac:dyDescent="0.2">
      <c r="A31" s="147"/>
      <c r="B31" s="142"/>
      <c r="C31" s="143"/>
      <c r="D31" s="144"/>
      <c r="E31" s="144"/>
      <c r="F31" s="48"/>
      <c r="G31" s="66"/>
      <c r="H31" s="66"/>
    </row>
    <row r="32" spans="1:11" x14ac:dyDescent="0.2">
      <c r="A32" s="147"/>
      <c r="B32" s="142"/>
      <c r="C32" s="143"/>
      <c r="D32" s="144"/>
      <c r="E32" s="144"/>
      <c r="F32" s="48"/>
      <c r="G32" s="66"/>
      <c r="H32" s="66"/>
    </row>
    <row r="33" spans="6:8" x14ac:dyDescent="0.2">
      <c r="F33" s="294" t="s">
        <v>123</v>
      </c>
      <c r="G33" s="294">
        <f>SUM(G7:G32)</f>
        <v>14</v>
      </c>
      <c r="H33" s="300">
        <f>SUM(H7:H32)</f>
        <v>6</v>
      </c>
    </row>
    <row r="34" spans="6:8" x14ac:dyDescent="0.2">
      <c r="F34" s="62"/>
      <c r="G34" s="63"/>
      <c r="H34" s="63"/>
    </row>
    <row r="35" spans="6:8" ht="14.25" x14ac:dyDescent="0.2">
      <c r="F35" s="1153" t="s">
        <v>8</v>
      </c>
      <c r="G35" s="1154"/>
      <c r="H35" s="84">
        <f>G33-H33</f>
        <v>8</v>
      </c>
    </row>
  </sheetData>
  <mergeCells count="3">
    <mergeCell ref="F35:G35"/>
    <mergeCell ref="J1:J3"/>
    <mergeCell ref="C1:H5"/>
  </mergeCells>
  <hyperlinks>
    <hyperlink ref="J1:J3" location="'ANA SAYFA'!A1" display="ANA SAYFA"/>
  </hyperlinks>
  <pageMargins left="0.7" right="0.7" top="0.75" bottom="0.75" header="0.3" footer="0.3"/>
  <pageSetup paperSize="9" orientation="portrait"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zoomScaleNormal="100" workbookViewId="0">
      <selection activeCell="J1" sqref="J1:J3"/>
    </sheetView>
  </sheetViews>
  <sheetFormatPr defaultColWidth="9.140625" defaultRowHeight="12.75" x14ac:dyDescent="0.2"/>
  <cols>
    <col min="1" max="1" width="18.5703125" style="82" bestFit="1" customWidth="1"/>
    <col min="2" max="3" width="25.85546875" style="82" bestFit="1" customWidth="1"/>
    <col min="4" max="5" width="9.28515625" style="82" bestFit="1" customWidth="1"/>
    <col min="6" max="6" width="22.85546875" style="82" bestFit="1" customWidth="1"/>
    <col min="7" max="7" width="14.42578125" style="82" bestFit="1" customWidth="1"/>
    <col min="8" max="8" width="12.7109375" style="82" bestFit="1" customWidth="1"/>
    <col min="9" max="9" width="4.5703125" style="82" customWidth="1"/>
    <col min="10" max="10" width="12.28515625" style="82" customWidth="1"/>
    <col min="11" max="16384" width="9.140625" style="82"/>
  </cols>
  <sheetData>
    <row r="1" spans="1:11" x14ac:dyDescent="0.2">
      <c r="A1" s="29" t="s">
        <v>135</v>
      </c>
      <c r="B1" s="216" t="str">
        <f>'ANA SAYFA'!B103</f>
        <v>MEHMET AYSOY</v>
      </c>
      <c r="C1" s="1166" t="s">
        <v>136</v>
      </c>
      <c r="D1" s="1166"/>
      <c r="E1" s="1166"/>
      <c r="F1" s="1166"/>
      <c r="G1" s="1166"/>
      <c r="H1" s="1166"/>
      <c r="J1" s="1157" t="s">
        <v>712</v>
      </c>
    </row>
    <row r="2" spans="1:11" x14ac:dyDescent="0.2">
      <c r="A2" s="29" t="s">
        <v>137</v>
      </c>
      <c r="B2" s="217">
        <f>'ANA SAYFA'!D103</f>
        <v>15554874830</v>
      </c>
      <c r="C2" s="1166"/>
      <c r="D2" s="1166"/>
      <c r="E2" s="1166"/>
      <c r="F2" s="1166"/>
      <c r="G2" s="1166"/>
      <c r="H2" s="1166"/>
      <c r="J2" s="1158"/>
    </row>
    <row r="3" spans="1:11" ht="26.25" thickBot="1" x14ac:dyDescent="0.25">
      <c r="A3" s="29" t="s">
        <v>131</v>
      </c>
      <c r="B3" s="216" t="str">
        <f>'ANA SAYFA'!C103</f>
        <v>BULDOZER-DOZER OPERATÖRÜ</v>
      </c>
      <c r="C3" s="1166"/>
      <c r="D3" s="1166"/>
      <c r="E3" s="1166"/>
      <c r="F3" s="1166"/>
      <c r="G3" s="1166"/>
      <c r="H3" s="1166"/>
      <c r="J3" s="1159"/>
    </row>
    <row r="4" spans="1:11" x14ac:dyDescent="0.2">
      <c r="A4" s="29" t="s">
        <v>120</v>
      </c>
      <c r="B4" s="218">
        <f>'ANA SAYFA'!E103</f>
        <v>45841</v>
      </c>
      <c r="C4" s="1166"/>
      <c r="D4" s="1166"/>
      <c r="E4" s="1166"/>
      <c r="F4" s="1166"/>
      <c r="G4" s="1166"/>
      <c r="H4" s="1166"/>
    </row>
    <row r="5" spans="1:11" x14ac:dyDescent="0.2">
      <c r="A5" s="29" t="s">
        <v>130</v>
      </c>
      <c r="B5" s="218">
        <f>'ANA SAYFA'!F103</f>
        <v>21961</v>
      </c>
      <c r="C5" s="1166"/>
      <c r="D5" s="1166"/>
      <c r="E5" s="1166"/>
      <c r="F5" s="1166"/>
      <c r="G5" s="1166"/>
      <c r="H5" s="1166"/>
      <c r="J5" s="699"/>
      <c r="K5" s="699"/>
    </row>
    <row r="6" spans="1:11" ht="31.5" x14ac:dyDescent="0.2">
      <c r="A6" s="69" t="s">
        <v>0</v>
      </c>
      <c r="B6" s="70" t="s">
        <v>1</v>
      </c>
      <c r="C6" s="69" t="s">
        <v>2</v>
      </c>
      <c r="D6" s="71" t="s">
        <v>133</v>
      </c>
      <c r="E6" s="71" t="s">
        <v>4</v>
      </c>
      <c r="F6" s="71" t="s">
        <v>7</v>
      </c>
      <c r="G6" s="71" t="s">
        <v>6</v>
      </c>
      <c r="H6" s="71" t="s">
        <v>3</v>
      </c>
      <c r="J6" s="699"/>
      <c r="K6" s="699"/>
    </row>
    <row r="7" spans="1:11" ht="14.25" customHeight="1" x14ac:dyDescent="0.2">
      <c r="A7" s="139"/>
      <c r="B7" s="155">
        <v>46069</v>
      </c>
      <c r="C7" s="156">
        <v>46076</v>
      </c>
      <c r="D7" s="722"/>
      <c r="E7" s="722"/>
      <c r="F7" s="1074" t="s">
        <v>1018</v>
      </c>
      <c r="G7" s="1075">
        <v>20</v>
      </c>
      <c r="H7" s="192">
        <v>7</v>
      </c>
      <c r="J7" s="190"/>
      <c r="K7" s="190"/>
    </row>
    <row r="8" spans="1:11" ht="14.25" customHeight="1" x14ac:dyDescent="0.2">
      <c r="A8" s="146"/>
      <c r="B8" s="155">
        <v>46099</v>
      </c>
      <c r="C8" s="156">
        <v>46106</v>
      </c>
      <c r="D8" s="722"/>
      <c r="E8" s="722"/>
      <c r="F8" s="189"/>
      <c r="G8" s="731"/>
      <c r="H8" s="192">
        <v>3</v>
      </c>
      <c r="J8" s="148"/>
      <c r="K8" s="148"/>
    </row>
    <row r="9" spans="1:11" ht="14.25" customHeight="1" x14ac:dyDescent="0.2">
      <c r="A9" s="994"/>
      <c r="B9" s="990" t="s">
        <v>984</v>
      </c>
      <c r="C9" s="995"/>
      <c r="D9" s="996"/>
      <c r="E9" s="996"/>
      <c r="F9" s="996"/>
      <c r="G9" s="1047"/>
      <c r="H9" s="979">
        <v>-3</v>
      </c>
      <c r="J9" s="148"/>
      <c r="K9" s="148"/>
    </row>
    <row r="10" spans="1:11" ht="14.25" customHeight="1" x14ac:dyDescent="0.2">
      <c r="A10" s="141"/>
      <c r="B10" s="155">
        <v>46122</v>
      </c>
      <c r="C10" s="158">
        <v>46126</v>
      </c>
      <c r="D10" s="722"/>
      <c r="E10" s="722"/>
      <c r="F10" s="189"/>
      <c r="G10" s="731"/>
      <c r="H10" s="192">
        <v>3</v>
      </c>
      <c r="J10" s="82" t="s">
        <v>830</v>
      </c>
    </row>
    <row r="11" spans="1:11" s="699" customFormat="1" ht="14.25" customHeight="1" x14ac:dyDescent="0.2">
      <c r="A11" s="994"/>
      <c r="B11" s="990" t="s">
        <v>1004</v>
      </c>
      <c r="C11" s="995"/>
      <c r="D11" s="996"/>
      <c r="E11" s="996"/>
      <c r="F11" s="996"/>
      <c r="G11" s="1047"/>
      <c r="H11" s="979">
        <v>-3</v>
      </c>
      <c r="J11" s="726"/>
      <c r="K11" s="726"/>
    </row>
    <row r="12" spans="1:11" ht="14.25" customHeight="1" x14ac:dyDescent="0.2">
      <c r="A12" s="147"/>
      <c r="B12" s="142"/>
      <c r="C12" s="142"/>
      <c r="D12" s="722"/>
      <c r="E12" s="722"/>
      <c r="F12" s="145"/>
      <c r="G12" s="723"/>
      <c r="H12" s="145"/>
      <c r="J12" s="357"/>
      <c r="K12" s="148"/>
    </row>
    <row r="13" spans="1:11" ht="14.25" customHeight="1" x14ac:dyDescent="0.2">
      <c r="A13" s="725"/>
      <c r="B13" s="720"/>
      <c r="C13" s="721"/>
      <c r="D13" s="722"/>
      <c r="E13" s="722"/>
      <c r="F13" s="722"/>
      <c r="G13" s="718"/>
      <c r="H13" s="723"/>
    </row>
    <row r="14" spans="1:11" ht="14.25" customHeight="1" x14ac:dyDescent="0.2">
      <c r="A14" s="725"/>
      <c r="B14" s="720"/>
      <c r="C14" s="721"/>
      <c r="D14" s="722"/>
      <c r="E14" s="722"/>
      <c r="F14" s="722"/>
      <c r="G14" s="718"/>
      <c r="H14" s="723"/>
    </row>
    <row r="15" spans="1:11" ht="14.25" customHeight="1" x14ac:dyDescent="0.2">
      <c r="A15" s="725"/>
      <c r="B15" s="720"/>
      <c r="C15" s="721"/>
      <c r="D15" s="722"/>
      <c r="E15" s="722"/>
      <c r="F15" s="722"/>
      <c r="G15" s="718"/>
      <c r="H15" s="723"/>
    </row>
    <row r="16" spans="1:11" s="699" customFormat="1" ht="14.25" customHeight="1" x14ac:dyDescent="0.2">
      <c r="A16" s="725"/>
      <c r="B16" s="720"/>
      <c r="C16" s="721"/>
      <c r="D16" s="722"/>
      <c r="E16" s="722"/>
      <c r="F16" s="722"/>
      <c r="G16" s="718"/>
      <c r="H16" s="723"/>
    </row>
    <row r="17" spans="1:11" s="699" customFormat="1" ht="14.25" customHeight="1" x14ac:dyDescent="0.2">
      <c r="A17" s="725"/>
      <c r="B17" s="720"/>
      <c r="C17" s="721"/>
      <c r="D17" s="722"/>
      <c r="E17" s="722"/>
      <c r="F17" s="722"/>
      <c r="G17" s="718"/>
      <c r="H17" s="723"/>
      <c r="K17" s="522"/>
    </row>
    <row r="18" spans="1:11" s="699" customFormat="1" ht="14.25" customHeight="1" x14ac:dyDescent="0.2">
      <c r="A18" s="725"/>
      <c r="B18" s="720"/>
      <c r="C18" s="721"/>
      <c r="D18" s="722"/>
      <c r="E18" s="722"/>
      <c r="F18" s="722"/>
      <c r="G18" s="718"/>
      <c r="H18" s="723"/>
    </row>
    <row r="19" spans="1:11" s="699" customFormat="1" ht="14.25" customHeight="1" x14ac:dyDescent="0.2">
      <c r="A19" s="725"/>
      <c r="B19" s="720"/>
      <c r="C19" s="721"/>
      <c r="D19" s="722"/>
      <c r="E19" s="722"/>
      <c r="F19" s="722"/>
      <c r="G19" s="718"/>
      <c r="H19" s="723"/>
    </row>
    <row r="20" spans="1:11" s="699" customFormat="1" ht="14.25" customHeight="1" x14ac:dyDescent="0.2">
      <c r="A20" s="725"/>
      <c r="B20" s="720"/>
      <c r="C20" s="721"/>
      <c r="D20" s="722"/>
      <c r="E20" s="722"/>
      <c r="F20" s="722"/>
      <c r="G20" s="718"/>
      <c r="H20" s="723"/>
    </row>
    <row r="21" spans="1:11" s="699" customFormat="1" ht="14.25" customHeight="1" x14ac:dyDescent="0.2">
      <c r="A21" s="725"/>
      <c r="B21" s="720"/>
      <c r="C21" s="721"/>
      <c r="D21" s="722"/>
      <c r="E21" s="722"/>
      <c r="F21" s="722"/>
      <c r="G21" s="718"/>
      <c r="H21" s="723"/>
    </row>
    <row r="22" spans="1:11" s="699" customFormat="1" ht="14.25" customHeight="1" x14ac:dyDescent="0.2">
      <c r="A22" s="725"/>
      <c r="B22" s="720"/>
      <c r="C22" s="721"/>
      <c r="D22" s="722"/>
      <c r="E22" s="722"/>
      <c r="F22" s="722"/>
      <c r="G22" s="718"/>
      <c r="H22" s="723"/>
    </row>
    <row r="23" spans="1:11" s="699" customFormat="1" ht="14.25" customHeight="1" x14ac:dyDescent="0.2">
      <c r="A23" s="725"/>
      <c r="B23" s="720"/>
      <c r="C23" s="721"/>
      <c r="D23" s="722"/>
      <c r="E23" s="722"/>
      <c r="F23" s="718"/>
      <c r="G23" s="723"/>
      <c r="H23" s="723"/>
    </row>
    <row r="24" spans="1:11" s="699" customFormat="1" ht="14.25" customHeight="1" x14ac:dyDescent="0.2">
      <c r="A24" s="725"/>
      <c r="B24" s="720"/>
      <c r="C24" s="721"/>
      <c r="D24" s="722"/>
      <c r="E24" s="722"/>
      <c r="F24" s="718"/>
      <c r="G24" s="723"/>
      <c r="H24" s="723"/>
    </row>
    <row r="25" spans="1:11" s="699" customFormat="1" ht="14.25" customHeight="1" x14ac:dyDescent="0.2">
      <c r="A25" s="725"/>
      <c r="B25" s="720"/>
      <c r="C25" s="721"/>
      <c r="D25" s="722"/>
      <c r="E25" s="722"/>
      <c r="F25" s="718"/>
      <c r="G25" s="723"/>
      <c r="H25" s="723"/>
    </row>
    <row r="26" spans="1:11" s="699" customFormat="1" ht="14.25" customHeight="1" x14ac:dyDescent="0.2">
      <c r="A26" s="725"/>
      <c r="B26" s="720"/>
      <c r="C26" s="721"/>
      <c r="D26" s="722"/>
      <c r="E26" s="722"/>
      <c r="F26" s="718"/>
      <c r="G26" s="723"/>
      <c r="H26" s="723"/>
    </row>
    <row r="27" spans="1:11" s="699" customFormat="1" ht="14.25" customHeight="1" x14ac:dyDescent="0.2">
      <c r="A27" s="725"/>
      <c r="B27" s="720"/>
      <c r="C27" s="721"/>
      <c r="D27" s="722"/>
      <c r="E27" s="722"/>
      <c r="F27" s="718"/>
      <c r="G27" s="723"/>
      <c r="H27" s="723"/>
    </row>
    <row r="28" spans="1:11" ht="14.25" customHeight="1" x14ac:dyDescent="0.2">
      <c r="A28" s="147"/>
      <c r="B28" s="142"/>
      <c r="C28" s="143"/>
      <c r="D28" s="144"/>
      <c r="E28" s="144"/>
      <c r="F28" s="140"/>
      <c r="G28" s="145"/>
      <c r="H28" s="145"/>
    </row>
    <row r="29" spans="1:11" ht="14.25" customHeight="1" x14ac:dyDescent="0.2">
      <c r="A29" s="147"/>
      <c r="B29" s="142"/>
      <c r="C29" s="143"/>
      <c r="D29" s="144"/>
      <c r="E29" s="144"/>
      <c r="F29" s="140"/>
      <c r="G29" s="145"/>
      <c r="H29" s="145"/>
    </row>
    <row r="30" spans="1:11" ht="14.25" customHeight="1" x14ac:dyDescent="0.2">
      <c r="A30" s="147"/>
      <c r="B30" s="142"/>
      <c r="C30" s="143"/>
      <c r="D30" s="144"/>
      <c r="E30" s="144"/>
      <c r="F30" s="140"/>
      <c r="G30" s="145"/>
      <c r="H30" s="145"/>
    </row>
    <row r="31" spans="1:11" ht="14.25" customHeight="1" x14ac:dyDescent="0.2">
      <c r="A31" s="147"/>
      <c r="B31" s="142"/>
      <c r="C31" s="143"/>
      <c r="D31" s="144"/>
      <c r="E31" s="144"/>
      <c r="F31" s="48"/>
      <c r="G31" s="66"/>
      <c r="H31" s="145"/>
    </row>
    <row r="32" spans="1:11" ht="14.25" customHeight="1" x14ac:dyDescent="0.2">
      <c r="A32" s="147"/>
      <c r="B32" s="142"/>
      <c r="C32" s="143"/>
      <c r="D32" s="144"/>
      <c r="E32" s="144"/>
      <c r="F32" s="48"/>
      <c r="G32" s="66"/>
      <c r="H32" s="66"/>
    </row>
    <row r="33" spans="1:8" ht="14.25" customHeight="1" x14ac:dyDescent="0.2">
      <c r="A33" s="147"/>
      <c r="B33" s="142"/>
      <c r="C33" s="143"/>
      <c r="D33" s="144"/>
      <c r="E33" s="144"/>
      <c r="F33" s="48"/>
      <c r="G33" s="66"/>
      <c r="H33" s="66"/>
    </row>
    <row r="34" spans="1:8" ht="18.75" customHeight="1" x14ac:dyDescent="0.2">
      <c r="F34" s="772" t="s">
        <v>123</v>
      </c>
      <c r="G34" s="772">
        <f>SUM(G7:G14)</f>
        <v>20</v>
      </c>
      <c r="H34" s="827">
        <f>SUM(H7:H32)</f>
        <v>7</v>
      </c>
    </row>
    <row r="35" spans="1:8" x14ac:dyDescent="0.2">
      <c r="F35" s="671"/>
      <c r="G35" s="714"/>
      <c r="H35" s="714"/>
    </row>
    <row r="36" spans="1:8" ht="14.25" x14ac:dyDescent="0.2">
      <c r="F36" s="1215" t="s">
        <v>8</v>
      </c>
      <c r="G36" s="1216"/>
      <c r="H36" s="797">
        <f>G34-H34</f>
        <v>13</v>
      </c>
    </row>
  </sheetData>
  <sortState ref="B16:J17">
    <sortCondition ref="B16"/>
  </sortState>
  <mergeCells count="3">
    <mergeCell ref="F36:G36"/>
    <mergeCell ref="J1:J3"/>
    <mergeCell ref="C1:H5"/>
  </mergeCells>
  <hyperlinks>
    <hyperlink ref="J1:J3" location="'ANA SAYFA'!A1" display="ANA SAYFA"/>
  </hyperlinks>
  <pageMargins left="0.7" right="0.12" top="0.12" bottom="0.75" header="0.12" footer="0.3"/>
  <pageSetup paperSize="9" scale="70" orientation="portrait"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topLeftCell="C1" zoomScale="90" zoomScaleNormal="90" workbookViewId="0">
      <pane ySplit="6" topLeftCell="A7" activePane="bottomLeft" state="frozen"/>
      <selection pane="bottomLeft" activeCell="J1" sqref="J1:J3"/>
    </sheetView>
  </sheetViews>
  <sheetFormatPr defaultColWidth="9.140625" defaultRowHeight="12.75" x14ac:dyDescent="0.2"/>
  <cols>
    <col min="1" max="1" width="18.140625" style="699" bestFit="1" customWidth="1"/>
    <col min="2" max="2" width="29.28515625" style="699" bestFit="1" customWidth="1"/>
    <col min="3" max="3" width="27.5703125" style="699" bestFit="1" customWidth="1"/>
    <col min="4" max="4" width="6.7109375" style="699" bestFit="1" customWidth="1"/>
    <col min="5" max="5" width="9.28515625" style="699" customWidth="1"/>
    <col min="6" max="6" width="23.42578125" style="699" customWidth="1"/>
    <col min="7" max="7" width="14.28515625" style="699" bestFit="1" customWidth="1"/>
    <col min="8" max="8" width="12.5703125" style="699" bestFit="1" customWidth="1"/>
    <col min="9" max="9" width="3.85546875" style="699" customWidth="1"/>
    <col min="10" max="10" width="11.42578125" style="699" bestFit="1" customWidth="1"/>
    <col min="11" max="16384" width="9.140625" style="699"/>
  </cols>
  <sheetData>
    <row r="1" spans="1:11" x14ac:dyDescent="0.2">
      <c r="A1" s="322" t="s">
        <v>135</v>
      </c>
      <c r="B1" s="216" t="str">
        <f>'ANA SAYFA'!B104</f>
        <v>SELÇUK DOĞAN</v>
      </c>
      <c r="C1" s="1166" t="s">
        <v>136</v>
      </c>
      <c r="D1" s="1166"/>
      <c r="E1" s="1166"/>
      <c r="F1" s="1166"/>
      <c r="G1" s="1166"/>
      <c r="H1" s="1166"/>
      <c r="J1" s="1228" t="s">
        <v>712</v>
      </c>
    </row>
    <row r="2" spans="1:11" x14ac:dyDescent="0.2">
      <c r="A2" s="322" t="s">
        <v>137</v>
      </c>
      <c r="B2" s="217">
        <f>'ANA SAYFA'!D104</f>
        <v>15418528374</v>
      </c>
      <c r="C2" s="1166"/>
      <c r="D2" s="1166"/>
      <c r="E2" s="1166"/>
      <c r="F2" s="1166"/>
      <c r="G2" s="1166"/>
      <c r="H2" s="1166"/>
      <c r="J2" s="1229"/>
    </row>
    <row r="3" spans="1:11" ht="13.5" thickBot="1" x14ac:dyDescent="0.25">
      <c r="A3" s="322" t="s">
        <v>131</v>
      </c>
      <c r="B3" s="216" t="str">
        <f>'ANA SAYFA'!C104</f>
        <v xml:space="preserve">ÖN MUHASEBECİ </v>
      </c>
      <c r="C3" s="1166"/>
      <c r="D3" s="1166"/>
      <c r="E3" s="1166"/>
      <c r="F3" s="1166"/>
      <c r="G3" s="1166"/>
      <c r="H3" s="1166"/>
      <c r="J3" s="1230"/>
    </row>
    <row r="4" spans="1:11" x14ac:dyDescent="0.2">
      <c r="A4" s="322" t="s">
        <v>120</v>
      </c>
      <c r="B4" s="218">
        <f>'ANA SAYFA'!E104</f>
        <v>45413</v>
      </c>
      <c r="C4" s="1166"/>
      <c r="D4" s="1166"/>
      <c r="E4" s="1166"/>
      <c r="F4" s="1166"/>
      <c r="G4" s="1166"/>
      <c r="H4" s="1166"/>
    </row>
    <row r="5" spans="1:11" x14ac:dyDescent="0.2">
      <c r="A5" s="322" t="s">
        <v>130</v>
      </c>
      <c r="B5" s="218">
        <v>29275</v>
      </c>
      <c r="C5" s="1166"/>
      <c r="D5" s="1166"/>
      <c r="E5" s="1166"/>
      <c r="F5" s="1166"/>
      <c r="G5" s="1166"/>
      <c r="H5" s="1166"/>
    </row>
    <row r="6" spans="1:11" ht="31.5" x14ac:dyDescent="0.2">
      <c r="A6" s="693" t="s">
        <v>0</v>
      </c>
      <c r="B6" s="694" t="s">
        <v>1</v>
      </c>
      <c r="C6" s="693" t="s">
        <v>2</v>
      </c>
      <c r="D6" s="695" t="s">
        <v>133</v>
      </c>
      <c r="E6" s="695" t="s">
        <v>4</v>
      </c>
      <c r="F6" s="695" t="s">
        <v>7</v>
      </c>
      <c r="G6" s="695" t="s">
        <v>6</v>
      </c>
      <c r="H6" s="695" t="s">
        <v>3</v>
      </c>
    </row>
    <row r="7" spans="1:11" ht="15" customHeight="1" x14ac:dyDescent="0.2">
      <c r="A7" s="717"/>
      <c r="B7" s="729">
        <v>45463</v>
      </c>
      <c r="C7" s="729">
        <v>45463</v>
      </c>
      <c r="D7" s="735"/>
      <c r="E7" s="735"/>
      <c r="F7" s="746" t="s">
        <v>1047</v>
      </c>
      <c r="G7" s="731">
        <v>14</v>
      </c>
      <c r="H7" s="749">
        <v>1</v>
      </c>
      <c r="J7" s="747"/>
      <c r="K7" s="747"/>
    </row>
    <row r="8" spans="1:11" ht="15" customHeight="1" x14ac:dyDescent="0.2">
      <c r="A8" s="724"/>
      <c r="B8" s="729">
        <v>45479</v>
      </c>
      <c r="C8" s="730">
        <v>45479</v>
      </c>
      <c r="D8" s="735"/>
      <c r="E8" s="722"/>
      <c r="F8" s="746" t="s">
        <v>1048</v>
      </c>
      <c r="G8" s="731">
        <v>14</v>
      </c>
      <c r="H8" s="749">
        <v>1</v>
      </c>
      <c r="J8" s="726"/>
      <c r="K8" s="726"/>
    </row>
    <row r="9" spans="1:11" ht="15" customHeight="1" x14ac:dyDescent="0.2">
      <c r="A9" s="724"/>
      <c r="B9" s="729">
        <v>45794</v>
      </c>
      <c r="C9" s="730">
        <v>45794</v>
      </c>
      <c r="D9" s="735"/>
      <c r="E9" s="722"/>
      <c r="F9" s="746"/>
      <c r="G9" s="731"/>
      <c r="H9" s="749">
        <v>1</v>
      </c>
      <c r="J9" s="726"/>
      <c r="K9" s="726"/>
    </row>
    <row r="10" spans="1:11" ht="15" customHeight="1" x14ac:dyDescent="0.2">
      <c r="A10" s="724"/>
      <c r="B10" s="729">
        <v>45892</v>
      </c>
      <c r="C10" s="730">
        <v>45892</v>
      </c>
      <c r="D10" s="735"/>
      <c r="E10" s="722"/>
      <c r="F10" s="746"/>
      <c r="G10" s="731"/>
      <c r="H10" s="749">
        <v>1</v>
      </c>
      <c r="J10" s="726"/>
      <c r="K10" s="726"/>
    </row>
    <row r="11" spans="1:11" ht="15" customHeight="1" x14ac:dyDescent="0.2">
      <c r="A11" s="724"/>
      <c r="B11" s="729">
        <v>45962</v>
      </c>
      <c r="C11" s="730">
        <v>45964</v>
      </c>
      <c r="D11" s="735"/>
      <c r="E11" s="722"/>
      <c r="F11" s="746"/>
      <c r="G11" s="731"/>
      <c r="H11" s="749">
        <v>1</v>
      </c>
      <c r="J11" s="726"/>
      <c r="K11" s="726"/>
    </row>
    <row r="12" spans="1:11" ht="15" customHeight="1" x14ac:dyDescent="0.2">
      <c r="A12" s="724"/>
      <c r="B12" s="729">
        <v>46039</v>
      </c>
      <c r="C12" s="730">
        <v>46041</v>
      </c>
      <c r="D12" s="735"/>
      <c r="E12" s="722"/>
      <c r="F12" s="746"/>
      <c r="G12" s="731"/>
      <c r="H12" s="749">
        <v>1</v>
      </c>
      <c r="J12" s="726"/>
      <c r="K12" s="726"/>
    </row>
    <row r="13" spans="1:11" ht="15" customHeight="1" x14ac:dyDescent="0.2">
      <c r="A13" s="724"/>
      <c r="B13" s="729">
        <v>46186</v>
      </c>
      <c r="C13" s="730">
        <v>46188</v>
      </c>
      <c r="D13" s="735"/>
      <c r="E13" s="722"/>
      <c r="F13" s="746"/>
      <c r="G13" s="731"/>
      <c r="H13" s="749">
        <v>1</v>
      </c>
      <c r="J13" s="726"/>
      <c r="K13" s="726"/>
    </row>
    <row r="14" spans="1:11" ht="15" customHeight="1" x14ac:dyDescent="0.2">
      <c r="A14" s="724"/>
      <c r="B14" s="729"/>
      <c r="C14" s="730"/>
      <c r="D14" s="735"/>
      <c r="E14" s="722"/>
      <c r="F14" s="746"/>
      <c r="G14" s="731"/>
      <c r="H14" s="749"/>
      <c r="J14" s="726"/>
      <c r="K14" s="726"/>
    </row>
    <row r="15" spans="1:11" ht="15" customHeight="1" x14ac:dyDescent="0.2">
      <c r="A15" s="724"/>
      <c r="B15" s="729"/>
      <c r="C15" s="730"/>
      <c r="D15" s="735"/>
      <c r="E15" s="722"/>
      <c r="F15" s="746"/>
      <c r="G15" s="731"/>
      <c r="H15" s="749"/>
      <c r="J15" s="726"/>
      <c r="K15" s="726"/>
    </row>
    <row r="16" spans="1:11" ht="15" customHeight="1" x14ac:dyDescent="0.2">
      <c r="A16" s="724"/>
      <c r="B16" s="729"/>
      <c r="C16" s="730"/>
      <c r="D16" s="735"/>
      <c r="E16" s="722"/>
      <c r="F16" s="746"/>
      <c r="G16" s="731"/>
      <c r="H16" s="749"/>
      <c r="J16" s="726"/>
      <c r="K16" s="726"/>
    </row>
    <row r="17" spans="1:12" ht="15" customHeight="1" x14ac:dyDescent="0.2">
      <c r="A17" s="724"/>
      <c r="B17" s="729"/>
      <c r="C17" s="730"/>
      <c r="D17" s="735"/>
      <c r="E17" s="722"/>
      <c r="F17" s="746"/>
      <c r="G17" s="731"/>
      <c r="H17" s="749"/>
      <c r="J17" s="726"/>
      <c r="K17" s="726"/>
    </row>
    <row r="18" spans="1:12" ht="15" customHeight="1" x14ac:dyDescent="0.2">
      <c r="A18" s="724"/>
      <c r="B18" s="729"/>
      <c r="C18" s="730"/>
      <c r="D18" s="735"/>
      <c r="E18" s="722"/>
      <c r="F18" s="746"/>
      <c r="G18" s="731"/>
      <c r="H18" s="749"/>
      <c r="J18" s="726"/>
      <c r="K18" s="726"/>
    </row>
    <row r="19" spans="1:12" ht="15" customHeight="1" x14ac:dyDescent="0.2">
      <c r="A19" s="724"/>
      <c r="B19" s="729"/>
      <c r="C19" s="730"/>
      <c r="D19" s="735"/>
      <c r="E19" s="722"/>
      <c r="F19" s="748"/>
      <c r="G19" s="723"/>
      <c r="H19" s="749"/>
      <c r="J19" s="726"/>
      <c r="K19" s="726"/>
      <c r="L19" s="773"/>
    </row>
    <row r="20" spans="1:12" ht="15" customHeight="1" x14ac:dyDescent="0.2">
      <c r="A20" s="719"/>
      <c r="B20" s="729"/>
      <c r="C20" s="732"/>
      <c r="D20" s="733"/>
      <c r="E20" s="733"/>
      <c r="F20" s="723"/>
      <c r="G20" s="723"/>
      <c r="H20" s="749"/>
    </row>
    <row r="21" spans="1:12" ht="15" customHeight="1" x14ac:dyDescent="0.2">
      <c r="A21" s="734"/>
      <c r="B21" s="729"/>
      <c r="C21" s="732"/>
      <c r="D21" s="735"/>
      <c r="E21" s="735"/>
      <c r="F21" s="723"/>
      <c r="G21" s="723"/>
      <c r="H21" s="731"/>
      <c r="J21" s="747"/>
      <c r="K21" s="747"/>
    </row>
    <row r="22" spans="1:12" ht="15" customHeight="1" x14ac:dyDescent="0.2">
      <c r="A22" s="725"/>
      <c r="B22" s="720"/>
      <c r="C22" s="721"/>
      <c r="D22" s="735"/>
      <c r="E22" s="735"/>
      <c r="F22" s="723"/>
      <c r="G22" s="723"/>
      <c r="H22" s="723"/>
      <c r="J22" s="726"/>
      <c r="K22" s="726"/>
    </row>
    <row r="23" spans="1:12" ht="15" customHeight="1" x14ac:dyDescent="0.2">
      <c r="A23" s="725"/>
      <c r="B23" s="720"/>
      <c r="C23" s="721"/>
      <c r="D23" s="735"/>
      <c r="E23" s="735"/>
      <c r="F23" s="723"/>
      <c r="G23" s="723"/>
      <c r="H23" s="723"/>
    </row>
    <row r="24" spans="1:12" ht="15" customHeight="1" x14ac:dyDescent="0.2">
      <c r="A24" s="725"/>
      <c r="B24" s="720"/>
      <c r="C24" s="721"/>
      <c r="D24" s="722"/>
      <c r="E24" s="722"/>
      <c r="F24" s="718"/>
      <c r="G24" s="723"/>
      <c r="H24" s="723"/>
    </row>
    <row r="25" spans="1:12" ht="15" customHeight="1" x14ac:dyDescent="0.2">
      <c r="A25" s="725"/>
      <c r="B25" s="720"/>
      <c r="C25" s="721"/>
      <c r="D25" s="722"/>
      <c r="E25" s="722"/>
      <c r="F25" s="718"/>
      <c r="G25" s="723"/>
      <c r="H25" s="723"/>
    </row>
    <row r="26" spans="1:12" ht="15" customHeight="1" x14ac:dyDescent="0.2">
      <c r="A26" s="725"/>
      <c r="B26" s="720"/>
      <c r="C26" s="721"/>
      <c r="D26" s="722"/>
      <c r="E26" s="722"/>
      <c r="F26" s="718"/>
      <c r="G26" s="723"/>
      <c r="H26" s="723"/>
    </row>
    <row r="27" spans="1:12" ht="15" customHeight="1" x14ac:dyDescent="0.2">
      <c r="A27" s="725"/>
      <c r="B27" s="720"/>
      <c r="C27" s="721"/>
      <c r="D27" s="722"/>
      <c r="E27" s="722"/>
      <c r="F27" s="718"/>
      <c r="G27" s="723"/>
      <c r="H27" s="723"/>
    </row>
    <row r="28" spans="1:12" ht="15" customHeight="1" x14ac:dyDescent="0.2">
      <c r="A28" s="725"/>
      <c r="B28" s="720"/>
      <c r="C28" s="721"/>
      <c r="D28" s="722"/>
      <c r="E28" s="722"/>
      <c r="F28" s="718"/>
      <c r="G28" s="723"/>
      <c r="H28" s="723"/>
    </row>
    <row r="29" spans="1:12" ht="15" customHeight="1" x14ac:dyDescent="0.2">
      <c r="A29" s="725"/>
      <c r="B29" s="720"/>
      <c r="C29" s="721"/>
      <c r="D29" s="722"/>
      <c r="E29" s="722"/>
      <c r="F29" s="718"/>
      <c r="G29" s="723"/>
      <c r="H29" s="723"/>
    </row>
    <row r="30" spans="1:12" ht="15" customHeight="1" x14ac:dyDescent="0.2">
      <c r="A30" s="725"/>
      <c r="B30" s="720"/>
      <c r="C30" s="721"/>
      <c r="D30" s="722"/>
      <c r="E30" s="722"/>
      <c r="F30" s="683"/>
      <c r="G30" s="691"/>
      <c r="H30" s="723"/>
    </row>
    <row r="31" spans="1:12" ht="15" customHeight="1" x14ac:dyDescent="0.2">
      <c r="A31" s="725"/>
      <c r="B31" s="720"/>
      <c r="C31" s="721"/>
      <c r="D31" s="722"/>
      <c r="E31" s="722"/>
      <c r="F31" s="683"/>
      <c r="G31" s="691"/>
      <c r="H31" s="691"/>
    </row>
    <row r="32" spans="1:12" ht="15" customHeight="1" x14ac:dyDescent="0.2">
      <c r="A32" s="725"/>
      <c r="B32" s="720"/>
      <c r="C32" s="721"/>
      <c r="D32" s="722"/>
      <c r="E32" s="722"/>
      <c r="F32" s="683"/>
      <c r="G32" s="691"/>
      <c r="H32" s="691"/>
    </row>
    <row r="33" spans="6:8" ht="15" customHeight="1" x14ac:dyDescent="0.2">
      <c r="F33" s="696" t="s">
        <v>123</v>
      </c>
      <c r="G33" s="696">
        <f>SUM(G7:G32)</f>
        <v>28</v>
      </c>
      <c r="H33" s="696">
        <f>SUM(H7:H32)</f>
        <v>7</v>
      </c>
    </row>
    <row r="34" spans="6:8" ht="15" customHeight="1" x14ac:dyDescent="0.2">
      <c r="F34" s="689"/>
      <c r="G34" s="690"/>
      <c r="H34" s="690"/>
    </row>
    <row r="35" spans="6:8" ht="15" customHeight="1" x14ac:dyDescent="0.2">
      <c r="F35" s="1153" t="s">
        <v>8</v>
      </c>
      <c r="G35" s="1154"/>
      <c r="H35" s="701">
        <f>G33-H33</f>
        <v>21</v>
      </c>
    </row>
  </sheetData>
  <mergeCells count="3">
    <mergeCell ref="F35:G35"/>
    <mergeCell ref="J1:J3"/>
    <mergeCell ref="C1:H5"/>
  </mergeCells>
  <hyperlinks>
    <hyperlink ref="J1:J3" location="'ANA SAYFA'!A1" display="ANA SAYFA"/>
  </hyperlinks>
  <pageMargins left="0.7" right="0.12" top="0.28999999999999998" bottom="0.75" header="0.3" footer="0.3"/>
  <pageSetup paperSize="9" scale="71" orientation="portrait"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2"/>
  <sheetViews>
    <sheetView workbookViewId="0">
      <pane ySplit="6" topLeftCell="A7" activePane="bottomLeft" state="frozen"/>
      <selection pane="bottomLeft" activeCell="J1" sqref="J1:J3"/>
    </sheetView>
  </sheetViews>
  <sheetFormatPr defaultRowHeight="12.75" x14ac:dyDescent="0.2"/>
  <cols>
    <col min="1" max="1" width="18.140625" bestFit="1" customWidth="1"/>
    <col min="2" max="2" width="27.28515625" bestFit="1" customWidth="1"/>
    <col min="3" max="3" width="27.5703125" bestFit="1" customWidth="1"/>
    <col min="4" max="4" width="9.7109375" customWidth="1"/>
    <col min="5" max="5" width="9.42578125" customWidth="1"/>
    <col min="6" max="6" width="20.85546875" bestFit="1" customWidth="1"/>
    <col min="7" max="7" width="13.85546875" customWidth="1"/>
    <col min="8" max="8" width="12.28515625" customWidth="1"/>
    <col min="9" max="9" width="4.42578125" customWidth="1"/>
    <col min="10" max="10" width="12" customWidth="1"/>
  </cols>
  <sheetData>
    <row r="1" spans="1:13" ht="14.25" customHeight="1" x14ac:dyDescent="0.2">
      <c r="A1" s="322" t="s">
        <v>135</v>
      </c>
      <c r="B1" s="216" t="str">
        <f>'ANA SAYFA'!B105</f>
        <v>SERVET ÇELİK</v>
      </c>
      <c r="C1" s="1166" t="s">
        <v>136</v>
      </c>
      <c r="D1" s="1166"/>
      <c r="E1" s="1166"/>
      <c r="F1" s="1166"/>
      <c r="G1" s="1166"/>
      <c r="H1" s="1166"/>
      <c r="I1" s="82"/>
      <c r="J1" s="1157" t="s">
        <v>712</v>
      </c>
      <c r="K1" s="82"/>
      <c r="L1" s="82"/>
      <c r="M1" s="82"/>
    </row>
    <row r="2" spans="1:13" ht="14.25" customHeight="1" x14ac:dyDescent="0.2">
      <c r="A2" s="322" t="s">
        <v>137</v>
      </c>
      <c r="B2" s="217">
        <f>'ANA SAYFA'!D105</f>
        <v>67213144198</v>
      </c>
      <c r="C2" s="1166"/>
      <c r="D2" s="1166"/>
      <c r="E2" s="1166"/>
      <c r="F2" s="1166"/>
      <c r="G2" s="1166"/>
      <c r="H2" s="1166"/>
      <c r="I2" s="82"/>
      <c r="J2" s="1158"/>
      <c r="K2" s="82"/>
      <c r="L2" s="82"/>
      <c r="M2" s="82"/>
    </row>
    <row r="3" spans="1:13" ht="14.25" customHeight="1" thickBot="1" x14ac:dyDescent="0.25">
      <c r="A3" s="322" t="s">
        <v>131</v>
      </c>
      <c r="B3" s="216" t="str">
        <f>'ANA SAYFA'!C105</f>
        <v>KAMYON ŞOFÖRÜ</v>
      </c>
      <c r="C3" s="1166"/>
      <c r="D3" s="1166"/>
      <c r="E3" s="1166"/>
      <c r="F3" s="1166"/>
      <c r="G3" s="1166"/>
      <c r="H3" s="1166"/>
      <c r="I3" s="82"/>
      <c r="J3" s="1159"/>
      <c r="K3" s="82"/>
      <c r="L3" s="82"/>
      <c r="M3" s="82"/>
    </row>
    <row r="4" spans="1:13" ht="14.25" customHeight="1" x14ac:dyDescent="0.2">
      <c r="A4" s="322" t="s">
        <v>120</v>
      </c>
      <c r="B4" s="218">
        <f>'ANA SAYFA'!E105</f>
        <v>45406</v>
      </c>
      <c r="C4" s="1166"/>
      <c r="D4" s="1166"/>
      <c r="E4" s="1166"/>
      <c r="F4" s="1166"/>
      <c r="G4" s="1166"/>
      <c r="H4" s="1166"/>
      <c r="I4" s="82"/>
      <c r="J4" s="82"/>
      <c r="K4" s="82"/>
      <c r="L4" s="82"/>
      <c r="M4" s="82"/>
    </row>
    <row r="5" spans="1:13" ht="14.25" customHeight="1" x14ac:dyDescent="0.2">
      <c r="A5" s="322" t="s">
        <v>130</v>
      </c>
      <c r="B5" s="218">
        <f>'ANA SAYFA'!F105</f>
        <v>26187</v>
      </c>
      <c r="C5" s="1166"/>
      <c r="D5" s="1166"/>
      <c r="E5" s="1166"/>
      <c r="F5" s="1166"/>
      <c r="G5" s="1166"/>
      <c r="H5" s="1166"/>
      <c r="I5" s="82"/>
      <c r="J5" s="82"/>
      <c r="K5" s="82"/>
      <c r="L5" s="82"/>
      <c r="M5" s="82"/>
    </row>
    <row r="6" spans="1:13" ht="31.5" x14ac:dyDescent="0.2">
      <c r="A6" s="69" t="s">
        <v>0</v>
      </c>
      <c r="B6" s="70" t="s">
        <v>1</v>
      </c>
      <c r="C6" s="69" t="s">
        <v>2</v>
      </c>
      <c r="D6" s="71" t="s">
        <v>133</v>
      </c>
      <c r="E6" s="71" t="s">
        <v>4</v>
      </c>
      <c r="F6" s="71" t="s">
        <v>7</v>
      </c>
      <c r="G6" s="71" t="s">
        <v>6</v>
      </c>
      <c r="H6" s="71" t="s">
        <v>3</v>
      </c>
      <c r="I6" s="82"/>
      <c r="J6" s="82"/>
      <c r="K6" s="82"/>
      <c r="L6" s="82"/>
      <c r="M6" s="82"/>
    </row>
    <row r="7" spans="1:13" ht="20.100000000000001" customHeight="1" x14ac:dyDescent="0.2">
      <c r="A7" s="717"/>
      <c r="B7" s="729">
        <v>45953</v>
      </c>
      <c r="C7" s="730">
        <v>45954</v>
      </c>
      <c r="D7" s="735"/>
      <c r="E7" s="735"/>
      <c r="F7" s="218" t="s">
        <v>903</v>
      </c>
      <c r="G7" s="157">
        <v>14</v>
      </c>
      <c r="H7" s="749">
        <v>1</v>
      </c>
      <c r="I7" s="82"/>
      <c r="J7" s="190"/>
      <c r="K7" s="190"/>
      <c r="L7" s="82"/>
      <c r="M7" s="82"/>
    </row>
    <row r="8" spans="1:13" ht="20.100000000000001" customHeight="1" x14ac:dyDescent="0.2">
      <c r="A8" s="717"/>
      <c r="B8" s="729">
        <v>46099</v>
      </c>
      <c r="C8" s="730">
        <v>46100</v>
      </c>
      <c r="D8" s="735"/>
      <c r="E8" s="735"/>
      <c r="F8" s="218"/>
      <c r="G8" s="157"/>
      <c r="H8" s="749">
        <v>1</v>
      </c>
      <c r="I8" s="82"/>
      <c r="J8" s="190"/>
      <c r="K8" s="190"/>
      <c r="L8" s="82"/>
      <c r="M8" s="82"/>
    </row>
    <row r="9" spans="1:13" ht="20.100000000000001" customHeight="1" x14ac:dyDescent="0.2">
      <c r="A9" s="139"/>
      <c r="B9" s="729">
        <v>46165</v>
      </c>
      <c r="C9" s="730">
        <v>46174</v>
      </c>
      <c r="D9" s="735"/>
      <c r="E9" s="735"/>
      <c r="F9" s="218"/>
      <c r="G9" s="157"/>
      <c r="H9" s="192">
        <v>2</v>
      </c>
      <c r="I9" s="82"/>
      <c r="J9" s="190"/>
      <c r="K9" s="190"/>
      <c r="L9" s="82"/>
      <c r="M9" s="82"/>
    </row>
    <row r="10" spans="1:13" ht="20.100000000000001" customHeight="1" x14ac:dyDescent="0.2">
      <c r="A10" s="146"/>
      <c r="B10" s="876"/>
      <c r="C10" s="675"/>
      <c r="D10" s="735"/>
      <c r="E10" s="735"/>
      <c r="F10" s="112"/>
      <c r="G10" s="106"/>
      <c r="H10" s="749"/>
      <c r="I10" s="82"/>
      <c r="J10" s="148"/>
      <c r="K10" s="148"/>
      <c r="L10" s="82"/>
      <c r="M10" s="356"/>
    </row>
    <row r="11" spans="1:13" ht="20.100000000000001" customHeight="1" x14ac:dyDescent="0.2">
      <c r="A11" s="146"/>
      <c r="B11" s="729"/>
      <c r="C11" s="729"/>
      <c r="D11" s="735"/>
      <c r="E11" s="735"/>
      <c r="F11" s="191"/>
      <c r="G11" s="145"/>
      <c r="H11" s="749"/>
      <c r="I11" s="82"/>
      <c r="J11" s="148"/>
      <c r="K11" s="148"/>
      <c r="L11" s="82"/>
      <c r="M11" s="82"/>
    </row>
    <row r="12" spans="1:13" ht="20.100000000000001" customHeight="1" x14ac:dyDescent="0.2">
      <c r="A12" s="141"/>
      <c r="B12" s="729"/>
      <c r="C12" s="732"/>
      <c r="D12" s="735"/>
      <c r="E12" s="735"/>
      <c r="F12" s="145"/>
      <c r="G12" s="145"/>
      <c r="H12" s="749"/>
      <c r="I12" s="82"/>
      <c r="J12" s="82"/>
      <c r="K12" s="82"/>
      <c r="L12" s="82"/>
      <c r="M12" s="82"/>
    </row>
    <row r="13" spans="1:13" ht="20.100000000000001" customHeight="1" x14ac:dyDescent="0.2">
      <c r="A13" s="160"/>
      <c r="B13" s="729"/>
      <c r="C13" s="732"/>
      <c r="D13" s="735"/>
      <c r="E13" s="735"/>
      <c r="F13" s="145"/>
      <c r="G13" s="145"/>
      <c r="H13" s="749"/>
      <c r="I13" s="82"/>
      <c r="J13" s="190"/>
      <c r="K13" s="190"/>
      <c r="L13" s="82"/>
      <c r="M13" s="82"/>
    </row>
    <row r="14" spans="1:13" ht="20.100000000000001" customHeight="1" x14ac:dyDescent="0.2">
      <c r="A14" s="147"/>
      <c r="B14" s="720"/>
      <c r="C14" s="721"/>
      <c r="D14" s="735"/>
      <c r="E14" s="735"/>
      <c r="F14" s="145"/>
      <c r="G14" s="145"/>
      <c r="H14" s="749"/>
      <c r="I14" s="82"/>
      <c r="J14" s="148"/>
      <c r="K14" s="148"/>
      <c r="L14" s="82"/>
      <c r="M14" s="82"/>
    </row>
    <row r="15" spans="1:13" ht="20.100000000000001" customHeight="1" x14ac:dyDescent="0.2">
      <c r="A15" s="147"/>
      <c r="B15" s="720"/>
      <c r="C15" s="721"/>
      <c r="D15" s="735"/>
      <c r="E15" s="735"/>
      <c r="F15" s="145"/>
      <c r="G15" s="145"/>
      <c r="H15" s="749"/>
      <c r="I15" s="82"/>
      <c r="J15" s="82"/>
      <c r="K15" s="82"/>
      <c r="L15" s="82"/>
      <c r="M15" s="82"/>
    </row>
    <row r="16" spans="1:13" ht="20.100000000000001" customHeight="1" x14ac:dyDescent="0.2">
      <c r="A16" s="147"/>
      <c r="B16" s="720"/>
      <c r="C16" s="721"/>
      <c r="D16" s="735"/>
      <c r="E16" s="735"/>
      <c r="F16" s="140"/>
      <c r="G16" s="145"/>
      <c r="H16" s="749"/>
      <c r="I16" s="82"/>
      <c r="J16" s="82"/>
      <c r="K16" s="82"/>
      <c r="L16" s="82"/>
      <c r="M16" s="82"/>
    </row>
    <row r="17" spans="1:13" ht="20.100000000000001" customHeight="1" x14ac:dyDescent="0.2">
      <c r="A17" s="147"/>
      <c r="B17" s="720"/>
      <c r="C17" s="721"/>
      <c r="D17" s="735"/>
      <c r="E17" s="735"/>
      <c r="F17" s="140"/>
      <c r="G17" s="145"/>
      <c r="H17" s="749"/>
      <c r="I17" s="82"/>
      <c r="J17" s="82"/>
      <c r="K17" s="82"/>
      <c r="L17" s="82"/>
      <c r="M17" s="82"/>
    </row>
    <row r="18" spans="1:13" ht="20.100000000000001" customHeight="1" x14ac:dyDescent="0.2">
      <c r="A18" s="147"/>
      <c r="B18" s="720"/>
      <c r="C18" s="721"/>
      <c r="D18" s="735"/>
      <c r="E18" s="735"/>
      <c r="F18" s="140"/>
      <c r="G18" s="145"/>
      <c r="H18" s="749"/>
      <c r="I18" s="82"/>
      <c r="J18" s="82"/>
      <c r="K18" s="82"/>
      <c r="L18" s="82"/>
      <c r="M18" s="82"/>
    </row>
    <row r="19" spans="1:13" ht="20.100000000000001" customHeight="1" x14ac:dyDescent="0.2">
      <c r="A19" s="147"/>
      <c r="B19" s="720"/>
      <c r="C19" s="721"/>
      <c r="D19" s="735"/>
      <c r="E19" s="735"/>
      <c r="F19" s="140"/>
      <c r="G19" s="145"/>
      <c r="H19" s="749"/>
      <c r="I19" s="82"/>
      <c r="J19" s="82"/>
      <c r="K19" s="82"/>
      <c r="L19" s="82"/>
      <c r="M19" s="82"/>
    </row>
    <row r="20" spans="1:13" ht="20.100000000000001" customHeight="1" x14ac:dyDescent="0.2">
      <c r="A20" s="147"/>
      <c r="B20" s="720"/>
      <c r="C20" s="721"/>
      <c r="D20" s="735"/>
      <c r="E20" s="735"/>
      <c r="F20" s="140"/>
      <c r="G20" s="145"/>
      <c r="H20" s="749"/>
      <c r="I20" s="82"/>
      <c r="J20" s="82"/>
      <c r="K20" s="82"/>
      <c r="L20" s="82"/>
      <c r="M20" s="82"/>
    </row>
    <row r="21" spans="1:13" ht="20.100000000000001" customHeight="1" x14ac:dyDescent="0.2">
      <c r="A21" s="147"/>
      <c r="B21" s="720"/>
      <c r="C21" s="721"/>
      <c r="D21" s="735"/>
      <c r="E21" s="735"/>
      <c r="F21" s="140"/>
      <c r="G21" s="145"/>
      <c r="H21" s="749"/>
      <c r="I21" s="82"/>
      <c r="J21" s="82"/>
      <c r="K21" s="82"/>
      <c r="L21" s="82"/>
      <c r="M21" s="82"/>
    </row>
    <row r="22" spans="1:13" ht="20.100000000000001" customHeight="1" x14ac:dyDescent="0.2">
      <c r="A22" s="147"/>
      <c r="B22" s="720"/>
      <c r="C22" s="721"/>
      <c r="D22" s="735"/>
      <c r="E22" s="735"/>
      <c r="F22" s="48"/>
      <c r="G22" s="66"/>
      <c r="H22" s="749"/>
      <c r="I22" s="82"/>
      <c r="J22" s="82"/>
      <c r="K22" s="82"/>
      <c r="L22" s="82"/>
      <c r="M22" s="82"/>
    </row>
    <row r="23" spans="1:13" ht="20.100000000000001" customHeight="1" x14ac:dyDescent="0.2">
      <c r="A23" s="147"/>
      <c r="B23" s="720"/>
      <c r="C23" s="721"/>
      <c r="D23" s="735"/>
      <c r="E23" s="735"/>
      <c r="F23" s="48"/>
      <c r="G23" s="66"/>
      <c r="H23" s="749"/>
      <c r="I23" s="82"/>
      <c r="J23" s="82"/>
      <c r="K23" s="82"/>
      <c r="L23" s="82"/>
      <c r="M23" s="82"/>
    </row>
    <row r="24" spans="1:13" ht="20.100000000000001" customHeight="1" x14ac:dyDescent="0.2">
      <c r="A24" s="147"/>
      <c r="B24" s="720"/>
      <c r="C24" s="721"/>
      <c r="D24" s="735"/>
      <c r="E24" s="735"/>
      <c r="F24" s="48"/>
      <c r="G24" s="66"/>
      <c r="H24" s="749"/>
      <c r="I24" s="82"/>
      <c r="J24" s="82"/>
      <c r="K24" s="82"/>
      <c r="L24" s="82"/>
      <c r="M24" s="82"/>
    </row>
    <row r="25" spans="1:13" ht="20.100000000000001" customHeight="1" x14ac:dyDescent="0.2">
      <c r="A25" s="82"/>
      <c r="B25" s="82"/>
      <c r="C25" s="82"/>
      <c r="D25" s="82"/>
      <c r="E25" s="82"/>
      <c r="F25" s="353" t="s">
        <v>123</v>
      </c>
      <c r="G25" s="353">
        <f>SUM(G7:G16)</f>
        <v>14</v>
      </c>
      <c r="H25" s="827">
        <f>SUM(H7:H24)</f>
        <v>4</v>
      </c>
      <c r="I25" s="82"/>
      <c r="J25" s="82"/>
      <c r="K25" s="82"/>
      <c r="L25" s="82"/>
      <c r="M25" s="82"/>
    </row>
    <row r="26" spans="1:13" ht="20.100000000000001" customHeight="1" x14ac:dyDescent="0.2">
      <c r="A26" s="82"/>
      <c r="B26" s="82"/>
      <c r="C26" s="82"/>
      <c r="D26" s="82"/>
      <c r="E26" s="82"/>
      <c r="F26" s="33"/>
      <c r="G26" s="133"/>
      <c r="H26" s="133"/>
      <c r="I26" s="82"/>
      <c r="J26" s="82"/>
      <c r="K26" s="82"/>
      <c r="L26" s="82"/>
      <c r="M26" s="82"/>
    </row>
    <row r="27" spans="1:13" ht="20.100000000000001" customHeight="1" x14ac:dyDescent="0.2">
      <c r="A27" s="82"/>
      <c r="B27" s="82"/>
      <c r="C27" s="82"/>
      <c r="D27" s="82"/>
      <c r="E27" s="82"/>
      <c r="F27" s="1263" t="s">
        <v>8</v>
      </c>
      <c r="G27" s="1264"/>
      <c r="H27" s="638">
        <f>G25-H25</f>
        <v>10</v>
      </c>
      <c r="I27" s="82"/>
      <c r="J27" s="82"/>
      <c r="K27" s="82"/>
      <c r="L27" s="82"/>
      <c r="M27" s="82"/>
    </row>
    <row r="28" spans="1:13" x14ac:dyDescent="0.2">
      <c r="A28" s="82"/>
      <c r="B28" s="82"/>
      <c r="C28" s="82"/>
      <c r="D28" s="82"/>
      <c r="E28" s="82"/>
      <c r="F28" s="82"/>
      <c r="G28" s="82"/>
      <c r="H28" s="82"/>
      <c r="I28" s="82"/>
      <c r="J28" s="82"/>
      <c r="K28" s="82"/>
      <c r="L28" s="82"/>
      <c r="M28" s="82"/>
    </row>
    <row r="29" spans="1:13" x14ac:dyDescent="0.2">
      <c r="A29" s="82"/>
      <c r="B29" s="82"/>
      <c r="C29" s="82"/>
      <c r="D29" s="82"/>
      <c r="E29" s="82"/>
      <c r="F29" s="82"/>
      <c r="G29" s="82"/>
      <c r="H29" s="82"/>
      <c r="I29" s="82"/>
      <c r="J29" s="82"/>
      <c r="K29" s="82"/>
      <c r="L29" s="82"/>
      <c r="M29" s="82"/>
    </row>
    <row r="30" spans="1:13" x14ac:dyDescent="0.2">
      <c r="A30" s="82"/>
      <c r="B30" s="82"/>
      <c r="C30" s="82"/>
      <c r="D30" s="82"/>
      <c r="E30" s="82"/>
      <c r="F30" s="82"/>
      <c r="G30" s="82"/>
      <c r="H30" s="82"/>
      <c r="I30" s="82"/>
      <c r="J30" s="82"/>
      <c r="K30" s="82"/>
      <c r="L30" s="82"/>
      <c r="M30" s="82"/>
    </row>
    <row r="31" spans="1:13" x14ac:dyDescent="0.2">
      <c r="A31" s="82"/>
      <c r="B31" s="82"/>
      <c r="C31" s="82"/>
      <c r="D31" s="82"/>
      <c r="E31" s="82"/>
      <c r="F31" s="82"/>
      <c r="G31" s="82"/>
      <c r="H31" s="82"/>
      <c r="I31" s="82"/>
      <c r="J31" s="82"/>
      <c r="K31" s="82"/>
      <c r="L31" s="82"/>
      <c r="M31" s="82"/>
    </row>
    <row r="32" spans="1:13" x14ac:dyDescent="0.2">
      <c r="A32" s="82"/>
      <c r="B32" s="82"/>
      <c r="C32" s="82"/>
      <c r="D32" s="82"/>
      <c r="E32" s="82"/>
      <c r="F32" s="82"/>
      <c r="G32" s="82"/>
      <c r="H32" s="82"/>
      <c r="I32" s="82"/>
      <c r="J32" s="82"/>
      <c r="K32" s="82"/>
      <c r="L32" s="82"/>
      <c r="M32" s="82"/>
    </row>
  </sheetData>
  <mergeCells count="3">
    <mergeCell ref="F27:G27"/>
    <mergeCell ref="J1:J3"/>
    <mergeCell ref="C1:H5"/>
  </mergeCells>
  <hyperlinks>
    <hyperlink ref="J1:J3" location="'ANA SAYFA'!A1" display="ANA SAYFA"/>
  </hyperlinks>
  <pageMargins left="0.72" right="0.12" top="0.21" bottom="0.75" header="0.21" footer="0.3"/>
  <pageSetup paperSize="9" scale="71" orientation="portrait"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6"/>
  <sheetViews>
    <sheetView zoomScaleNormal="100" workbookViewId="0">
      <selection activeCell="J1" sqref="J1:J3"/>
    </sheetView>
  </sheetViews>
  <sheetFormatPr defaultRowHeight="12.75" x14ac:dyDescent="0.2"/>
  <cols>
    <col min="1" max="1" width="18.140625" bestFit="1" customWidth="1"/>
    <col min="2" max="2" width="26.28515625" bestFit="1" customWidth="1"/>
    <col min="3" max="3" width="28.28515625" bestFit="1" customWidth="1"/>
    <col min="6" max="6" width="20.140625" bestFit="1" customWidth="1"/>
    <col min="7" max="8" width="12.42578125" customWidth="1"/>
    <col min="9" max="9" width="3.85546875" customWidth="1"/>
    <col min="10" max="10" width="11.5703125" customWidth="1"/>
  </cols>
  <sheetData>
    <row r="1" spans="1:11" x14ac:dyDescent="0.2">
      <c r="A1" s="29" t="s">
        <v>135</v>
      </c>
      <c r="B1" s="187" t="str">
        <f>'ANA SAYFA'!B106</f>
        <v>İSMAİL ÖZDEMİR</v>
      </c>
      <c r="C1" s="1166" t="s">
        <v>136</v>
      </c>
      <c r="D1" s="1166"/>
      <c r="E1" s="1166"/>
      <c r="F1" s="1166"/>
      <c r="G1" s="1166"/>
      <c r="H1" s="1166"/>
      <c r="I1" s="82"/>
      <c r="J1" s="1157" t="s">
        <v>712</v>
      </c>
      <c r="K1" s="82"/>
    </row>
    <row r="2" spans="1:11" x14ac:dyDescent="0.2">
      <c r="A2" s="29" t="s">
        <v>137</v>
      </c>
      <c r="B2" s="186">
        <f>'ANA SAYFA'!D106</f>
        <v>27746260284</v>
      </c>
      <c r="C2" s="1166"/>
      <c r="D2" s="1166"/>
      <c r="E2" s="1166"/>
      <c r="F2" s="1166"/>
      <c r="G2" s="1166"/>
      <c r="H2" s="1166"/>
      <c r="I2" s="82"/>
      <c r="J2" s="1158"/>
      <c r="K2" s="82"/>
    </row>
    <row r="3" spans="1:11" ht="13.5" thickBot="1" x14ac:dyDescent="0.25">
      <c r="A3" s="29" t="s">
        <v>131</v>
      </c>
      <c r="B3" s="187" t="str">
        <f>'ANA SAYFA'!C106</f>
        <v>GREYDER OPERATÖRÜ</v>
      </c>
      <c r="C3" s="1166"/>
      <c r="D3" s="1166"/>
      <c r="E3" s="1166"/>
      <c r="F3" s="1166"/>
      <c r="G3" s="1166"/>
      <c r="H3" s="1166"/>
      <c r="I3" s="82"/>
      <c r="J3" s="1159"/>
      <c r="K3" s="82"/>
    </row>
    <row r="4" spans="1:11" x14ac:dyDescent="0.2">
      <c r="A4" s="29" t="s">
        <v>120</v>
      </c>
      <c r="B4" s="136">
        <f>'ANA SAYFA'!E106</f>
        <v>44845</v>
      </c>
      <c r="C4" s="1166"/>
      <c r="D4" s="1166"/>
      <c r="E4" s="1166"/>
      <c r="F4" s="1166"/>
      <c r="G4" s="1166"/>
      <c r="H4" s="1166"/>
      <c r="I4" s="82"/>
      <c r="J4" s="82"/>
      <c r="K4" s="82"/>
    </row>
    <row r="5" spans="1:11" x14ac:dyDescent="0.2">
      <c r="A5" s="29" t="s">
        <v>130</v>
      </c>
      <c r="B5" s="218">
        <f>'ANA SAYFA'!F106</f>
        <v>22899</v>
      </c>
      <c r="C5" s="1166"/>
      <c r="D5" s="1166"/>
      <c r="E5" s="1166"/>
      <c r="F5" s="1166"/>
      <c r="G5" s="1166"/>
      <c r="H5" s="1166"/>
      <c r="I5" s="82"/>
      <c r="J5" s="653"/>
      <c r="K5" s="653"/>
    </row>
    <row r="6" spans="1:11" ht="31.5" x14ac:dyDescent="0.2">
      <c r="A6" s="69" t="s">
        <v>0</v>
      </c>
      <c r="B6" s="70" t="s">
        <v>1</v>
      </c>
      <c r="C6" s="69" t="s">
        <v>2</v>
      </c>
      <c r="D6" s="71" t="s">
        <v>133</v>
      </c>
      <c r="E6" s="71" t="s">
        <v>4</v>
      </c>
      <c r="F6" s="71" t="s">
        <v>7</v>
      </c>
      <c r="G6" s="71" t="s">
        <v>6</v>
      </c>
      <c r="H6" s="71" t="s">
        <v>3</v>
      </c>
      <c r="I6" s="82"/>
      <c r="J6" s="653"/>
      <c r="K6" s="653"/>
    </row>
    <row r="7" spans="1:11" s="774" customFormat="1" ht="15" customHeight="1" x14ac:dyDescent="0.2">
      <c r="A7" s="717"/>
      <c r="B7" s="674">
        <v>45157</v>
      </c>
      <c r="C7" s="675">
        <v>45161</v>
      </c>
      <c r="D7" s="676">
        <v>0.33333333333333331</v>
      </c>
      <c r="E7" s="676">
        <v>0.33333333333333331</v>
      </c>
      <c r="F7" s="807" t="s">
        <v>628</v>
      </c>
      <c r="G7" s="703">
        <v>20</v>
      </c>
      <c r="H7" s="705">
        <v>3</v>
      </c>
      <c r="I7" s="759"/>
      <c r="J7" s="747"/>
      <c r="K7" s="747"/>
    </row>
    <row r="8" spans="1:11" s="774" customFormat="1" ht="15" customHeight="1" x14ac:dyDescent="0.2">
      <c r="A8" s="724"/>
      <c r="B8" s="674">
        <v>45246</v>
      </c>
      <c r="C8" s="675">
        <v>45250</v>
      </c>
      <c r="D8" s="676">
        <v>0.33333333333333331</v>
      </c>
      <c r="E8" s="687">
        <v>0.33333333333333331</v>
      </c>
      <c r="F8" s="807" t="s">
        <v>667</v>
      </c>
      <c r="G8" s="703">
        <v>20</v>
      </c>
      <c r="H8" s="705">
        <v>3</v>
      </c>
      <c r="I8" s="759"/>
      <c r="J8" s="726"/>
      <c r="K8" s="726"/>
    </row>
    <row r="9" spans="1:11" s="774" customFormat="1" ht="15" customHeight="1" x14ac:dyDescent="0.2">
      <c r="A9" s="724"/>
      <c r="B9" s="729">
        <v>45401</v>
      </c>
      <c r="C9" s="729">
        <v>45401</v>
      </c>
      <c r="D9" s="676">
        <v>0.33333333333333331</v>
      </c>
      <c r="E9" s="676">
        <v>0.33333333333333331</v>
      </c>
      <c r="F9" s="992" t="s">
        <v>909</v>
      </c>
      <c r="G9" s="723">
        <v>20</v>
      </c>
      <c r="H9" s="749">
        <v>1</v>
      </c>
      <c r="I9" s="759"/>
      <c r="J9" s="726"/>
      <c r="K9" s="726"/>
    </row>
    <row r="10" spans="1:11" s="774" customFormat="1" ht="15" customHeight="1" x14ac:dyDescent="0.2">
      <c r="A10" s="719"/>
      <c r="B10" s="729">
        <v>45481</v>
      </c>
      <c r="C10" s="732">
        <v>45491</v>
      </c>
      <c r="D10" s="733"/>
      <c r="E10" s="733"/>
      <c r="F10" s="723"/>
      <c r="G10" s="723"/>
      <c r="H10" s="749">
        <v>10</v>
      </c>
      <c r="I10" s="759"/>
      <c r="J10" s="759"/>
      <c r="K10" s="759"/>
    </row>
    <row r="11" spans="1:11" s="774" customFormat="1" ht="15" customHeight="1" x14ac:dyDescent="0.2">
      <c r="A11" s="734"/>
      <c r="B11" s="729">
        <v>45549</v>
      </c>
      <c r="C11" s="732">
        <v>45549</v>
      </c>
      <c r="D11" s="735"/>
      <c r="E11" s="735"/>
      <c r="F11" s="723"/>
      <c r="G11" s="723"/>
      <c r="H11" s="731">
        <v>1</v>
      </c>
      <c r="I11" s="759"/>
      <c r="J11" s="747"/>
      <c r="K11" s="747"/>
    </row>
    <row r="12" spans="1:11" s="774" customFormat="1" ht="15" customHeight="1" x14ac:dyDescent="0.2">
      <c r="A12" s="725"/>
      <c r="B12" s="720">
        <v>45552</v>
      </c>
      <c r="C12" s="721">
        <v>45552</v>
      </c>
      <c r="D12" s="735"/>
      <c r="E12" s="735"/>
      <c r="F12" s="723"/>
      <c r="G12" s="723"/>
      <c r="H12" s="723">
        <v>1</v>
      </c>
      <c r="I12" s="759"/>
      <c r="J12" s="726"/>
      <c r="K12" s="726"/>
    </row>
    <row r="13" spans="1:11" s="774" customFormat="1" ht="15" customHeight="1" x14ac:dyDescent="0.2">
      <c r="A13" s="725"/>
      <c r="B13" s="720">
        <v>45604</v>
      </c>
      <c r="C13" s="721">
        <v>45605</v>
      </c>
      <c r="D13" s="735"/>
      <c r="E13" s="735"/>
      <c r="F13" s="723"/>
      <c r="G13" s="723"/>
      <c r="H13" s="723">
        <v>2</v>
      </c>
      <c r="I13" s="759"/>
      <c r="J13" s="759"/>
      <c r="K13" s="759"/>
    </row>
    <row r="14" spans="1:11" s="774" customFormat="1" ht="15" customHeight="1" x14ac:dyDescent="0.2">
      <c r="A14" s="725"/>
      <c r="B14" s="720" t="s">
        <v>701</v>
      </c>
      <c r="C14" s="721" t="s">
        <v>702</v>
      </c>
      <c r="D14" s="722"/>
      <c r="E14" s="722"/>
      <c r="F14" s="723"/>
      <c r="G14" s="723"/>
      <c r="H14" s="723">
        <v>2</v>
      </c>
      <c r="I14" s="759"/>
      <c r="J14" s="759"/>
      <c r="K14" s="759"/>
    </row>
    <row r="15" spans="1:11" s="774" customFormat="1" ht="15" customHeight="1" x14ac:dyDescent="0.2">
      <c r="A15" s="725"/>
      <c r="B15" s="720" t="s">
        <v>703</v>
      </c>
      <c r="C15" s="721" t="s">
        <v>704</v>
      </c>
      <c r="D15" s="722"/>
      <c r="E15" s="722"/>
      <c r="F15" s="723"/>
      <c r="G15" s="723"/>
      <c r="H15" s="723">
        <v>2</v>
      </c>
      <c r="I15" s="759"/>
      <c r="J15" s="759"/>
      <c r="K15" s="759"/>
    </row>
    <row r="16" spans="1:11" s="774" customFormat="1" ht="15" customHeight="1" x14ac:dyDescent="0.2">
      <c r="A16" s="725"/>
      <c r="B16" s="720" t="s">
        <v>771</v>
      </c>
      <c r="C16" s="721" t="s">
        <v>772</v>
      </c>
      <c r="D16" s="722"/>
      <c r="E16" s="722"/>
      <c r="F16" s="723"/>
      <c r="G16" s="723"/>
      <c r="H16" s="723">
        <v>20</v>
      </c>
      <c r="I16" s="759"/>
      <c r="J16" s="759"/>
      <c r="K16" s="759"/>
    </row>
    <row r="17" spans="1:11" s="699" customFormat="1" x14ac:dyDescent="0.2">
      <c r="A17" s="719"/>
      <c r="B17" s="928" t="s">
        <v>804</v>
      </c>
      <c r="C17" s="732"/>
      <c r="D17" s="733"/>
      <c r="E17" s="733"/>
      <c r="F17" s="723"/>
      <c r="G17" s="723"/>
      <c r="H17" s="929">
        <v>-2</v>
      </c>
      <c r="I17" s="684"/>
      <c r="J17" s="670"/>
    </row>
    <row r="18" spans="1:11" s="653" customFormat="1" ht="15" customHeight="1" x14ac:dyDescent="0.2">
      <c r="A18" s="725"/>
      <c r="B18" s="720">
        <v>45878</v>
      </c>
      <c r="C18" s="721">
        <v>45880</v>
      </c>
      <c r="D18" s="722"/>
      <c r="E18" s="722"/>
      <c r="F18" s="723"/>
      <c r="G18" s="723"/>
      <c r="H18" s="723">
        <v>1</v>
      </c>
      <c r="I18" s="699"/>
      <c r="J18" s="699"/>
      <c r="K18" s="699"/>
    </row>
    <row r="19" spans="1:11" s="653" customFormat="1" ht="15" customHeight="1" x14ac:dyDescent="0.2">
      <c r="A19" s="725"/>
      <c r="B19" s="720">
        <v>45952</v>
      </c>
      <c r="C19" s="721">
        <v>45959</v>
      </c>
      <c r="D19" s="722"/>
      <c r="E19" s="722"/>
      <c r="F19" s="723"/>
      <c r="G19" s="723"/>
      <c r="H19" s="723">
        <v>6</v>
      </c>
      <c r="I19" s="699"/>
      <c r="J19" s="699"/>
      <c r="K19" s="699"/>
    </row>
    <row r="20" spans="1:11" s="653" customFormat="1" ht="15" customHeight="1" x14ac:dyDescent="0.2">
      <c r="A20" s="725"/>
      <c r="B20" s="720">
        <v>45985</v>
      </c>
      <c r="C20" s="721">
        <v>45989</v>
      </c>
      <c r="D20" s="722"/>
      <c r="E20" s="722"/>
      <c r="F20" s="723"/>
      <c r="G20" s="723"/>
      <c r="H20" s="723">
        <v>4</v>
      </c>
      <c r="I20" s="699"/>
      <c r="J20" s="699"/>
      <c r="K20" s="699"/>
    </row>
    <row r="21" spans="1:11" s="653" customFormat="1" ht="15" customHeight="1" x14ac:dyDescent="0.2">
      <c r="A21" s="725"/>
      <c r="B21" s="720">
        <v>46038</v>
      </c>
      <c r="C21" s="721">
        <v>46042</v>
      </c>
      <c r="D21" s="722"/>
      <c r="E21" s="722"/>
      <c r="F21" s="723"/>
      <c r="G21" s="723"/>
      <c r="H21" s="723">
        <v>3</v>
      </c>
      <c r="I21" s="699"/>
      <c r="J21" s="699"/>
      <c r="K21" s="699"/>
    </row>
    <row r="22" spans="1:11" s="653" customFormat="1" ht="15" customHeight="1" x14ac:dyDescent="0.2">
      <c r="A22" s="725"/>
      <c r="B22" s="720"/>
      <c r="C22" s="721"/>
      <c r="D22" s="722"/>
      <c r="E22" s="722"/>
      <c r="F22" s="723"/>
      <c r="G22" s="723"/>
      <c r="H22" s="723"/>
      <c r="I22" s="699"/>
      <c r="J22" s="699"/>
      <c r="K22" s="699"/>
    </row>
    <row r="23" spans="1:11" s="653" customFormat="1" ht="15" customHeight="1" x14ac:dyDescent="0.2">
      <c r="A23" s="725"/>
      <c r="B23" s="720"/>
      <c r="C23" s="721"/>
      <c r="D23" s="722"/>
      <c r="E23" s="722"/>
      <c r="F23" s="723"/>
      <c r="G23" s="723"/>
      <c r="H23" s="723"/>
      <c r="I23" s="699"/>
      <c r="J23" s="699"/>
      <c r="K23" s="699"/>
    </row>
    <row r="24" spans="1:11" s="653" customFormat="1" ht="15" customHeight="1" x14ac:dyDescent="0.2">
      <c r="A24" s="725"/>
      <c r="B24" s="720"/>
      <c r="C24" s="721"/>
      <c r="D24" s="722"/>
      <c r="E24" s="722"/>
      <c r="F24" s="723"/>
      <c r="G24" s="723"/>
      <c r="H24" s="723"/>
      <c r="I24" s="699"/>
      <c r="J24" s="699"/>
      <c r="K24" s="699"/>
    </row>
    <row r="25" spans="1:11" s="653" customFormat="1" ht="15" customHeight="1" x14ac:dyDescent="0.2">
      <c r="A25" s="725"/>
      <c r="B25" s="720"/>
      <c r="C25" s="721"/>
      <c r="D25" s="722"/>
      <c r="E25" s="722"/>
      <c r="F25" s="723"/>
      <c r="G25" s="723"/>
      <c r="H25" s="723"/>
      <c r="I25" s="699"/>
      <c r="J25" s="699"/>
      <c r="K25" s="699"/>
    </row>
    <row r="26" spans="1:11" ht="15" customHeight="1" x14ac:dyDescent="0.2">
      <c r="A26" s="147"/>
      <c r="B26" s="142"/>
      <c r="C26" s="143"/>
      <c r="D26" s="144"/>
      <c r="E26" s="144"/>
      <c r="F26" s="723"/>
      <c r="G26" s="723"/>
      <c r="H26" s="145"/>
      <c r="I26" s="82"/>
      <c r="J26" s="82"/>
      <c r="K26" s="82"/>
    </row>
    <row r="27" spans="1:11" ht="15" customHeight="1" x14ac:dyDescent="0.2">
      <c r="A27" s="147"/>
      <c r="B27" s="142"/>
      <c r="C27" s="143"/>
      <c r="D27" s="144"/>
      <c r="E27" s="144"/>
      <c r="F27" s="723"/>
      <c r="G27" s="723"/>
      <c r="H27" s="145"/>
      <c r="I27" s="82"/>
      <c r="J27" s="82"/>
      <c r="K27" s="82"/>
    </row>
    <row r="28" spans="1:11" ht="15" customHeight="1" x14ac:dyDescent="0.2">
      <c r="A28" s="147"/>
      <c r="B28" s="142"/>
      <c r="C28" s="143"/>
      <c r="D28" s="144"/>
      <c r="E28" s="144"/>
      <c r="F28" s="723"/>
      <c r="G28" s="723"/>
      <c r="H28" s="145"/>
      <c r="I28" s="82"/>
      <c r="J28" s="82"/>
      <c r="K28" s="82"/>
    </row>
    <row r="29" spans="1:11" ht="15" customHeight="1" x14ac:dyDescent="0.2">
      <c r="A29" s="147"/>
      <c r="B29" s="142"/>
      <c r="C29" s="143"/>
      <c r="D29" s="144"/>
      <c r="E29" s="144"/>
      <c r="F29" s="723"/>
      <c r="G29" s="723"/>
      <c r="H29" s="145"/>
      <c r="I29" s="82"/>
      <c r="J29" s="82"/>
      <c r="K29" s="82"/>
    </row>
    <row r="30" spans="1:11" ht="15" customHeight="1" x14ac:dyDescent="0.2">
      <c r="A30" s="147"/>
      <c r="B30" s="142"/>
      <c r="C30" s="143"/>
      <c r="D30" s="144"/>
      <c r="E30" s="144"/>
      <c r="F30" s="691"/>
      <c r="G30" s="691"/>
      <c r="H30" s="145"/>
      <c r="I30" s="82"/>
      <c r="J30" s="82"/>
      <c r="K30" s="82"/>
    </row>
    <row r="31" spans="1:11" ht="15" customHeight="1" x14ac:dyDescent="0.2">
      <c r="A31" s="147"/>
      <c r="B31" s="142"/>
      <c r="C31" s="143"/>
      <c r="D31" s="144"/>
      <c r="E31" s="144"/>
      <c r="F31" s="691"/>
      <c r="G31" s="691"/>
      <c r="H31" s="66"/>
      <c r="I31" s="82"/>
      <c r="J31" s="82"/>
      <c r="K31" s="82"/>
    </row>
    <row r="32" spans="1:11" ht="15" customHeight="1" x14ac:dyDescent="0.2">
      <c r="A32" s="147"/>
      <c r="B32" s="142"/>
      <c r="C32" s="143"/>
      <c r="D32" s="144"/>
      <c r="E32" s="144"/>
      <c r="F32" s="691"/>
      <c r="G32" s="691"/>
      <c r="H32" s="66"/>
      <c r="I32" s="82"/>
      <c r="J32" s="82"/>
      <c r="K32" s="82"/>
    </row>
    <row r="33" spans="1:11" x14ac:dyDescent="0.2">
      <c r="A33" s="82"/>
      <c r="B33" s="82"/>
      <c r="C33" s="82"/>
      <c r="D33" s="82"/>
      <c r="E33" s="82"/>
      <c r="F33" s="315" t="s">
        <v>123</v>
      </c>
      <c r="G33" s="315">
        <f>SUM(G7:G32)</f>
        <v>60</v>
      </c>
      <c r="H33" s="315">
        <f>SUM(H7:H31)</f>
        <v>57</v>
      </c>
      <c r="I33" s="82"/>
      <c r="J33" s="82"/>
      <c r="K33" s="82"/>
    </row>
    <row r="34" spans="1:11" x14ac:dyDescent="0.2">
      <c r="A34" s="82"/>
      <c r="B34" s="82"/>
      <c r="C34" s="82"/>
      <c r="D34" s="82"/>
      <c r="E34" s="82"/>
      <c r="F34" s="62"/>
      <c r="G34" s="63"/>
      <c r="H34" s="63"/>
      <c r="I34" s="82"/>
      <c r="J34" s="82"/>
      <c r="K34" s="82"/>
    </row>
    <row r="35" spans="1:11" ht="14.25" x14ac:dyDescent="0.2">
      <c r="A35" s="82"/>
      <c r="B35" s="82"/>
      <c r="C35" s="82"/>
      <c r="D35" s="82"/>
      <c r="E35" s="82"/>
      <c r="F35" s="1153" t="s">
        <v>8</v>
      </c>
      <c r="G35" s="1154"/>
      <c r="H35" s="84">
        <f>G33-H33</f>
        <v>3</v>
      </c>
      <c r="I35" s="82"/>
      <c r="J35" s="82"/>
      <c r="K35" s="82"/>
    </row>
    <row r="36" spans="1:11" x14ac:dyDescent="0.2">
      <c r="A36" s="82"/>
      <c r="B36" s="82"/>
      <c r="C36" s="82"/>
      <c r="D36" s="82"/>
      <c r="E36" s="82"/>
      <c r="F36" s="82"/>
      <c r="G36" s="82"/>
      <c r="H36" s="82"/>
      <c r="I36" s="82"/>
      <c r="J36" s="82"/>
      <c r="K36" s="82"/>
    </row>
  </sheetData>
  <mergeCells count="3">
    <mergeCell ref="F35:G35"/>
    <mergeCell ref="J1:J3"/>
    <mergeCell ref="C1:H5"/>
  </mergeCells>
  <hyperlinks>
    <hyperlink ref="J1:J3" location="'ANA SAYFA'!A1" display="ANA SAYFA"/>
  </hyperlinks>
  <pageMargins left="0.7" right="0.12" top="0.28000000000000003" bottom="0.75" header="0.3" footer="0.3"/>
  <pageSetup paperSize="9" scale="70" orientation="portrait" r:id="rId1"/>
  <colBreaks count="1" manualBreakCount="1">
    <brk id="8" max="1048575" man="1"/>
  </colBreaks>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7"/>
  <sheetViews>
    <sheetView zoomScaleNormal="100" workbookViewId="0">
      <pane ySplit="6" topLeftCell="A7" activePane="bottomLeft" state="frozen"/>
      <selection pane="bottomLeft" activeCell="J1" sqref="J1:J3"/>
    </sheetView>
  </sheetViews>
  <sheetFormatPr defaultRowHeight="12.75" x14ac:dyDescent="0.2"/>
  <cols>
    <col min="1" max="1" width="18.140625" bestFit="1" customWidth="1"/>
    <col min="2" max="2" width="27.140625" bestFit="1" customWidth="1"/>
    <col min="3" max="3" width="26.7109375" bestFit="1" customWidth="1"/>
    <col min="4" max="4" width="6.7109375" bestFit="1" customWidth="1"/>
    <col min="5" max="5" width="8.85546875" bestFit="1" customWidth="1"/>
    <col min="6" max="6" width="18.140625" bestFit="1" customWidth="1"/>
    <col min="7" max="7" width="14.85546875" customWidth="1"/>
    <col min="8" max="8" width="12.85546875" customWidth="1"/>
    <col min="9" max="9" width="3.42578125" customWidth="1"/>
    <col min="10" max="10" width="11.42578125" customWidth="1"/>
  </cols>
  <sheetData>
    <row r="1" spans="1:13" ht="15.75" customHeight="1" x14ac:dyDescent="0.2">
      <c r="A1" s="29" t="s">
        <v>135</v>
      </c>
      <c r="B1" s="187" t="str">
        <f>'ANA SAYFA'!B107</f>
        <v>NURETTİN ALTAY</v>
      </c>
      <c r="C1" s="1166" t="s">
        <v>136</v>
      </c>
      <c r="D1" s="1166"/>
      <c r="E1" s="1166"/>
      <c r="F1" s="1166"/>
      <c r="G1" s="1166"/>
      <c r="H1" s="1166"/>
      <c r="I1" s="82"/>
      <c r="J1" s="1157" t="s">
        <v>712</v>
      </c>
      <c r="K1" s="82"/>
    </row>
    <row r="2" spans="1:13" ht="15.75" customHeight="1" x14ac:dyDescent="0.2">
      <c r="A2" s="29" t="s">
        <v>137</v>
      </c>
      <c r="B2" s="186">
        <f>'ANA SAYFA'!D107</f>
        <v>36581078312</v>
      </c>
      <c r="C2" s="1166"/>
      <c r="D2" s="1166"/>
      <c r="E2" s="1166"/>
      <c r="F2" s="1166"/>
      <c r="G2" s="1166"/>
      <c r="H2" s="1166"/>
      <c r="I2" s="82"/>
      <c r="J2" s="1158"/>
      <c r="K2" s="82"/>
    </row>
    <row r="3" spans="1:13" ht="15.75" customHeight="1" thickBot="1" x14ac:dyDescent="0.25">
      <c r="A3" s="29" t="s">
        <v>131</v>
      </c>
      <c r="B3" s="187" t="str">
        <f>'ANA SAYFA'!C107</f>
        <v>TIR-ÇEKİCİ ŞOFÖRÜ</v>
      </c>
      <c r="C3" s="1166"/>
      <c r="D3" s="1166"/>
      <c r="E3" s="1166"/>
      <c r="F3" s="1166"/>
      <c r="G3" s="1166"/>
      <c r="H3" s="1166"/>
      <c r="I3" s="82"/>
      <c r="J3" s="1159"/>
      <c r="K3" s="82"/>
    </row>
    <row r="4" spans="1:13" ht="15.75" customHeight="1" x14ac:dyDescent="0.2">
      <c r="A4" s="29" t="s">
        <v>120</v>
      </c>
      <c r="B4" s="136">
        <f>'ANA SAYFA'!E107</f>
        <v>44663</v>
      </c>
      <c r="C4" s="1166"/>
      <c r="D4" s="1166"/>
      <c r="E4" s="1166"/>
      <c r="F4" s="1166"/>
      <c r="G4" s="1166"/>
      <c r="H4" s="1166"/>
      <c r="I4" s="82"/>
      <c r="J4" s="82"/>
      <c r="K4" s="82"/>
    </row>
    <row r="5" spans="1:13" ht="15.75" customHeight="1" x14ac:dyDescent="0.2">
      <c r="A5" s="29" t="s">
        <v>130</v>
      </c>
      <c r="B5" s="218">
        <f>'ANA SAYFA'!F107</f>
        <v>27032</v>
      </c>
      <c r="C5" s="1166"/>
      <c r="D5" s="1166"/>
      <c r="E5" s="1166"/>
      <c r="F5" s="1166"/>
      <c r="G5" s="1166"/>
      <c r="H5" s="1166"/>
      <c r="I5" s="82"/>
      <c r="J5" s="653"/>
      <c r="K5" s="653"/>
    </row>
    <row r="6" spans="1:13" ht="31.5" x14ac:dyDescent="0.2">
      <c r="A6" s="69" t="s">
        <v>0</v>
      </c>
      <c r="B6" s="70" t="s">
        <v>1</v>
      </c>
      <c r="C6" s="69" t="s">
        <v>2</v>
      </c>
      <c r="D6" s="71" t="s">
        <v>133</v>
      </c>
      <c r="E6" s="71" t="s">
        <v>4</v>
      </c>
      <c r="F6" s="71" t="s">
        <v>7</v>
      </c>
      <c r="G6" s="71" t="s">
        <v>6</v>
      </c>
      <c r="H6" s="71" t="s">
        <v>3</v>
      </c>
      <c r="I6" s="82"/>
      <c r="J6" s="653"/>
      <c r="K6" s="653"/>
      <c r="L6" s="803">
        <v>46195</v>
      </c>
      <c r="M6" s="801" t="s">
        <v>1039</v>
      </c>
    </row>
    <row r="7" spans="1:13" ht="14.25" customHeight="1" x14ac:dyDescent="0.2">
      <c r="A7" s="69"/>
      <c r="B7" s="477">
        <v>45103</v>
      </c>
      <c r="C7" s="37">
        <v>45110</v>
      </c>
      <c r="D7" s="38">
        <v>0.33333333333333331</v>
      </c>
      <c r="E7" s="38">
        <v>0.33333333333333331</v>
      </c>
      <c r="F7" s="855" t="s">
        <v>535</v>
      </c>
      <c r="G7" s="123">
        <v>14</v>
      </c>
      <c r="H7" s="115">
        <v>1</v>
      </c>
      <c r="I7" s="82"/>
      <c r="J7" s="370"/>
      <c r="K7" s="370"/>
    </row>
    <row r="8" spans="1:13" ht="14.25" customHeight="1" x14ac:dyDescent="0.2">
      <c r="A8" s="478"/>
      <c r="B8" s="477">
        <v>45168</v>
      </c>
      <c r="C8" s="37">
        <v>45176</v>
      </c>
      <c r="D8" s="38">
        <v>0.33333333333333331</v>
      </c>
      <c r="E8" s="38">
        <v>0.33333333333333331</v>
      </c>
      <c r="F8" s="855" t="s">
        <v>536</v>
      </c>
      <c r="G8" s="123">
        <v>20</v>
      </c>
      <c r="H8" s="115">
        <v>7</v>
      </c>
      <c r="I8" s="82"/>
      <c r="J8" s="190"/>
      <c r="K8" s="190"/>
    </row>
    <row r="9" spans="1:13" ht="14.25" customHeight="1" x14ac:dyDescent="0.2">
      <c r="A9" s="488"/>
      <c r="B9" s="477">
        <v>45443</v>
      </c>
      <c r="C9" s="37">
        <v>45463</v>
      </c>
      <c r="D9" s="676">
        <v>0.33333333333333331</v>
      </c>
      <c r="E9" s="676">
        <v>0.33333333333333331</v>
      </c>
      <c r="F9" s="855" t="s">
        <v>746</v>
      </c>
      <c r="G9" s="123">
        <v>20</v>
      </c>
      <c r="H9" s="115">
        <v>13</v>
      </c>
      <c r="I9" s="82"/>
      <c r="J9" s="148"/>
      <c r="K9" s="148"/>
    </row>
    <row r="10" spans="1:13" ht="14.25" customHeight="1" x14ac:dyDescent="0.2">
      <c r="A10" s="479"/>
      <c r="B10" s="155">
        <v>45505</v>
      </c>
      <c r="C10" s="156">
        <v>45516</v>
      </c>
      <c r="D10" s="676">
        <v>0.33333333333333331</v>
      </c>
      <c r="E10" s="676">
        <v>0.33333333333333331</v>
      </c>
      <c r="F10" s="856" t="s">
        <v>1027</v>
      </c>
      <c r="G10" s="480">
        <v>20</v>
      </c>
      <c r="H10" s="192">
        <v>9</v>
      </c>
      <c r="I10" s="82"/>
      <c r="J10" s="148"/>
      <c r="K10" s="148"/>
    </row>
    <row r="11" spans="1:13" ht="14.25" customHeight="1" x14ac:dyDescent="0.2">
      <c r="A11" s="481"/>
      <c r="B11" s="155">
        <v>45577</v>
      </c>
      <c r="C11" s="327">
        <v>45577</v>
      </c>
      <c r="D11" s="676">
        <v>0.33333333333333331</v>
      </c>
      <c r="E11" s="676">
        <v>0.33333333333333331</v>
      </c>
      <c r="F11" s="857"/>
      <c r="G11" s="480"/>
      <c r="H11" s="192">
        <v>1</v>
      </c>
      <c r="I11" s="82"/>
      <c r="J11" s="82"/>
      <c r="K11" s="82"/>
    </row>
    <row r="12" spans="1:13" ht="14.25" customHeight="1" x14ac:dyDescent="0.2">
      <c r="A12" s="482"/>
      <c r="B12" s="155">
        <v>45639</v>
      </c>
      <c r="C12" s="327">
        <v>45639</v>
      </c>
      <c r="D12" s="676">
        <v>0.33333333333333331</v>
      </c>
      <c r="E12" s="676">
        <v>0.33333333333333331</v>
      </c>
      <c r="F12" s="857"/>
      <c r="G12" s="480"/>
      <c r="H12" s="483">
        <v>1</v>
      </c>
      <c r="I12" s="82"/>
      <c r="J12" s="190"/>
      <c r="K12" s="190"/>
    </row>
    <row r="13" spans="1:13" s="653" customFormat="1" ht="14.25" customHeight="1" x14ac:dyDescent="0.2">
      <c r="A13" s="482"/>
      <c r="B13" s="729">
        <v>45784</v>
      </c>
      <c r="C13" s="327">
        <v>45789</v>
      </c>
      <c r="D13" s="676">
        <v>0.33333333333333331</v>
      </c>
      <c r="E13" s="676">
        <v>0.33333333333333331</v>
      </c>
      <c r="F13" s="857"/>
      <c r="G13" s="480"/>
      <c r="H13" s="483">
        <v>5</v>
      </c>
      <c r="I13" s="699"/>
      <c r="J13" s="747"/>
      <c r="K13" s="747"/>
      <c r="L13" s="801" t="s">
        <v>1036</v>
      </c>
      <c r="M13" s="653">
        <v>68500</v>
      </c>
    </row>
    <row r="14" spans="1:13" s="653" customFormat="1" ht="14.25" customHeight="1" x14ac:dyDescent="0.2">
      <c r="A14" s="482"/>
      <c r="B14" s="729">
        <v>45808</v>
      </c>
      <c r="C14" s="327">
        <v>45817</v>
      </c>
      <c r="D14" s="676">
        <v>0.33333333333333331</v>
      </c>
      <c r="E14" s="676">
        <v>0.33333333333333331</v>
      </c>
      <c r="F14" s="857"/>
      <c r="G14" s="480"/>
      <c r="H14" s="483">
        <v>4</v>
      </c>
      <c r="I14" s="699"/>
      <c r="J14" s="747"/>
      <c r="K14" s="747"/>
      <c r="L14" s="801" t="s">
        <v>1037</v>
      </c>
      <c r="M14" s="653">
        <f>+M13/30</f>
        <v>2283.3333333333335</v>
      </c>
    </row>
    <row r="15" spans="1:13" s="653" customFormat="1" ht="14.25" customHeight="1" x14ac:dyDescent="0.2">
      <c r="A15" s="482"/>
      <c r="B15" s="729">
        <v>45859</v>
      </c>
      <c r="C15" s="327">
        <v>45867</v>
      </c>
      <c r="D15" s="676">
        <v>0.33333333333333331</v>
      </c>
      <c r="E15" s="676">
        <v>0.33333333333333331</v>
      </c>
      <c r="F15" s="857"/>
      <c r="G15" s="480"/>
      <c r="H15" s="483">
        <v>7</v>
      </c>
      <c r="I15" s="699"/>
      <c r="J15" s="747"/>
      <c r="K15" s="747"/>
    </row>
    <row r="16" spans="1:13" s="653" customFormat="1" ht="14.25" customHeight="1" x14ac:dyDescent="0.2">
      <c r="A16" s="482"/>
      <c r="B16" s="729">
        <v>45898</v>
      </c>
      <c r="C16" s="327">
        <v>45902</v>
      </c>
      <c r="D16" s="676">
        <v>0.33333333333333331</v>
      </c>
      <c r="E16" s="676">
        <v>0.33333333333333331</v>
      </c>
      <c r="F16" s="857"/>
      <c r="G16" s="480"/>
      <c r="H16" s="483">
        <v>2</v>
      </c>
      <c r="I16" s="699"/>
      <c r="J16" s="747"/>
      <c r="K16" s="747"/>
      <c r="L16" s="801" t="s">
        <v>1038</v>
      </c>
      <c r="M16" s="653">
        <f>+M14*22</f>
        <v>50233.333333333336</v>
      </c>
    </row>
    <row r="17" spans="1:11" s="653" customFormat="1" ht="14.25" customHeight="1" x14ac:dyDescent="0.2">
      <c r="A17" s="482"/>
      <c r="B17" s="729">
        <v>45969</v>
      </c>
      <c r="C17" s="327">
        <v>45971</v>
      </c>
      <c r="D17" s="676">
        <v>0.33333333333333331</v>
      </c>
      <c r="E17" s="676">
        <v>0.33333333333333331</v>
      </c>
      <c r="F17" s="857"/>
      <c r="G17" s="480"/>
      <c r="H17" s="483">
        <v>1</v>
      </c>
      <c r="I17" s="699"/>
      <c r="J17" s="747"/>
      <c r="K17" s="747"/>
    </row>
    <row r="18" spans="1:11" s="653" customFormat="1" ht="14.25" customHeight="1" x14ac:dyDescent="0.2">
      <c r="A18" s="482"/>
      <c r="B18" s="729">
        <v>46174</v>
      </c>
      <c r="C18" s="327">
        <v>46181</v>
      </c>
      <c r="D18" s="735">
        <v>0.33333333333333331</v>
      </c>
      <c r="E18" s="735">
        <v>0.33333333333333331</v>
      </c>
      <c r="F18" s="857"/>
      <c r="G18" s="480"/>
      <c r="H18" s="483">
        <v>6</v>
      </c>
      <c r="I18" s="699"/>
      <c r="J18" s="747"/>
      <c r="K18" s="747"/>
    </row>
    <row r="19" spans="1:11" s="653" customFormat="1" ht="14.25" customHeight="1" x14ac:dyDescent="0.2">
      <c r="A19" s="482"/>
      <c r="B19" s="729">
        <v>46153</v>
      </c>
      <c r="C19" s="327">
        <v>46154</v>
      </c>
      <c r="D19" s="735">
        <v>0.33333333333333331</v>
      </c>
      <c r="E19" s="735">
        <v>0.33333333333333331</v>
      </c>
      <c r="F19" s="857"/>
      <c r="G19" s="480"/>
      <c r="H19" s="483">
        <v>1</v>
      </c>
      <c r="I19" s="699"/>
      <c r="J19" s="747"/>
      <c r="K19" s="747"/>
    </row>
    <row r="20" spans="1:11" s="653" customFormat="1" ht="14.25" customHeight="1" x14ac:dyDescent="0.2">
      <c r="A20" s="482"/>
      <c r="B20" s="729">
        <v>46174</v>
      </c>
      <c r="C20" s="327">
        <v>46175</v>
      </c>
      <c r="D20" s="735"/>
      <c r="E20" s="735"/>
      <c r="F20" s="857"/>
      <c r="G20" s="480"/>
      <c r="H20" s="483">
        <v>1</v>
      </c>
      <c r="I20" s="699"/>
      <c r="J20" s="747"/>
      <c r="K20" s="747"/>
    </row>
    <row r="21" spans="1:11" ht="14.25" customHeight="1" x14ac:dyDescent="0.2">
      <c r="A21" s="479"/>
      <c r="B21" s="155">
        <v>46196</v>
      </c>
      <c r="C21" s="156">
        <v>46197</v>
      </c>
      <c r="D21" s="168"/>
      <c r="E21" s="168"/>
      <c r="F21" s="857"/>
      <c r="G21" s="480"/>
      <c r="H21" s="480">
        <v>1</v>
      </c>
      <c r="I21" s="82"/>
      <c r="J21" s="148"/>
      <c r="K21" s="148"/>
    </row>
    <row r="22" spans="1:11" ht="14.25" customHeight="1" x14ac:dyDescent="0.2">
      <c r="A22" s="479"/>
      <c r="B22" s="155"/>
      <c r="C22" s="156"/>
      <c r="D22" s="168"/>
      <c r="E22" s="168"/>
      <c r="F22" s="857"/>
      <c r="G22" s="480"/>
      <c r="H22" s="480"/>
      <c r="I22" s="82"/>
      <c r="J22" s="82"/>
      <c r="K22" s="82"/>
    </row>
    <row r="23" spans="1:11" ht="14.25" customHeight="1" x14ac:dyDescent="0.2">
      <c r="A23" s="479"/>
      <c r="B23" s="155"/>
      <c r="C23" s="156"/>
      <c r="D23" s="168"/>
      <c r="E23" s="168"/>
      <c r="F23" s="857"/>
      <c r="G23" s="480"/>
      <c r="H23" s="480"/>
      <c r="I23" s="82"/>
      <c r="J23" s="82"/>
      <c r="K23" s="82"/>
    </row>
    <row r="24" spans="1:11" ht="14.25" customHeight="1" x14ac:dyDescent="0.2">
      <c r="A24" s="479"/>
      <c r="B24" s="155"/>
      <c r="C24" s="156"/>
      <c r="D24" s="168"/>
      <c r="E24" s="168"/>
      <c r="F24" s="857"/>
      <c r="G24" s="480"/>
      <c r="H24" s="480"/>
      <c r="I24" s="82"/>
      <c r="J24" s="82"/>
      <c r="K24" s="82"/>
    </row>
    <row r="25" spans="1:11" ht="14.25" customHeight="1" x14ac:dyDescent="0.2">
      <c r="A25" s="479"/>
      <c r="B25" s="155"/>
      <c r="C25" s="156"/>
      <c r="D25" s="168"/>
      <c r="E25" s="168"/>
      <c r="F25" s="857"/>
      <c r="G25" s="480"/>
      <c r="H25" s="480"/>
      <c r="I25" s="82"/>
      <c r="J25" s="82"/>
      <c r="K25" s="82"/>
    </row>
    <row r="26" spans="1:11" ht="14.25" customHeight="1" x14ac:dyDescent="0.2">
      <c r="A26" s="479"/>
      <c r="B26" s="155"/>
      <c r="C26" s="156"/>
      <c r="D26" s="168"/>
      <c r="E26" s="168"/>
      <c r="F26" s="857"/>
      <c r="G26" s="480"/>
      <c r="H26" s="480"/>
      <c r="I26" s="82"/>
      <c r="J26" s="82"/>
      <c r="K26" s="82"/>
    </row>
    <row r="27" spans="1:11" ht="14.25" customHeight="1" x14ac:dyDescent="0.2">
      <c r="A27" s="479"/>
      <c r="B27" s="155"/>
      <c r="C27" s="156"/>
      <c r="D27" s="168"/>
      <c r="E27" s="168"/>
      <c r="F27" s="857"/>
      <c r="G27" s="480"/>
      <c r="H27" s="480"/>
      <c r="I27" s="82"/>
      <c r="J27" s="82"/>
      <c r="K27" s="82"/>
    </row>
    <row r="28" spans="1:11" ht="14.25" customHeight="1" x14ac:dyDescent="0.2">
      <c r="A28" s="479"/>
      <c r="B28" s="155"/>
      <c r="C28" s="156"/>
      <c r="D28" s="168"/>
      <c r="E28" s="168"/>
      <c r="F28" s="857"/>
      <c r="G28" s="480"/>
      <c r="H28" s="480"/>
      <c r="I28" s="82"/>
      <c r="J28" s="82"/>
      <c r="K28" s="82"/>
    </row>
    <row r="29" spans="1:11" ht="14.25" customHeight="1" x14ac:dyDescent="0.2">
      <c r="A29" s="479"/>
      <c r="B29" s="155"/>
      <c r="C29" s="156"/>
      <c r="D29" s="168"/>
      <c r="E29" s="168"/>
      <c r="F29" s="857"/>
      <c r="G29" s="127"/>
      <c r="H29" s="480"/>
      <c r="I29" s="82"/>
      <c r="J29" s="82"/>
      <c r="K29" s="82"/>
    </row>
    <row r="30" spans="1:11" ht="14.25" customHeight="1" x14ac:dyDescent="0.2">
      <c r="A30" s="479"/>
      <c r="B30" s="155"/>
      <c r="C30" s="156"/>
      <c r="D30" s="168"/>
      <c r="E30" s="168"/>
      <c r="F30" s="857"/>
      <c r="G30" s="127"/>
      <c r="H30" s="127"/>
      <c r="I30" s="82"/>
      <c r="J30" s="82"/>
      <c r="K30" s="82"/>
    </row>
    <row r="31" spans="1:11" ht="14.25" customHeight="1" x14ac:dyDescent="0.2">
      <c r="A31" s="479"/>
      <c r="B31" s="155"/>
      <c r="C31" s="156"/>
      <c r="D31" s="168"/>
      <c r="E31" s="168"/>
      <c r="F31" s="857"/>
      <c r="G31" s="127"/>
      <c r="H31" s="127"/>
      <c r="I31" s="82"/>
      <c r="J31" s="82"/>
      <c r="K31" s="82"/>
    </row>
    <row r="32" spans="1:11" ht="17.25" customHeight="1" x14ac:dyDescent="0.2">
      <c r="A32" s="484"/>
      <c r="B32" s="484"/>
      <c r="C32" s="484"/>
      <c r="D32" s="484"/>
      <c r="E32" s="484"/>
      <c r="F32" s="353" t="s">
        <v>123</v>
      </c>
      <c r="G32" s="353">
        <f>SUM(G7:G31)</f>
        <v>74</v>
      </c>
      <c r="H32" s="353">
        <f>SUM(H7:H31)</f>
        <v>60</v>
      </c>
      <c r="I32" s="82"/>
      <c r="J32" s="82"/>
      <c r="K32" s="82"/>
    </row>
    <row r="33" spans="1:11" ht="17.25" customHeight="1" x14ac:dyDescent="0.2">
      <c r="A33" s="484"/>
      <c r="B33" s="484"/>
      <c r="C33" s="484"/>
      <c r="D33" s="484"/>
      <c r="E33" s="484"/>
      <c r="F33" s="33"/>
      <c r="G33" s="133"/>
      <c r="H33" s="133"/>
      <c r="I33" s="82"/>
      <c r="J33" s="82"/>
      <c r="K33" s="82"/>
    </row>
    <row r="34" spans="1:11" ht="17.25" customHeight="1" x14ac:dyDescent="0.2">
      <c r="A34" s="484"/>
      <c r="B34" s="484"/>
      <c r="C34" s="484"/>
      <c r="D34" s="484"/>
      <c r="E34" s="484"/>
      <c r="F34" s="1215" t="s">
        <v>8</v>
      </c>
      <c r="G34" s="1216"/>
      <c r="H34" s="485">
        <f>G32-H32</f>
        <v>14</v>
      </c>
      <c r="I34" s="82"/>
      <c r="J34" s="82"/>
      <c r="K34" s="82"/>
    </row>
    <row r="35" spans="1:11" x14ac:dyDescent="0.2">
      <c r="A35" s="484"/>
      <c r="B35" s="484"/>
      <c r="C35" s="484"/>
      <c r="D35" s="484"/>
      <c r="E35" s="484"/>
      <c r="F35" s="484"/>
      <c r="G35" s="484"/>
      <c r="H35" s="484"/>
      <c r="I35" s="82"/>
      <c r="J35" s="82"/>
      <c r="K35" s="82"/>
    </row>
    <row r="36" spans="1:11" x14ac:dyDescent="0.2">
      <c r="A36" s="486"/>
      <c r="B36" s="486"/>
      <c r="C36" s="486"/>
      <c r="D36" s="486"/>
      <c r="E36" s="486"/>
      <c r="F36" s="486"/>
      <c r="G36" s="486"/>
      <c r="H36" s="486"/>
    </row>
    <row r="37" spans="1:11" x14ac:dyDescent="0.2">
      <c r="A37" s="486"/>
      <c r="B37" s="486"/>
      <c r="C37" s="486"/>
      <c r="D37" s="486"/>
      <c r="E37" s="486"/>
      <c r="F37" s="486"/>
      <c r="G37" s="486"/>
      <c r="H37" s="486"/>
    </row>
  </sheetData>
  <mergeCells count="3">
    <mergeCell ref="F34:G34"/>
    <mergeCell ref="J1:J3"/>
    <mergeCell ref="C1:H5"/>
  </mergeCells>
  <hyperlinks>
    <hyperlink ref="J1:J3" location="'ANA SAYFA'!A1" display="ANA SAYFA"/>
  </hyperlinks>
  <pageMargins left="0.7" right="0.12" top="0.28000000000000003" bottom="0.75" header="0.3" footer="0.3"/>
  <pageSetup paperSize="9" scale="71" orientation="portrait" r:id="rId1"/>
  <colBreaks count="1" manualBreakCount="1">
    <brk id="8" max="1048575" man="1"/>
  </colBreaks>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1"/>
  <sheetViews>
    <sheetView zoomScaleNormal="100" workbookViewId="0">
      <pane ySplit="5" topLeftCell="A6" activePane="bottomLeft" state="frozen"/>
      <selection pane="bottomLeft" activeCell="J1" sqref="J1:K4"/>
    </sheetView>
  </sheetViews>
  <sheetFormatPr defaultRowHeight="12.75" x14ac:dyDescent="0.2"/>
  <cols>
    <col min="1" max="1" width="18.140625" bestFit="1" customWidth="1"/>
    <col min="2" max="2" width="27.140625" bestFit="1" customWidth="1"/>
    <col min="3" max="3" width="27.42578125" bestFit="1" customWidth="1"/>
    <col min="6" max="6" width="20.140625" bestFit="1" customWidth="1"/>
    <col min="7" max="7" width="14.28515625" bestFit="1" customWidth="1"/>
    <col min="8" max="8" width="12.5703125" bestFit="1" customWidth="1"/>
    <col min="9" max="9" width="4.85546875" customWidth="1"/>
    <col min="10" max="10" width="11.7109375" customWidth="1"/>
  </cols>
  <sheetData>
    <row r="1" spans="1:14" ht="12.75" customHeight="1" x14ac:dyDescent="0.2">
      <c r="A1" s="29" t="s">
        <v>135</v>
      </c>
      <c r="B1" s="187" t="str">
        <f>'ANA SAYFA'!B109</f>
        <v>ALİ EMİCİ</v>
      </c>
      <c r="C1" s="1166" t="s">
        <v>136</v>
      </c>
      <c r="D1" s="1166"/>
      <c r="E1" s="1166"/>
      <c r="F1" s="1166"/>
      <c r="G1" s="1166"/>
      <c r="H1" s="1166"/>
      <c r="I1" s="28"/>
      <c r="J1" s="1305" t="s">
        <v>712</v>
      </c>
      <c r="K1" s="1305"/>
    </row>
    <row r="2" spans="1:14" ht="13.5" customHeight="1" x14ac:dyDescent="0.2">
      <c r="A2" s="29" t="s">
        <v>137</v>
      </c>
      <c r="B2" s="186">
        <f>'ANA SAYFA'!D109</f>
        <v>51202277578</v>
      </c>
      <c r="C2" s="1166"/>
      <c r="D2" s="1166"/>
      <c r="E2" s="1166"/>
      <c r="F2" s="1166"/>
      <c r="G2" s="1166"/>
      <c r="H2" s="1166"/>
      <c r="I2" s="28"/>
      <c r="J2" s="1305"/>
      <c r="K2" s="1305"/>
    </row>
    <row r="3" spans="1:14" ht="13.5" customHeight="1" x14ac:dyDescent="0.2">
      <c r="A3" s="29" t="s">
        <v>131</v>
      </c>
      <c r="B3" s="187" t="str">
        <f>'ANA SAYFA'!C109</f>
        <v>KAMYON ŞOFÖRÜ</v>
      </c>
      <c r="C3" s="1166"/>
      <c r="D3" s="1166"/>
      <c r="E3" s="1166"/>
      <c r="F3" s="1166"/>
      <c r="G3" s="1166"/>
      <c r="H3" s="1166"/>
      <c r="I3" s="28"/>
      <c r="J3" s="1305"/>
      <c r="K3" s="1305"/>
    </row>
    <row r="4" spans="1:14" ht="12.75" customHeight="1" x14ac:dyDescent="0.2">
      <c r="A4" s="29" t="s">
        <v>120</v>
      </c>
      <c r="B4" s="136">
        <f>'ANA SAYFA'!E109</f>
        <v>45880</v>
      </c>
      <c r="C4" s="1166"/>
      <c r="D4" s="1166"/>
      <c r="E4" s="1166"/>
      <c r="F4" s="1166"/>
      <c r="G4" s="1166"/>
      <c r="H4" s="1166"/>
      <c r="I4" s="28"/>
      <c r="J4" s="1305"/>
      <c r="K4" s="1305"/>
    </row>
    <row r="5" spans="1:14" x14ac:dyDescent="0.2">
      <c r="A5" s="29" t="s">
        <v>130</v>
      </c>
      <c r="B5" s="218">
        <f>'ANA SAYFA'!F109</f>
        <v>27457</v>
      </c>
      <c r="C5" s="1166"/>
      <c r="D5" s="1166"/>
      <c r="E5" s="1166"/>
      <c r="F5" s="1166"/>
      <c r="G5" s="1166"/>
      <c r="H5" s="1166"/>
      <c r="I5" s="28"/>
      <c r="J5" s="148"/>
    </row>
    <row r="6" spans="1:14" ht="31.5" x14ac:dyDescent="0.2">
      <c r="A6" s="69" t="s">
        <v>0</v>
      </c>
      <c r="B6" s="70" t="s">
        <v>1</v>
      </c>
      <c r="C6" s="69" t="s">
        <v>2</v>
      </c>
      <c r="D6" s="71" t="s">
        <v>133</v>
      </c>
      <c r="E6" s="71" t="s">
        <v>4</v>
      </c>
      <c r="F6" s="71" t="s">
        <v>7</v>
      </c>
      <c r="G6" s="71" t="s">
        <v>6</v>
      </c>
      <c r="H6" s="71" t="s">
        <v>3</v>
      </c>
      <c r="I6" s="581"/>
      <c r="J6" s="968">
        <v>45880</v>
      </c>
      <c r="K6" s="969" t="s">
        <v>874</v>
      </c>
      <c r="L6" s="970"/>
      <c r="M6" s="970"/>
    </row>
    <row r="7" spans="1:14" x14ac:dyDescent="0.2">
      <c r="A7" s="1306" t="s">
        <v>802</v>
      </c>
      <c r="B7" s="1307"/>
      <c r="C7" s="1307"/>
      <c r="D7" s="1307"/>
      <c r="E7" s="1308"/>
      <c r="F7" s="925"/>
      <c r="G7" s="703">
        <v>5</v>
      </c>
      <c r="H7" s="705"/>
      <c r="I7" s="582"/>
      <c r="J7" s="967">
        <v>45856</v>
      </c>
      <c r="K7" s="966" t="s">
        <v>898</v>
      </c>
      <c r="L7" s="774"/>
      <c r="M7" s="774"/>
      <c r="N7" s="774"/>
    </row>
    <row r="8" spans="1:14" s="653" customFormat="1" x14ac:dyDescent="0.2">
      <c r="A8" s="717"/>
      <c r="B8" s="924">
        <v>45933</v>
      </c>
      <c r="C8" s="675">
        <v>45941</v>
      </c>
      <c r="D8" s="676">
        <v>0.33333333333333331</v>
      </c>
      <c r="E8" s="676">
        <v>0.33333333333333331</v>
      </c>
      <c r="F8" s="925"/>
      <c r="G8" s="703"/>
      <c r="H8" s="705">
        <v>7</v>
      </c>
      <c r="I8" s="582"/>
      <c r="J8" s="747"/>
      <c r="K8" s="774"/>
      <c r="L8" s="774"/>
      <c r="M8" s="774"/>
      <c r="N8" s="774"/>
    </row>
    <row r="9" spans="1:14" s="653" customFormat="1" x14ac:dyDescent="0.2">
      <c r="A9" s="717"/>
      <c r="B9" s="924">
        <v>45995</v>
      </c>
      <c r="C9" s="675">
        <v>46003</v>
      </c>
      <c r="D9" s="676">
        <v>0.33333333333333331</v>
      </c>
      <c r="E9" s="676">
        <v>0.33333333333333331</v>
      </c>
      <c r="F9" s="925"/>
      <c r="G9" s="703"/>
      <c r="H9" s="705">
        <v>7</v>
      </c>
      <c r="I9" s="582"/>
      <c r="J9" s="747"/>
      <c r="K9" s="774"/>
      <c r="L9" s="774"/>
      <c r="M9" s="774"/>
      <c r="N9" s="774"/>
    </row>
    <row r="10" spans="1:14" s="653" customFormat="1" x14ac:dyDescent="0.2">
      <c r="A10" s="717"/>
      <c r="B10" s="924">
        <v>46031</v>
      </c>
      <c r="C10" s="675">
        <v>46034</v>
      </c>
      <c r="D10" s="676"/>
      <c r="E10" s="676"/>
      <c r="F10" s="925"/>
      <c r="G10" s="703"/>
      <c r="H10" s="705">
        <v>2</v>
      </c>
      <c r="I10" s="582"/>
      <c r="J10" s="747"/>
      <c r="K10" s="774"/>
      <c r="L10" s="774"/>
      <c r="M10" s="774"/>
      <c r="N10" s="774"/>
    </row>
    <row r="11" spans="1:14" s="653" customFormat="1" x14ac:dyDescent="0.2">
      <c r="A11" s="717"/>
      <c r="B11" s="1019" t="s">
        <v>947</v>
      </c>
      <c r="C11" s="1020"/>
      <c r="D11" s="1021"/>
      <c r="E11" s="1021"/>
      <c r="F11" s="1016"/>
      <c r="G11" s="1017"/>
      <c r="H11" s="1018">
        <v>-3</v>
      </c>
      <c r="I11" s="582"/>
      <c r="J11" s="747"/>
      <c r="K11" s="774"/>
      <c r="L11" s="774"/>
      <c r="M11" s="774"/>
      <c r="N11" s="774"/>
    </row>
    <row r="12" spans="1:14" s="653" customFormat="1" x14ac:dyDescent="0.2">
      <c r="A12" s="717"/>
      <c r="B12" s="924">
        <v>46097</v>
      </c>
      <c r="C12" s="675">
        <v>46109</v>
      </c>
      <c r="D12" s="676"/>
      <c r="E12" s="676"/>
      <c r="F12" s="925"/>
      <c r="G12" s="703"/>
      <c r="H12" s="705">
        <v>8</v>
      </c>
      <c r="I12" s="582"/>
      <c r="J12" s="747"/>
      <c r="K12" s="774"/>
      <c r="L12" s="774"/>
      <c r="M12" s="774"/>
      <c r="N12" s="774"/>
    </row>
    <row r="13" spans="1:14" s="653" customFormat="1" x14ac:dyDescent="0.2">
      <c r="A13" s="717"/>
      <c r="B13" s="924">
        <v>46113</v>
      </c>
      <c r="C13" s="675">
        <v>46114</v>
      </c>
      <c r="D13" s="676"/>
      <c r="E13" s="676"/>
      <c r="F13" s="925"/>
      <c r="G13" s="703"/>
      <c r="H13" s="705">
        <v>1</v>
      </c>
      <c r="I13" s="582"/>
      <c r="J13" s="747" t="s">
        <v>830</v>
      </c>
      <c r="K13" s="774"/>
      <c r="L13" s="774"/>
      <c r="M13" s="774"/>
      <c r="N13" s="774"/>
    </row>
    <row r="14" spans="1:14" s="653" customFormat="1" x14ac:dyDescent="0.2">
      <c r="A14" s="717"/>
      <c r="B14" s="924">
        <v>46163</v>
      </c>
      <c r="C14" s="675">
        <v>46174</v>
      </c>
      <c r="D14" s="676"/>
      <c r="E14" s="676"/>
      <c r="F14" s="925"/>
      <c r="G14" s="703"/>
      <c r="H14" s="705">
        <v>4</v>
      </c>
      <c r="I14" s="582"/>
      <c r="J14" s="747"/>
      <c r="K14" s="774"/>
      <c r="L14" s="774"/>
      <c r="M14" s="774"/>
      <c r="N14" s="774"/>
    </row>
    <row r="15" spans="1:14" s="653" customFormat="1" x14ac:dyDescent="0.2">
      <c r="A15" s="717"/>
      <c r="B15" s="924"/>
      <c r="C15" s="675"/>
      <c r="D15" s="676"/>
      <c r="E15" s="676"/>
      <c r="F15" s="925"/>
      <c r="G15" s="703"/>
      <c r="H15" s="705"/>
      <c r="I15" s="582"/>
      <c r="J15" s="747"/>
      <c r="K15" s="774"/>
      <c r="L15" s="774"/>
      <c r="M15" s="774"/>
      <c r="N15" s="774"/>
    </row>
    <row r="16" spans="1:14" s="653" customFormat="1" x14ac:dyDescent="0.2">
      <c r="A16" s="717"/>
      <c r="B16" s="924"/>
      <c r="C16" s="675"/>
      <c r="D16" s="676"/>
      <c r="E16" s="676"/>
      <c r="F16" s="925"/>
      <c r="G16" s="703"/>
      <c r="H16" s="705"/>
      <c r="I16" s="582"/>
      <c r="J16" s="747"/>
      <c r="K16" s="774"/>
      <c r="L16" s="774"/>
      <c r="M16" s="774"/>
      <c r="N16" s="774"/>
    </row>
    <row r="17" spans="1:14" s="653" customFormat="1" x14ac:dyDescent="0.2">
      <c r="A17" s="717"/>
      <c r="B17" s="924"/>
      <c r="C17" s="675"/>
      <c r="D17" s="676"/>
      <c r="E17" s="676"/>
      <c r="F17" s="925"/>
      <c r="G17" s="703"/>
      <c r="H17" s="705"/>
      <c r="I17" s="582"/>
      <c r="J17" s="747"/>
      <c r="K17" s="774"/>
      <c r="L17" s="774"/>
      <c r="M17" s="774"/>
      <c r="N17" s="774"/>
    </row>
    <row r="18" spans="1:14" s="653" customFormat="1" x14ac:dyDescent="0.2">
      <c r="A18" s="717"/>
      <c r="B18" s="924"/>
      <c r="C18" s="675"/>
      <c r="D18" s="676"/>
      <c r="E18" s="676"/>
      <c r="F18" s="925"/>
      <c r="G18" s="703"/>
      <c r="H18" s="705"/>
      <c r="I18" s="582"/>
      <c r="J18" s="747"/>
      <c r="K18" s="774"/>
      <c r="L18" s="774"/>
      <c r="M18" s="774"/>
      <c r="N18" s="774"/>
    </row>
    <row r="19" spans="1:14" s="653" customFormat="1" x14ac:dyDescent="0.2">
      <c r="A19" s="717"/>
      <c r="B19" s="924"/>
      <c r="C19" s="675"/>
      <c r="D19" s="676"/>
      <c r="E19" s="676"/>
      <c r="F19" s="925"/>
      <c r="G19" s="703"/>
      <c r="H19" s="705"/>
      <c r="I19" s="582"/>
      <c r="J19" s="747"/>
      <c r="K19" s="774"/>
      <c r="L19" s="774"/>
      <c r="M19" s="774"/>
      <c r="N19" s="774"/>
    </row>
    <row r="20" spans="1:14" s="653" customFormat="1" x14ac:dyDescent="0.2">
      <c r="A20" s="717"/>
      <c r="B20" s="924"/>
      <c r="C20" s="675"/>
      <c r="D20" s="676"/>
      <c r="E20" s="676"/>
      <c r="F20" s="925"/>
      <c r="G20" s="703"/>
      <c r="H20" s="705"/>
      <c r="I20" s="582"/>
      <c r="J20" s="747"/>
      <c r="K20" s="774"/>
      <c r="L20" s="774"/>
      <c r="M20" s="774"/>
      <c r="N20" s="774"/>
    </row>
    <row r="21" spans="1:14" s="653" customFormat="1" x14ac:dyDescent="0.2">
      <c r="A21" s="717"/>
      <c r="B21" s="924"/>
      <c r="C21" s="675"/>
      <c r="D21" s="676"/>
      <c r="E21" s="676"/>
      <c r="F21" s="925"/>
      <c r="G21" s="703"/>
      <c r="H21" s="705"/>
      <c r="I21" s="582"/>
      <c r="J21" s="747"/>
      <c r="K21" s="774"/>
      <c r="L21" s="774"/>
      <c r="M21" s="774"/>
      <c r="N21" s="774"/>
    </row>
    <row r="22" spans="1:14" s="653" customFormat="1" x14ac:dyDescent="0.2">
      <c r="A22" s="717"/>
      <c r="B22" s="924"/>
      <c r="C22" s="675"/>
      <c r="D22" s="676"/>
      <c r="E22" s="676"/>
      <c r="F22" s="925"/>
      <c r="G22" s="703"/>
      <c r="H22" s="705"/>
      <c r="I22" s="582"/>
      <c r="J22" s="747"/>
      <c r="K22" s="774"/>
      <c r="L22" s="774"/>
      <c r="M22" s="774"/>
      <c r="N22" s="774"/>
    </row>
    <row r="23" spans="1:14" s="653" customFormat="1" x14ac:dyDescent="0.2">
      <c r="A23" s="717"/>
      <c r="B23" s="924"/>
      <c r="C23" s="675"/>
      <c r="D23" s="676"/>
      <c r="E23" s="676"/>
      <c r="F23" s="925"/>
      <c r="G23" s="703"/>
      <c r="H23" s="705"/>
      <c r="I23" s="582"/>
      <c r="J23" s="747"/>
      <c r="K23" s="774"/>
      <c r="L23" s="774"/>
      <c r="M23" s="774"/>
      <c r="N23" s="774"/>
    </row>
    <row r="24" spans="1:14" s="653" customFormat="1" x14ac:dyDescent="0.2">
      <c r="A24" s="717"/>
      <c r="B24" s="924"/>
      <c r="C24" s="675"/>
      <c r="D24" s="676"/>
      <c r="E24" s="676"/>
      <c r="F24" s="925"/>
      <c r="G24" s="703"/>
      <c r="H24" s="705"/>
      <c r="I24" s="582"/>
      <c r="J24" s="747"/>
      <c r="K24" s="774"/>
      <c r="L24" s="774"/>
      <c r="M24" s="774"/>
      <c r="N24" s="774"/>
    </row>
    <row r="25" spans="1:14" x14ac:dyDescent="0.2">
      <c r="A25" s="724"/>
      <c r="B25" s="924"/>
      <c r="C25" s="675"/>
      <c r="D25" s="676"/>
      <c r="E25" s="676"/>
      <c r="F25" s="925"/>
      <c r="G25" s="703"/>
      <c r="H25" s="705"/>
      <c r="I25" s="582"/>
      <c r="J25" s="747"/>
      <c r="K25" s="774"/>
      <c r="L25" s="926"/>
      <c r="M25" s="774"/>
      <c r="N25" s="774"/>
    </row>
    <row r="26" spans="1:14" x14ac:dyDescent="0.2">
      <c r="A26" s="724"/>
      <c r="B26" s="729"/>
      <c r="C26" s="729"/>
      <c r="D26" s="676"/>
      <c r="E26" s="676"/>
      <c r="F26" s="748"/>
      <c r="G26" s="723"/>
      <c r="H26" s="749"/>
      <c r="I26" s="583"/>
      <c r="J26" s="747"/>
      <c r="K26" s="774"/>
      <c r="L26" s="774"/>
      <c r="M26" s="774"/>
      <c r="N26" s="774"/>
    </row>
    <row r="27" spans="1:14" x14ac:dyDescent="0.2">
      <c r="A27" s="719"/>
      <c r="B27" s="729"/>
      <c r="C27" s="732"/>
      <c r="D27" s="676"/>
      <c r="E27" s="676"/>
      <c r="F27" s="723"/>
      <c r="G27" s="723"/>
      <c r="H27" s="749"/>
      <c r="I27" s="583"/>
      <c r="J27" s="747"/>
      <c r="K27" s="774"/>
      <c r="L27" s="774"/>
      <c r="M27" s="774"/>
      <c r="N27" s="774"/>
    </row>
    <row r="28" spans="1:14" x14ac:dyDescent="0.2">
      <c r="A28" s="82"/>
      <c r="B28" s="82"/>
      <c r="C28" s="82"/>
      <c r="D28" s="82"/>
      <c r="E28" s="82"/>
      <c r="F28" s="330" t="s">
        <v>123</v>
      </c>
      <c r="G28" s="330">
        <f>SUM(G7:G27)</f>
        <v>5</v>
      </c>
      <c r="H28" s="330">
        <f>SUM(H7:H27)</f>
        <v>26</v>
      </c>
      <c r="I28" s="585"/>
      <c r="J28" s="82"/>
    </row>
    <row r="29" spans="1:14" x14ac:dyDescent="0.2">
      <c r="A29" s="82"/>
      <c r="B29" s="82"/>
      <c r="C29" s="82"/>
      <c r="D29" s="82"/>
      <c r="E29" s="82"/>
      <c r="F29" s="62"/>
      <c r="G29" s="63"/>
      <c r="H29" s="63"/>
      <c r="I29" s="63"/>
      <c r="J29" s="82"/>
    </row>
    <row r="30" spans="1:14" ht="14.25" x14ac:dyDescent="0.2">
      <c r="A30" s="82"/>
      <c r="B30" s="82"/>
      <c r="C30" s="82"/>
      <c r="D30" s="82"/>
      <c r="E30" s="82"/>
      <c r="F30" s="1153" t="s">
        <v>8</v>
      </c>
      <c r="G30" s="1154"/>
      <c r="H30" s="84">
        <f>G28-H28</f>
        <v>-21</v>
      </c>
      <c r="I30" s="586"/>
      <c r="J30" s="82"/>
    </row>
    <row r="31" spans="1:14" x14ac:dyDescent="0.2">
      <c r="A31" s="82"/>
      <c r="B31" s="82"/>
      <c r="C31" s="82"/>
      <c r="D31" s="82"/>
      <c r="E31" s="82"/>
      <c r="F31" s="82"/>
      <c r="G31" s="82"/>
      <c r="H31" s="82"/>
      <c r="I31" s="82"/>
      <c r="J31" s="82"/>
    </row>
  </sheetData>
  <mergeCells count="4">
    <mergeCell ref="F30:G30"/>
    <mergeCell ref="C1:H5"/>
    <mergeCell ref="J1:K4"/>
    <mergeCell ref="A7:E7"/>
  </mergeCells>
  <hyperlinks>
    <hyperlink ref="J1:J3" location="'ANA SAYFA'!A1" display="ANA SAYFA"/>
  </hyperlinks>
  <pageMargins left="0.7" right="0.12" top="0.3" bottom="0.75" header="0.3" footer="0.3"/>
  <pageSetup paperSize="9" scale="69" orientation="portrait" r:id="rId1"/>
  <colBreaks count="1" manualBreakCount="1">
    <brk id="8" max="1048575" man="1"/>
  </colBreaks>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zoomScaleNormal="100" workbookViewId="0">
      <selection activeCell="J1" sqref="J1:J3"/>
    </sheetView>
  </sheetViews>
  <sheetFormatPr defaultRowHeight="12.75" x14ac:dyDescent="0.2"/>
  <cols>
    <col min="1" max="1" width="18.140625" bestFit="1" customWidth="1"/>
    <col min="2" max="3" width="26.7109375" bestFit="1" customWidth="1"/>
    <col min="6" max="6" width="20.140625" bestFit="1" customWidth="1"/>
    <col min="7" max="7" width="14.28515625" bestFit="1" customWidth="1"/>
    <col min="8" max="8" width="12.5703125" bestFit="1" customWidth="1"/>
    <col min="9" max="9" width="3.7109375" customWidth="1"/>
    <col min="10" max="10" width="11.5703125" customWidth="1"/>
  </cols>
  <sheetData>
    <row r="1" spans="1:11" x14ac:dyDescent="0.2">
      <c r="A1" s="29" t="s">
        <v>135</v>
      </c>
      <c r="B1" s="187" t="str">
        <f>'ANA SAYFA'!B110</f>
        <v>İDRİS SEVEN</v>
      </c>
      <c r="C1" s="1166" t="s">
        <v>136</v>
      </c>
      <c r="D1" s="1166"/>
      <c r="E1" s="1166"/>
      <c r="F1" s="1166"/>
      <c r="G1" s="1166"/>
      <c r="H1" s="1166"/>
      <c r="I1" s="82"/>
      <c r="J1" s="1157" t="s">
        <v>712</v>
      </c>
      <c r="K1" s="82"/>
    </row>
    <row r="2" spans="1:11" x14ac:dyDescent="0.2">
      <c r="A2" s="29" t="s">
        <v>137</v>
      </c>
      <c r="B2" s="186">
        <f>'ANA SAYFA'!D110</f>
        <v>56386429430</v>
      </c>
      <c r="C2" s="1166"/>
      <c r="D2" s="1166"/>
      <c r="E2" s="1166"/>
      <c r="F2" s="1166"/>
      <c r="G2" s="1166"/>
      <c r="H2" s="1166"/>
      <c r="I2" s="82"/>
      <c r="J2" s="1158"/>
      <c r="K2" s="82"/>
    </row>
    <row r="3" spans="1:11" ht="13.5" thickBot="1" x14ac:dyDescent="0.25">
      <c r="A3" s="29" t="s">
        <v>131</v>
      </c>
      <c r="B3" s="187" t="str">
        <f>'ANA SAYFA'!C110</f>
        <v>BEKO-LODER OPERATÖR</v>
      </c>
      <c r="C3" s="1166"/>
      <c r="D3" s="1166"/>
      <c r="E3" s="1166"/>
      <c r="F3" s="1166"/>
      <c r="G3" s="1166"/>
      <c r="H3" s="1166"/>
      <c r="I3" s="82"/>
      <c r="J3" s="1159"/>
      <c r="K3" s="82"/>
    </row>
    <row r="4" spans="1:11" x14ac:dyDescent="0.2">
      <c r="A4" s="29" t="s">
        <v>120</v>
      </c>
      <c r="B4" s="136">
        <f>'ANA SAYFA'!E110</f>
        <v>44959</v>
      </c>
      <c r="C4" s="1166"/>
      <c r="D4" s="1166"/>
      <c r="E4" s="1166"/>
      <c r="F4" s="1166"/>
      <c r="G4" s="1166"/>
      <c r="H4" s="1166"/>
      <c r="I4" s="82"/>
      <c r="J4" s="82"/>
      <c r="K4" s="82"/>
    </row>
    <row r="5" spans="1:11" x14ac:dyDescent="0.2">
      <c r="A5" s="29" t="s">
        <v>130</v>
      </c>
      <c r="B5" s="218">
        <f>'ANA SAYFA'!F110</f>
        <v>25463</v>
      </c>
      <c r="C5" s="1166"/>
      <c r="D5" s="1166"/>
      <c r="E5" s="1166"/>
      <c r="F5" s="1166"/>
      <c r="G5" s="1166"/>
      <c r="H5" s="1166"/>
      <c r="I5" s="82"/>
      <c r="J5" s="653"/>
      <c r="K5" s="653"/>
    </row>
    <row r="6" spans="1:11" ht="31.5" x14ac:dyDescent="0.2">
      <c r="A6" s="69" t="s">
        <v>0</v>
      </c>
      <c r="B6" s="70" t="s">
        <v>1</v>
      </c>
      <c r="C6" s="69" t="s">
        <v>2</v>
      </c>
      <c r="D6" s="71" t="s">
        <v>133</v>
      </c>
      <c r="E6" s="71" t="s">
        <v>4</v>
      </c>
      <c r="F6" s="71" t="s">
        <v>7</v>
      </c>
      <c r="G6" s="71" t="s">
        <v>6</v>
      </c>
      <c r="H6" s="71" t="s">
        <v>3</v>
      </c>
      <c r="I6" s="82"/>
      <c r="J6" s="653"/>
      <c r="K6" s="653"/>
    </row>
    <row r="7" spans="1:11" ht="15.75" customHeight="1" x14ac:dyDescent="0.2">
      <c r="A7" s="139"/>
      <c r="B7" s="36">
        <v>45101</v>
      </c>
      <c r="C7" s="37">
        <v>45110</v>
      </c>
      <c r="D7" s="38">
        <v>0.33333333333333331</v>
      </c>
      <c r="E7" s="38">
        <v>0.33333333333333331</v>
      </c>
      <c r="F7" s="136" t="s">
        <v>729</v>
      </c>
      <c r="G7" s="106">
        <v>20</v>
      </c>
      <c r="H7" s="115">
        <v>2</v>
      </c>
      <c r="I7" s="82"/>
      <c r="J7" s="190"/>
      <c r="K7" s="190"/>
    </row>
    <row r="8" spans="1:11" ht="15.75" customHeight="1" x14ac:dyDescent="0.2">
      <c r="A8" s="146"/>
      <c r="B8" s="36">
        <v>45192</v>
      </c>
      <c r="C8" s="37">
        <v>45194</v>
      </c>
      <c r="D8" s="38">
        <v>0.33333333333333331</v>
      </c>
      <c r="E8" s="38">
        <v>0.33333333333333331</v>
      </c>
      <c r="F8" s="136" t="s">
        <v>730</v>
      </c>
      <c r="G8" s="106">
        <v>20</v>
      </c>
      <c r="H8" s="115">
        <v>1</v>
      </c>
      <c r="I8" s="82"/>
      <c r="J8" s="148"/>
      <c r="K8" s="148"/>
    </row>
    <row r="9" spans="1:11" ht="15.75" customHeight="1" x14ac:dyDescent="0.2">
      <c r="A9" s="146"/>
      <c r="B9" s="155" t="s">
        <v>516</v>
      </c>
      <c r="C9" s="155" t="s">
        <v>518</v>
      </c>
      <c r="D9" s="38">
        <v>0.33333333333333331</v>
      </c>
      <c r="E9" s="38">
        <v>0.33333333333333331</v>
      </c>
      <c r="F9" s="191" t="s">
        <v>950</v>
      </c>
      <c r="G9" s="145">
        <v>20</v>
      </c>
      <c r="H9" s="192">
        <v>3</v>
      </c>
      <c r="I9" s="82"/>
      <c r="J9" s="148"/>
      <c r="K9" s="148"/>
    </row>
    <row r="10" spans="1:11" ht="15.75" customHeight="1" x14ac:dyDescent="0.2">
      <c r="A10" s="141"/>
      <c r="B10" s="155">
        <v>45463</v>
      </c>
      <c r="C10" s="158">
        <v>45465</v>
      </c>
      <c r="D10" s="676">
        <v>0.33333333333333331</v>
      </c>
      <c r="E10" s="676">
        <v>0.33333333333333331</v>
      </c>
      <c r="F10" s="145"/>
      <c r="G10" s="145"/>
      <c r="H10" s="192">
        <v>3</v>
      </c>
      <c r="I10" s="82"/>
      <c r="J10" s="82"/>
      <c r="K10" s="82"/>
    </row>
    <row r="11" spans="1:11" ht="15.75" customHeight="1" x14ac:dyDescent="0.2">
      <c r="A11" s="160"/>
      <c r="B11" s="155">
        <v>45551</v>
      </c>
      <c r="C11" s="158">
        <v>45570</v>
      </c>
      <c r="D11" s="676">
        <v>0.33333333333333331</v>
      </c>
      <c r="E11" s="676">
        <v>0.33333333333333331</v>
      </c>
      <c r="F11" s="145"/>
      <c r="G11" s="145"/>
      <c r="H11" s="157">
        <v>18</v>
      </c>
      <c r="I11" s="82"/>
      <c r="J11" s="190"/>
      <c r="K11" s="190"/>
    </row>
    <row r="12" spans="1:11" ht="15.75" customHeight="1" x14ac:dyDescent="0.2">
      <c r="A12" s="725"/>
      <c r="B12" s="1195" t="s">
        <v>654</v>
      </c>
      <c r="C12" s="1196"/>
      <c r="D12" s="168"/>
      <c r="E12" s="168"/>
      <c r="F12" s="145"/>
      <c r="G12" s="723"/>
      <c r="H12" s="822">
        <v>-3</v>
      </c>
      <c r="I12" s="82"/>
      <c r="J12" s="148"/>
      <c r="K12" s="148"/>
    </row>
    <row r="13" spans="1:11" ht="15.75" customHeight="1" x14ac:dyDescent="0.2">
      <c r="A13" s="725"/>
      <c r="B13" s="1195" t="s">
        <v>661</v>
      </c>
      <c r="C13" s="1196"/>
      <c r="D13" s="168"/>
      <c r="E13" s="168"/>
      <c r="F13" s="145"/>
      <c r="G13" s="723"/>
      <c r="H13" s="822">
        <v>-3</v>
      </c>
      <c r="I13" s="82"/>
      <c r="J13" s="82"/>
      <c r="K13" s="82"/>
    </row>
    <row r="14" spans="1:11" ht="15.75" customHeight="1" x14ac:dyDescent="0.2">
      <c r="A14" s="725"/>
      <c r="B14" s="142">
        <v>45661</v>
      </c>
      <c r="C14" s="143">
        <v>45661</v>
      </c>
      <c r="D14" s="676">
        <v>0.33333333333333331</v>
      </c>
      <c r="E14" s="676">
        <v>0.33333333333333331</v>
      </c>
      <c r="F14" s="140"/>
      <c r="G14" s="723"/>
      <c r="H14" s="145">
        <v>1</v>
      </c>
      <c r="I14" s="82"/>
      <c r="J14" s="82"/>
      <c r="K14" s="82"/>
    </row>
    <row r="15" spans="1:11" ht="15.75" customHeight="1" x14ac:dyDescent="0.2">
      <c r="A15" s="725"/>
      <c r="B15" s="142">
        <v>45749</v>
      </c>
      <c r="C15" s="143">
        <v>45752</v>
      </c>
      <c r="D15" s="676">
        <v>0.33333333333333331</v>
      </c>
      <c r="E15" s="676">
        <v>0.33333333333333331</v>
      </c>
      <c r="F15" s="140"/>
      <c r="G15" s="723"/>
      <c r="H15" s="145">
        <v>4</v>
      </c>
      <c r="I15" s="82"/>
      <c r="J15" s="82"/>
      <c r="K15" s="82"/>
    </row>
    <row r="16" spans="1:11" s="653" customFormat="1" ht="15.75" customHeight="1" x14ac:dyDescent="0.2">
      <c r="A16" s="725"/>
      <c r="B16" s="720">
        <v>45812</v>
      </c>
      <c r="C16" s="721">
        <v>45813</v>
      </c>
      <c r="D16" s="722"/>
      <c r="E16" s="722"/>
      <c r="F16" s="718"/>
      <c r="G16" s="723"/>
      <c r="H16" s="723">
        <v>1</v>
      </c>
      <c r="I16" s="699"/>
      <c r="J16" s="699"/>
      <c r="K16" s="699"/>
    </row>
    <row r="17" spans="1:11" s="653" customFormat="1" ht="15.75" customHeight="1" x14ac:dyDescent="0.2">
      <c r="A17" s="725"/>
      <c r="B17" s="720">
        <v>45880</v>
      </c>
      <c r="C17" s="721">
        <v>45887</v>
      </c>
      <c r="D17" s="722">
        <v>0.33333333333333331</v>
      </c>
      <c r="E17" s="722">
        <v>0.33333333333333331</v>
      </c>
      <c r="F17" s="718"/>
      <c r="G17" s="723"/>
      <c r="H17" s="723">
        <v>6</v>
      </c>
      <c r="I17" s="699"/>
      <c r="J17" s="699"/>
      <c r="K17" s="699"/>
    </row>
    <row r="18" spans="1:11" s="653" customFormat="1" ht="15.75" customHeight="1" x14ac:dyDescent="0.2">
      <c r="A18" s="725"/>
      <c r="B18" s="720">
        <v>45929</v>
      </c>
      <c r="C18" s="721">
        <v>45932</v>
      </c>
      <c r="D18" s="722">
        <v>0.33333333333333331</v>
      </c>
      <c r="E18" s="722">
        <v>0.33333333333333331</v>
      </c>
      <c r="F18" s="718"/>
      <c r="G18" s="723"/>
      <c r="H18" s="723">
        <v>4</v>
      </c>
      <c r="I18" s="699"/>
      <c r="J18" s="699"/>
      <c r="K18" s="699"/>
    </row>
    <row r="19" spans="1:11" s="653" customFormat="1" ht="15.75" customHeight="1" x14ac:dyDescent="0.2">
      <c r="A19" s="725"/>
      <c r="B19" s="720">
        <v>46025</v>
      </c>
      <c r="C19" s="721">
        <v>46027</v>
      </c>
      <c r="D19" s="722"/>
      <c r="E19" s="722"/>
      <c r="F19" s="718"/>
      <c r="G19" s="723"/>
      <c r="H19" s="723">
        <v>1</v>
      </c>
      <c r="I19" s="699"/>
      <c r="J19" s="699"/>
      <c r="K19" s="699"/>
    </row>
    <row r="20" spans="1:11" s="653" customFormat="1" ht="15.75" customHeight="1" x14ac:dyDescent="0.2">
      <c r="A20" s="725"/>
      <c r="B20" s="720">
        <v>46032</v>
      </c>
      <c r="C20" s="721">
        <v>46034</v>
      </c>
      <c r="D20" s="722"/>
      <c r="E20" s="722"/>
      <c r="F20" s="718"/>
      <c r="G20" s="723"/>
      <c r="H20" s="723">
        <v>1</v>
      </c>
      <c r="I20" s="699"/>
      <c r="J20" s="699"/>
      <c r="K20" s="699"/>
    </row>
    <row r="21" spans="1:11" s="653" customFormat="1" ht="15.75" customHeight="1" x14ac:dyDescent="0.2">
      <c r="A21" s="725"/>
      <c r="B21" s="720">
        <v>46055</v>
      </c>
      <c r="C21" s="721">
        <v>46056</v>
      </c>
      <c r="D21" s="722"/>
      <c r="E21" s="722"/>
      <c r="F21" s="718"/>
      <c r="G21" s="723"/>
      <c r="H21" s="723">
        <v>1</v>
      </c>
      <c r="I21" s="699"/>
      <c r="J21" s="699"/>
      <c r="K21" s="699"/>
    </row>
    <row r="22" spans="1:11" s="653" customFormat="1" ht="15.75" customHeight="1" x14ac:dyDescent="0.2">
      <c r="A22" s="725"/>
      <c r="B22" s="720">
        <v>46165</v>
      </c>
      <c r="C22" s="721">
        <v>46174</v>
      </c>
      <c r="D22" s="722"/>
      <c r="E22" s="722"/>
      <c r="F22" s="718"/>
      <c r="G22" s="723"/>
      <c r="H22" s="723">
        <v>2</v>
      </c>
      <c r="I22" s="699"/>
      <c r="J22" s="699"/>
      <c r="K22" s="699"/>
    </row>
    <row r="23" spans="1:11" s="653" customFormat="1" ht="15.75" customHeight="1" x14ac:dyDescent="0.2">
      <c r="A23" s="725"/>
      <c r="B23" s="720"/>
      <c r="C23" s="721"/>
      <c r="D23" s="722"/>
      <c r="E23" s="722"/>
      <c r="F23" s="718"/>
      <c r="G23" s="723"/>
      <c r="H23" s="723"/>
      <c r="I23" s="699"/>
      <c r="J23" s="699"/>
      <c r="K23" s="699"/>
    </row>
    <row r="24" spans="1:11" s="653" customFormat="1" ht="15.75" customHeight="1" x14ac:dyDescent="0.2">
      <c r="A24" s="725"/>
      <c r="B24" s="720"/>
      <c r="C24" s="721"/>
      <c r="D24" s="722"/>
      <c r="E24" s="722"/>
      <c r="F24" s="718"/>
      <c r="G24" s="723"/>
      <c r="H24" s="723"/>
      <c r="I24" s="699"/>
      <c r="J24" s="699"/>
      <c r="K24" s="699"/>
    </row>
    <row r="25" spans="1:11" ht="15.75" customHeight="1" x14ac:dyDescent="0.2">
      <c r="A25" s="725"/>
      <c r="B25" s="142"/>
      <c r="C25" s="143"/>
      <c r="D25" s="144"/>
      <c r="E25" s="144"/>
      <c r="F25" s="140"/>
      <c r="G25" s="723"/>
      <c r="H25" s="145"/>
      <c r="I25" s="82"/>
      <c r="J25" s="82"/>
      <c r="K25" s="82"/>
    </row>
    <row r="26" spans="1:11" ht="15.75" customHeight="1" x14ac:dyDescent="0.2">
      <c r="A26" s="725"/>
      <c r="B26" s="142"/>
      <c r="C26" s="143"/>
      <c r="D26" s="144"/>
      <c r="E26" s="144"/>
      <c r="F26" s="140"/>
      <c r="G26" s="723"/>
      <c r="H26" s="145"/>
      <c r="I26" s="82"/>
      <c r="J26" s="82"/>
      <c r="K26" s="82"/>
    </row>
    <row r="27" spans="1:11" ht="15.75" customHeight="1" x14ac:dyDescent="0.2">
      <c r="A27" s="147"/>
      <c r="B27" s="142"/>
      <c r="C27" s="143"/>
      <c r="D27" s="144"/>
      <c r="E27" s="144"/>
      <c r="F27" s="140"/>
      <c r="G27" s="145"/>
      <c r="H27" s="145"/>
      <c r="I27" s="82"/>
      <c r="J27" s="82"/>
      <c r="K27" s="82"/>
    </row>
    <row r="28" spans="1:11" ht="15.75" customHeight="1" x14ac:dyDescent="0.2">
      <c r="A28" s="147"/>
      <c r="B28" s="142"/>
      <c r="C28" s="143"/>
      <c r="D28" s="144"/>
      <c r="E28" s="144"/>
      <c r="F28" s="140"/>
      <c r="G28" s="145"/>
      <c r="H28" s="145"/>
      <c r="I28" s="82"/>
      <c r="J28" s="82"/>
      <c r="K28" s="82"/>
    </row>
    <row r="29" spans="1:11" ht="15.75" customHeight="1" x14ac:dyDescent="0.2">
      <c r="A29" s="147"/>
      <c r="B29" s="142"/>
      <c r="C29" s="143"/>
      <c r="D29" s="144"/>
      <c r="E29" s="144"/>
      <c r="F29" s="48"/>
      <c r="G29" s="66"/>
      <c r="H29" s="145"/>
      <c r="I29" s="82"/>
      <c r="J29" s="82"/>
      <c r="K29" s="82"/>
    </row>
    <row r="30" spans="1:11" ht="15.75" customHeight="1" x14ac:dyDescent="0.2">
      <c r="A30" s="147"/>
      <c r="B30" s="142"/>
      <c r="C30" s="143"/>
      <c r="D30" s="144"/>
      <c r="E30" s="144"/>
      <c r="F30" s="48"/>
      <c r="G30" s="66"/>
      <c r="H30" s="66"/>
      <c r="I30" s="82"/>
      <c r="J30" s="82"/>
      <c r="K30" s="82"/>
    </row>
    <row r="31" spans="1:11" ht="15.75" customHeight="1" x14ac:dyDescent="0.2">
      <c r="A31" s="147"/>
      <c r="B31" s="142"/>
      <c r="C31" s="143"/>
      <c r="D31" s="144"/>
      <c r="E31" s="144"/>
      <c r="F31" s="48"/>
      <c r="G31" s="66"/>
      <c r="H31" s="66"/>
      <c r="I31" s="82"/>
      <c r="J31" s="82"/>
      <c r="K31" s="82"/>
    </row>
    <row r="32" spans="1:11" ht="15.75" customHeight="1" x14ac:dyDescent="0.2">
      <c r="A32" s="82"/>
      <c r="B32" s="82"/>
      <c r="C32" s="82"/>
      <c r="D32" s="82"/>
      <c r="E32" s="82"/>
      <c r="F32" s="330" t="s">
        <v>123</v>
      </c>
      <c r="G32" s="330">
        <f>SUM(G7:G14)</f>
        <v>60</v>
      </c>
      <c r="H32" s="330">
        <f>SUM(H7:H30)</f>
        <v>42</v>
      </c>
      <c r="I32" s="82"/>
      <c r="J32" s="82"/>
      <c r="K32" s="82"/>
    </row>
    <row r="33" spans="1:11" x14ac:dyDescent="0.2">
      <c r="A33" s="82"/>
      <c r="B33" s="82"/>
      <c r="C33" s="82"/>
      <c r="D33" s="82"/>
      <c r="E33" s="82"/>
      <c r="F33" s="62"/>
      <c r="G33" s="63"/>
      <c r="H33" s="63"/>
      <c r="I33" s="82"/>
      <c r="J33" s="82"/>
      <c r="K33" s="82"/>
    </row>
    <row r="34" spans="1:11" ht="14.25" x14ac:dyDescent="0.2">
      <c r="A34" s="82"/>
      <c r="B34" s="82"/>
      <c r="C34" s="82"/>
      <c r="D34" s="82"/>
      <c r="E34" s="82"/>
      <c r="F34" s="1153" t="s">
        <v>8</v>
      </c>
      <c r="G34" s="1154"/>
      <c r="H34" s="84">
        <f>G32-H32</f>
        <v>18</v>
      </c>
      <c r="I34" s="82"/>
      <c r="J34" s="82"/>
      <c r="K34" s="82"/>
    </row>
    <row r="35" spans="1:11" x14ac:dyDescent="0.2">
      <c r="A35" s="82"/>
      <c r="B35" s="82"/>
      <c r="C35" s="82"/>
      <c r="D35" s="82"/>
      <c r="E35" s="82"/>
      <c r="F35" s="82"/>
      <c r="G35" s="82"/>
      <c r="H35" s="82"/>
      <c r="I35" s="82"/>
      <c r="J35" s="82"/>
      <c r="K35" s="82"/>
    </row>
  </sheetData>
  <mergeCells count="5">
    <mergeCell ref="F34:G34"/>
    <mergeCell ref="J1:J3"/>
    <mergeCell ref="C1:H5"/>
    <mergeCell ref="B12:C12"/>
    <mergeCell ref="B13:C13"/>
  </mergeCells>
  <hyperlinks>
    <hyperlink ref="J1:J3" location="'ANA SAYFA'!A1" display="ANA SAYFA"/>
  </hyperlinks>
  <pageMargins left="0.7" right="0.12" top="0.28000000000000003" bottom="0.75" header="0.3" footer="0.3"/>
  <pageSetup paperSize="9" scale="69" orientation="portrait" r:id="rId1"/>
  <colBreaks count="1" manualBreakCount="1">
    <brk id="8" max="1048575" man="1"/>
  </colBreaks>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1"/>
  <sheetViews>
    <sheetView zoomScaleNormal="100" workbookViewId="0">
      <pane ySplit="7" topLeftCell="A8" activePane="bottomLeft" state="frozen"/>
      <selection pane="bottomLeft" activeCell="J1" sqref="J1:J3"/>
    </sheetView>
  </sheetViews>
  <sheetFormatPr defaultRowHeight="12.75" x14ac:dyDescent="0.2"/>
  <cols>
    <col min="1" max="1" width="18.140625" bestFit="1" customWidth="1"/>
    <col min="2" max="3" width="26.7109375" bestFit="1" customWidth="1"/>
    <col min="6" max="6" width="25.5703125" customWidth="1"/>
    <col min="7" max="7" width="14.28515625" bestFit="1" customWidth="1"/>
    <col min="8" max="8" width="12.5703125" bestFit="1" customWidth="1"/>
    <col min="9" max="9" width="4.85546875" customWidth="1"/>
    <col min="10" max="10" width="11.140625" customWidth="1"/>
  </cols>
  <sheetData>
    <row r="1" spans="1:14" x14ac:dyDescent="0.2">
      <c r="A1" s="29" t="s">
        <v>135</v>
      </c>
      <c r="B1" s="187" t="str">
        <f>'ANA SAYFA'!B108</f>
        <v xml:space="preserve">UĞUR YILDIZ </v>
      </c>
      <c r="C1" s="1166" t="s">
        <v>136</v>
      </c>
      <c r="D1" s="1166"/>
      <c r="E1" s="1166"/>
      <c r="F1" s="1166"/>
      <c r="G1" s="1166"/>
      <c r="H1" s="1166"/>
      <c r="I1" s="82"/>
      <c r="J1" s="1157" t="s">
        <v>712</v>
      </c>
      <c r="K1" s="82"/>
    </row>
    <row r="2" spans="1:14" x14ac:dyDescent="0.2">
      <c r="A2" s="29" t="s">
        <v>137</v>
      </c>
      <c r="B2" s="186">
        <f>'ANA SAYFA'!D108</f>
        <v>19367344962</v>
      </c>
      <c r="C2" s="1166"/>
      <c r="D2" s="1166"/>
      <c r="E2" s="1166"/>
      <c r="F2" s="1166"/>
      <c r="G2" s="1166"/>
      <c r="H2" s="1166"/>
      <c r="I2" s="82"/>
      <c r="J2" s="1158"/>
      <c r="K2" s="82"/>
    </row>
    <row r="3" spans="1:14" ht="13.5" thickBot="1" x14ac:dyDescent="0.25">
      <c r="A3" s="29" t="s">
        <v>131</v>
      </c>
      <c r="B3" s="187" t="str">
        <f>'ANA SAYFA'!C108</f>
        <v>TIR-ÇEKİCİ ŞOFÖRÜ</v>
      </c>
      <c r="C3" s="1166"/>
      <c r="D3" s="1166"/>
      <c r="E3" s="1166"/>
      <c r="F3" s="1166"/>
      <c r="G3" s="1166"/>
      <c r="H3" s="1166"/>
      <c r="I3" s="82"/>
      <c r="J3" s="1159"/>
      <c r="K3" s="82"/>
    </row>
    <row r="4" spans="1:14" x14ac:dyDescent="0.2">
      <c r="A4" s="29" t="s">
        <v>120</v>
      </c>
      <c r="B4" s="136">
        <f>'ANA SAYFA'!E108</f>
        <v>45517</v>
      </c>
      <c r="C4" s="1166"/>
      <c r="D4" s="1166"/>
      <c r="E4" s="1166"/>
      <c r="F4" s="1166"/>
      <c r="G4" s="1166"/>
      <c r="H4" s="1166"/>
      <c r="I4" s="82"/>
      <c r="J4" s="82"/>
      <c r="K4" s="82"/>
    </row>
    <row r="5" spans="1:14" x14ac:dyDescent="0.2">
      <c r="A5" s="29" t="s">
        <v>130</v>
      </c>
      <c r="B5" s="218">
        <f>'ANA SAYFA'!F108</f>
        <v>28430</v>
      </c>
      <c r="C5" s="1166"/>
      <c r="D5" s="1166"/>
      <c r="E5" s="1166"/>
      <c r="F5" s="1166"/>
      <c r="G5" s="1166"/>
      <c r="H5" s="1166"/>
      <c r="I5" s="82"/>
      <c r="J5" s="653"/>
      <c r="K5" s="653"/>
    </row>
    <row r="6" spans="1:14" ht="12.75" customHeight="1" x14ac:dyDescent="0.2">
      <c r="A6" s="1141"/>
      <c r="B6" s="1141"/>
      <c r="C6" s="1141"/>
      <c r="D6" s="1141"/>
      <c r="E6" s="1141"/>
      <c r="F6" s="1141"/>
      <c r="G6" s="1141"/>
      <c r="H6" s="1141"/>
      <c r="I6" s="82"/>
      <c r="J6" s="653"/>
      <c r="K6" s="653"/>
    </row>
    <row r="7" spans="1:14" ht="31.5" x14ac:dyDescent="0.2">
      <c r="A7" s="69" t="s">
        <v>0</v>
      </c>
      <c r="B7" s="70" t="s">
        <v>1</v>
      </c>
      <c r="C7" s="69" t="s">
        <v>2</v>
      </c>
      <c r="D7" s="71" t="s">
        <v>133</v>
      </c>
      <c r="E7" s="71" t="s">
        <v>4</v>
      </c>
      <c r="F7" s="71" t="s">
        <v>7</v>
      </c>
      <c r="G7" s="71" t="s">
        <v>6</v>
      </c>
      <c r="H7" s="71" t="s">
        <v>3</v>
      </c>
      <c r="I7" s="82"/>
      <c r="J7" s="653"/>
      <c r="K7" s="653"/>
    </row>
    <row r="8" spans="1:14" ht="13.9" customHeight="1" x14ac:dyDescent="0.2">
      <c r="A8" s="69"/>
      <c r="B8" s="36">
        <v>45588</v>
      </c>
      <c r="C8" s="37">
        <v>45591</v>
      </c>
      <c r="D8" s="38">
        <v>0.33333333333333331</v>
      </c>
      <c r="E8" s="676">
        <v>0.33333333333333331</v>
      </c>
      <c r="F8" s="89" t="s">
        <v>812</v>
      </c>
      <c r="G8" s="106">
        <v>14</v>
      </c>
      <c r="H8" s="115">
        <v>4</v>
      </c>
      <c r="I8" s="699"/>
      <c r="J8" s="653"/>
      <c r="K8" s="653"/>
      <c r="L8" s="653"/>
      <c r="M8" s="653"/>
      <c r="N8" s="653"/>
    </row>
    <row r="9" spans="1:14" x14ac:dyDescent="0.2">
      <c r="A9" s="139"/>
      <c r="B9" s="36">
        <v>45651</v>
      </c>
      <c r="C9" s="37">
        <v>45658</v>
      </c>
      <c r="D9" s="676">
        <v>0.33333333333333331</v>
      </c>
      <c r="E9" s="676">
        <v>0.33333333333333331</v>
      </c>
      <c r="F9" s="136"/>
      <c r="G9" s="703"/>
      <c r="H9" s="115">
        <v>6</v>
      </c>
      <c r="I9" s="699"/>
      <c r="J9" s="653"/>
      <c r="K9" s="653"/>
      <c r="L9" s="653"/>
      <c r="M9" s="653"/>
      <c r="N9" s="653"/>
    </row>
    <row r="10" spans="1:14" x14ac:dyDescent="0.2">
      <c r="A10" s="1208" t="s">
        <v>665</v>
      </c>
      <c r="B10" s="1309"/>
      <c r="C10" s="1209"/>
      <c r="D10" s="38"/>
      <c r="E10" s="38"/>
      <c r="F10" s="112"/>
      <c r="G10" s="703"/>
      <c r="H10" s="647">
        <v>-3</v>
      </c>
      <c r="I10" s="699"/>
      <c r="J10" s="653"/>
      <c r="K10" s="653"/>
      <c r="L10" s="653"/>
      <c r="M10" s="653"/>
      <c r="N10" s="653"/>
    </row>
    <row r="11" spans="1:14" x14ac:dyDescent="0.2">
      <c r="A11" s="1208" t="s">
        <v>671</v>
      </c>
      <c r="B11" s="1309"/>
      <c r="C11" s="1209"/>
      <c r="D11" s="38"/>
      <c r="E11" s="38"/>
      <c r="F11" s="191"/>
      <c r="G11" s="723"/>
      <c r="H11" s="826">
        <v>-3</v>
      </c>
      <c r="I11" s="82"/>
      <c r="J11" s="357"/>
      <c r="K11" s="148"/>
    </row>
    <row r="12" spans="1:14" x14ac:dyDescent="0.2">
      <c r="A12" s="141"/>
      <c r="B12" s="155">
        <v>45705</v>
      </c>
      <c r="C12" s="158">
        <v>45712</v>
      </c>
      <c r="D12" s="676">
        <v>0.33333333333333331</v>
      </c>
      <c r="E12" s="676">
        <v>0.33333333333333331</v>
      </c>
      <c r="F12" s="145"/>
      <c r="G12" s="723"/>
      <c r="H12" s="192">
        <v>6</v>
      </c>
      <c r="I12" s="82"/>
      <c r="J12" s="82"/>
      <c r="K12" s="82"/>
    </row>
    <row r="13" spans="1:14" x14ac:dyDescent="0.2">
      <c r="A13" s="1310" t="s">
        <v>678</v>
      </c>
      <c r="B13" s="1311"/>
      <c r="C13" s="1312"/>
      <c r="D13" s="168"/>
      <c r="E13" s="168"/>
      <c r="F13" s="145"/>
      <c r="G13" s="723"/>
      <c r="H13" s="849">
        <v>-2</v>
      </c>
      <c r="I13" s="82"/>
      <c r="J13" s="190"/>
      <c r="K13" s="190"/>
    </row>
    <row r="14" spans="1:14" x14ac:dyDescent="0.2">
      <c r="A14" s="1310" t="s">
        <v>684</v>
      </c>
      <c r="B14" s="1311"/>
      <c r="C14" s="1312"/>
      <c r="D14" s="168"/>
      <c r="E14" s="168"/>
      <c r="F14" s="145"/>
      <c r="G14" s="723"/>
      <c r="H14" s="822">
        <v>-2</v>
      </c>
      <c r="I14" s="82"/>
      <c r="J14" s="148"/>
      <c r="K14" s="148"/>
    </row>
    <row r="15" spans="1:14" x14ac:dyDescent="0.2">
      <c r="A15" s="147"/>
      <c r="B15" s="142">
        <v>45749</v>
      </c>
      <c r="C15" s="143">
        <v>45749</v>
      </c>
      <c r="D15" s="676">
        <v>0.33333333333333331</v>
      </c>
      <c r="E15" s="676">
        <v>0.33333333333333331</v>
      </c>
      <c r="F15" s="145"/>
      <c r="G15" s="723"/>
      <c r="H15" s="145">
        <v>1</v>
      </c>
      <c r="I15" s="82"/>
      <c r="J15" s="82"/>
      <c r="K15" s="82"/>
    </row>
    <row r="16" spans="1:14" s="653" customFormat="1" x14ac:dyDescent="0.2">
      <c r="A16" s="725"/>
      <c r="B16" s="720">
        <v>45766</v>
      </c>
      <c r="C16" s="721">
        <v>45770</v>
      </c>
      <c r="D16" s="676">
        <v>0.33333333333333331</v>
      </c>
      <c r="E16" s="676">
        <v>0.33333333333333331</v>
      </c>
      <c r="F16" s="723"/>
      <c r="G16" s="723"/>
      <c r="H16" s="723">
        <v>4</v>
      </c>
      <c r="I16" s="699"/>
      <c r="J16" s="699"/>
      <c r="K16" s="699"/>
    </row>
    <row r="17" spans="1:11" s="653" customFormat="1" x14ac:dyDescent="0.2">
      <c r="A17" s="1310" t="s">
        <v>706</v>
      </c>
      <c r="B17" s="1311"/>
      <c r="C17" s="1312"/>
      <c r="D17" s="735"/>
      <c r="E17" s="735"/>
      <c r="F17" s="723"/>
      <c r="G17" s="723"/>
      <c r="H17" s="822">
        <v>-3</v>
      </c>
      <c r="I17" s="699"/>
      <c r="J17" s="726"/>
      <c r="K17" s="726"/>
    </row>
    <row r="18" spans="1:11" s="653" customFormat="1" x14ac:dyDescent="0.2">
      <c r="A18" s="1310" t="s">
        <v>777</v>
      </c>
      <c r="B18" s="1311"/>
      <c r="C18" s="1312"/>
      <c r="D18" s="735"/>
      <c r="E18" s="735"/>
      <c r="F18" s="723"/>
      <c r="G18" s="723"/>
      <c r="H18" s="822">
        <v>-2</v>
      </c>
      <c r="I18" s="699"/>
      <c r="J18" s="699"/>
      <c r="K18" s="699"/>
    </row>
    <row r="19" spans="1:11" s="653" customFormat="1" x14ac:dyDescent="0.2">
      <c r="A19" s="1310" t="s">
        <v>794</v>
      </c>
      <c r="B19" s="1311"/>
      <c r="C19" s="1312"/>
      <c r="D19" s="735"/>
      <c r="E19" s="735"/>
      <c r="F19" s="723"/>
      <c r="G19" s="723"/>
      <c r="H19" s="822">
        <v>-2</v>
      </c>
      <c r="I19" s="699"/>
      <c r="J19" s="699"/>
      <c r="K19" s="699"/>
    </row>
    <row r="20" spans="1:11" s="653" customFormat="1" x14ac:dyDescent="0.2">
      <c r="A20" s="725"/>
      <c r="B20" s="720">
        <v>45880</v>
      </c>
      <c r="C20" s="721">
        <v>45881</v>
      </c>
      <c r="D20" s="735">
        <v>0.33333333333333331</v>
      </c>
      <c r="E20" s="735">
        <v>0.33333333333333331</v>
      </c>
      <c r="F20" s="723"/>
      <c r="G20" s="723"/>
      <c r="H20" s="237">
        <v>0.5</v>
      </c>
      <c r="I20" s="699"/>
      <c r="J20" s="699"/>
      <c r="K20" s="699"/>
    </row>
    <row r="21" spans="1:11" s="653" customFormat="1" x14ac:dyDescent="0.2">
      <c r="A21" s="725"/>
      <c r="B21" s="720">
        <v>45939</v>
      </c>
      <c r="C21" s="721">
        <v>45951</v>
      </c>
      <c r="D21" s="735"/>
      <c r="E21" s="735"/>
      <c r="F21" s="723"/>
      <c r="G21" s="723"/>
      <c r="H21" s="723">
        <v>10</v>
      </c>
      <c r="I21" s="699"/>
      <c r="J21" s="699"/>
      <c r="K21" s="699"/>
    </row>
    <row r="22" spans="1:11" s="653" customFormat="1" x14ac:dyDescent="0.2">
      <c r="A22" s="725"/>
      <c r="B22" s="720">
        <v>45983</v>
      </c>
      <c r="C22" s="721">
        <v>45990</v>
      </c>
      <c r="D22" s="735"/>
      <c r="E22" s="735"/>
      <c r="F22" s="723"/>
      <c r="G22" s="723"/>
      <c r="H22" s="723">
        <v>6</v>
      </c>
      <c r="I22" s="699"/>
      <c r="J22" s="699"/>
      <c r="K22" s="699"/>
    </row>
    <row r="23" spans="1:11" s="653" customFormat="1" x14ac:dyDescent="0.2">
      <c r="A23" s="1310" t="s">
        <v>935</v>
      </c>
      <c r="B23" s="1311"/>
      <c r="C23" s="1312"/>
      <c r="D23" s="735"/>
      <c r="E23" s="735"/>
      <c r="F23" s="723"/>
      <c r="G23" s="723"/>
      <c r="H23" s="822">
        <v>-3</v>
      </c>
      <c r="I23" s="699"/>
      <c r="J23" s="699"/>
      <c r="K23" s="699"/>
    </row>
    <row r="24" spans="1:11" s="653" customFormat="1" x14ac:dyDescent="0.2">
      <c r="A24" s="725"/>
      <c r="B24" s="720">
        <v>46018</v>
      </c>
      <c r="C24" s="721">
        <v>46025</v>
      </c>
      <c r="D24" s="735"/>
      <c r="E24" s="735"/>
      <c r="F24" s="723"/>
      <c r="G24" s="723"/>
      <c r="H24" s="723">
        <v>5</v>
      </c>
      <c r="I24" s="699"/>
      <c r="J24" s="699"/>
      <c r="K24" s="699"/>
    </row>
    <row r="25" spans="1:11" s="653" customFormat="1" x14ac:dyDescent="0.2">
      <c r="A25" s="725"/>
      <c r="B25" s="1019" t="s">
        <v>947</v>
      </c>
      <c r="C25" s="1020"/>
      <c r="D25" s="1021"/>
      <c r="E25" s="1021"/>
      <c r="F25" s="1016"/>
      <c r="G25" s="1017"/>
      <c r="H25" s="1018">
        <v>-3</v>
      </c>
      <c r="I25" s="699"/>
      <c r="J25" s="699"/>
      <c r="K25" s="699"/>
    </row>
    <row r="26" spans="1:11" s="653" customFormat="1" x14ac:dyDescent="0.2">
      <c r="A26" s="725"/>
      <c r="B26" s="720">
        <v>46064</v>
      </c>
      <c r="C26" s="721">
        <v>46069</v>
      </c>
      <c r="D26" s="735"/>
      <c r="E26" s="735"/>
      <c r="F26" s="723"/>
      <c r="G26" s="723"/>
      <c r="H26" s="723">
        <v>4</v>
      </c>
      <c r="I26" s="699"/>
      <c r="J26" s="699"/>
      <c r="K26" s="699"/>
    </row>
    <row r="27" spans="1:11" s="653" customFormat="1" x14ac:dyDescent="0.2">
      <c r="A27" s="725"/>
      <c r="B27" s="720">
        <v>46104</v>
      </c>
      <c r="C27" s="721">
        <v>46106</v>
      </c>
      <c r="D27" s="735"/>
      <c r="E27" s="735"/>
      <c r="F27" s="723"/>
      <c r="G27" s="723"/>
      <c r="H27" s="723">
        <v>2</v>
      </c>
      <c r="I27" s="699"/>
      <c r="J27" s="699"/>
      <c r="K27" s="699"/>
    </row>
    <row r="28" spans="1:11" s="653" customFormat="1" x14ac:dyDescent="0.2">
      <c r="A28" s="725"/>
      <c r="B28" s="1269" t="s">
        <v>988</v>
      </c>
      <c r="C28" s="1271"/>
      <c r="D28" s="1048"/>
      <c r="E28" s="1048"/>
      <c r="F28" s="979"/>
      <c r="G28" s="979"/>
      <c r="H28" s="979">
        <v>-3</v>
      </c>
      <c r="I28" s="699"/>
      <c r="J28" s="699"/>
      <c r="K28" s="699"/>
    </row>
    <row r="29" spans="1:11" x14ac:dyDescent="0.2">
      <c r="A29" s="147"/>
      <c r="B29" s="142">
        <v>46136</v>
      </c>
      <c r="C29" s="143">
        <v>46139</v>
      </c>
      <c r="D29" s="144"/>
      <c r="E29" s="144"/>
      <c r="F29" s="140"/>
      <c r="G29" s="723"/>
      <c r="H29" s="145">
        <v>2</v>
      </c>
      <c r="I29" s="82"/>
      <c r="J29" s="82"/>
      <c r="K29" s="82"/>
    </row>
    <row r="30" spans="1:11" s="653" customFormat="1" x14ac:dyDescent="0.2">
      <c r="A30" s="725"/>
      <c r="B30" s="1269" t="s">
        <v>1019</v>
      </c>
      <c r="C30" s="1271"/>
      <c r="D30" s="1048"/>
      <c r="E30" s="1048"/>
      <c r="F30" s="979"/>
      <c r="G30" s="979"/>
      <c r="H30" s="979">
        <v>-3</v>
      </c>
      <c r="I30" s="699"/>
      <c r="J30" s="699"/>
      <c r="K30" s="699"/>
    </row>
    <row r="31" spans="1:11" x14ac:dyDescent="0.2">
      <c r="A31" s="147"/>
      <c r="B31" s="142">
        <v>46164</v>
      </c>
      <c r="C31" s="143">
        <v>46174</v>
      </c>
      <c r="D31" s="144"/>
      <c r="E31" s="144"/>
      <c r="F31" s="140"/>
      <c r="G31" s="145"/>
      <c r="H31" s="145">
        <v>3</v>
      </c>
      <c r="I31" s="82"/>
      <c r="J31" s="82"/>
      <c r="K31" s="82"/>
    </row>
    <row r="32" spans="1:11" x14ac:dyDescent="0.2">
      <c r="A32" s="147"/>
      <c r="B32" s="142">
        <v>46174</v>
      </c>
      <c r="C32" s="143">
        <v>46175</v>
      </c>
      <c r="D32" s="144"/>
      <c r="E32" s="144"/>
      <c r="F32" s="140"/>
      <c r="G32" s="145"/>
      <c r="H32" s="145">
        <v>1</v>
      </c>
      <c r="I32" s="82"/>
      <c r="J32" s="82"/>
      <c r="K32" s="82"/>
    </row>
    <row r="33" spans="1:11" x14ac:dyDescent="0.2">
      <c r="A33" s="147"/>
      <c r="B33" s="142"/>
      <c r="C33" s="143"/>
      <c r="D33" s="144"/>
      <c r="E33" s="144"/>
      <c r="F33" s="140"/>
      <c r="G33" s="145"/>
      <c r="H33" s="145"/>
      <c r="I33" s="82"/>
      <c r="J33" s="82"/>
      <c r="K33" s="82"/>
    </row>
    <row r="34" spans="1:11" x14ac:dyDescent="0.2">
      <c r="A34" s="147"/>
      <c r="B34" s="142"/>
      <c r="C34" s="143"/>
      <c r="D34" s="144"/>
      <c r="E34" s="144"/>
      <c r="F34" s="140"/>
      <c r="G34" s="145"/>
      <c r="H34" s="145"/>
      <c r="I34" s="82"/>
      <c r="J34" s="82"/>
      <c r="K34" s="82"/>
    </row>
    <row r="35" spans="1:11" x14ac:dyDescent="0.2">
      <c r="A35" s="147"/>
      <c r="B35" s="142"/>
      <c r="C35" s="143"/>
      <c r="D35" s="144"/>
      <c r="E35" s="144"/>
      <c r="F35" s="48"/>
      <c r="G35" s="66"/>
      <c r="H35" s="145"/>
      <c r="I35" s="82"/>
      <c r="J35" s="82"/>
      <c r="K35" s="82"/>
    </row>
    <row r="36" spans="1:11" x14ac:dyDescent="0.2">
      <c r="A36" s="147"/>
      <c r="B36" s="142"/>
      <c r="C36" s="143"/>
      <c r="D36" s="144"/>
      <c r="E36" s="144"/>
      <c r="F36" s="48"/>
      <c r="G36" s="66"/>
      <c r="H36" s="66"/>
      <c r="I36" s="82"/>
      <c r="J36" s="82"/>
      <c r="K36" s="82"/>
    </row>
    <row r="37" spans="1:11" x14ac:dyDescent="0.2">
      <c r="A37" s="147"/>
      <c r="B37" s="142"/>
      <c r="C37" s="143"/>
      <c r="D37" s="144"/>
      <c r="E37" s="144"/>
      <c r="F37" s="48"/>
      <c r="G37" s="66"/>
      <c r="H37" s="66"/>
      <c r="I37" s="82"/>
      <c r="J37" s="82"/>
      <c r="K37" s="82"/>
    </row>
    <row r="38" spans="1:11" x14ac:dyDescent="0.2">
      <c r="A38" s="82"/>
      <c r="B38" s="82"/>
      <c r="C38" s="82"/>
      <c r="D38" s="82"/>
      <c r="E38" s="82"/>
      <c r="F38" s="330" t="s">
        <v>123</v>
      </c>
      <c r="G38" s="927">
        <f>SUM(G8:G36)</f>
        <v>14</v>
      </c>
      <c r="H38" s="697">
        <f>SUM(H8:H36)</f>
        <v>25.5</v>
      </c>
      <c r="I38" s="82"/>
      <c r="J38" s="82"/>
      <c r="K38" s="82"/>
    </row>
    <row r="39" spans="1:11" x14ac:dyDescent="0.2">
      <c r="A39" s="82"/>
      <c r="B39" s="82"/>
      <c r="C39" s="82"/>
      <c r="D39" s="82"/>
      <c r="E39" s="82"/>
      <c r="F39" s="62"/>
      <c r="G39" s="63"/>
      <c r="H39" s="63"/>
      <c r="I39" s="82"/>
      <c r="J39" s="82"/>
      <c r="K39" s="82"/>
    </row>
    <row r="40" spans="1:11" ht="14.25" x14ac:dyDescent="0.2">
      <c r="A40" s="82"/>
      <c r="B40" s="82"/>
      <c r="C40" s="82"/>
      <c r="D40" s="82"/>
      <c r="E40" s="82"/>
      <c r="F40" s="1153" t="s">
        <v>8</v>
      </c>
      <c r="G40" s="1154"/>
      <c r="H40" s="84">
        <f>G38-H38</f>
        <v>-11.5</v>
      </c>
      <c r="I40" s="82"/>
      <c r="J40" s="82"/>
      <c r="K40" s="82"/>
    </row>
    <row r="41" spans="1:11" x14ac:dyDescent="0.2">
      <c r="A41" s="82"/>
      <c r="B41" s="82"/>
      <c r="C41" s="82"/>
      <c r="D41" s="82"/>
      <c r="E41" s="82"/>
      <c r="F41" s="82"/>
      <c r="G41" s="82"/>
      <c r="H41" s="82"/>
      <c r="I41" s="82"/>
      <c r="J41" s="82"/>
      <c r="K41" s="82"/>
    </row>
  </sheetData>
  <mergeCells count="14">
    <mergeCell ref="J1:J3"/>
    <mergeCell ref="A6:H6"/>
    <mergeCell ref="F40:G40"/>
    <mergeCell ref="C1:H5"/>
    <mergeCell ref="A10:C10"/>
    <mergeCell ref="A11:C11"/>
    <mergeCell ref="A13:C13"/>
    <mergeCell ref="A14:C14"/>
    <mergeCell ref="A17:C17"/>
    <mergeCell ref="A18:C18"/>
    <mergeCell ref="A19:C19"/>
    <mergeCell ref="A23:C23"/>
    <mergeCell ref="B28:C28"/>
    <mergeCell ref="B30:C30"/>
  </mergeCells>
  <hyperlinks>
    <hyperlink ref="J1:J3" location="'ANA SAYFA'!A1" display="ANA SAYFA"/>
  </hyperlinks>
  <pageMargins left="0.7" right="0.12" top="0.12" bottom="0.75" header="0.12" footer="0.3"/>
  <pageSetup paperSize="9" scale="71" orientation="portrait" r:id="rId1"/>
  <colBreaks count="1" manualBreakCount="1">
    <brk id="8" max="1048575" man="1"/>
  </colBreaks>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5"/>
  <sheetViews>
    <sheetView zoomScaleNormal="100" workbookViewId="0">
      <pane ySplit="6" topLeftCell="A7" activePane="bottomLeft" state="frozen"/>
      <selection pane="bottomLeft" activeCell="J1" sqref="J1:J3"/>
    </sheetView>
  </sheetViews>
  <sheetFormatPr defaultRowHeight="12.75" x14ac:dyDescent="0.2"/>
  <cols>
    <col min="1" max="1" width="18.140625" bestFit="1" customWidth="1"/>
    <col min="2" max="2" width="24.140625" bestFit="1" customWidth="1"/>
    <col min="3" max="3" width="26.5703125" bestFit="1" customWidth="1"/>
    <col min="6" max="6" width="20.140625" bestFit="1" customWidth="1"/>
    <col min="7" max="8" width="14.42578125" customWidth="1"/>
    <col min="9" max="9" width="2.42578125" customWidth="1"/>
    <col min="10" max="10" width="11.42578125" bestFit="1" customWidth="1"/>
  </cols>
  <sheetData>
    <row r="1" spans="1:13" x14ac:dyDescent="0.2">
      <c r="A1" s="29" t="s">
        <v>135</v>
      </c>
      <c r="B1" s="187" t="str">
        <f>'ANA SAYFA'!B111</f>
        <v>YUSUF KIROĞLU</v>
      </c>
      <c r="C1" s="1166" t="s">
        <v>136</v>
      </c>
      <c r="D1" s="1166"/>
      <c r="E1" s="1166"/>
      <c r="F1" s="1166"/>
      <c r="G1" s="1166"/>
      <c r="H1" s="1166"/>
      <c r="I1" s="82"/>
      <c r="J1" s="1157" t="s">
        <v>712</v>
      </c>
      <c r="K1" s="82"/>
    </row>
    <row r="2" spans="1:13" x14ac:dyDescent="0.2">
      <c r="A2" s="29" t="s">
        <v>137</v>
      </c>
      <c r="B2" s="186">
        <f>'ANA SAYFA'!D111</f>
        <v>44446911698</v>
      </c>
      <c r="C2" s="1166"/>
      <c r="D2" s="1166"/>
      <c r="E2" s="1166"/>
      <c r="F2" s="1166"/>
      <c r="G2" s="1166"/>
      <c r="H2" s="1166"/>
      <c r="I2" s="82"/>
      <c r="J2" s="1158"/>
      <c r="K2" s="82"/>
    </row>
    <row r="3" spans="1:13" ht="13.5" thickBot="1" x14ac:dyDescent="0.25">
      <c r="A3" s="29" t="s">
        <v>131</v>
      </c>
      <c r="B3" s="187" t="str">
        <f>'ANA SAYFA'!C111</f>
        <v>GÜVENLİK GÖREVLİSİ</v>
      </c>
      <c r="C3" s="1166"/>
      <c r="D3" s="1166"/>
      <c r="E3" s="1166"/>
      <c r="F3" s="1166"/>
      <c r="G3" s="1166"/>
      <c r="H3" s="1166"/>
      <c r="I3" s="82"/>
      <c r="J3" s="1159"/>
      <c r="K3" s="82"/>
    </row>
    <row r="4" spans="1:13" x14ac:dyDescent="0.2">
      <c r="A4" s="29" t="s">
        <v>120</v>
      </c>
      <c r="B4" s="136">
        <f>'ANA SAYFA'!E111</f>
        <v>44471</v>
      </c>
      <c r="C4" s="1166"/>
      <c r="D4" s="1166"/>
      <c r="E4" s="1166"/>
      <c r="F4" s="1166"/>
      <c r="G4" s="1166"/>
      <c r="H4" s="1166"/>
      <c r="I4" s="82"/>
      <c r="J4" s="82"/>
      <c r="K4" s="82"/>
    </row>
    <row r="5" spans="1:13" x14ac:dyDescent="0.2">
      <c r="A5" s="29" t="s">
        <v>130</v>
      </c>
      <c r="B5" s="218">
        <f>'ANA SAYFA'!F111</f>
        <v>25263</v>
      </c>
      <c r="C5" s="1166"/>
      <c r="D5" s="1166"/>
      <c r="E5" s="1166"/>
      <c r="F5" s="1166"/>
      <c r="G5" s="1166"/>
      <c r="H5" s="1166"/>
      <c r="I5" s="82"/>
      <c r="J5" s="653"/>
      <c r="K5" s="653"/>
    </row>
    <row r="6" spans="1:13" ht="31.5" x14ac:dyDescent="0.2">
      <c r="A6" s="69" t="s">
        <v>0</v>
      </c>
      <c r="B6" s="70" t="s">
        <v>1</v>
      </c>
      <c r="C6" s="69" t="s">
        <v>2</v>
      </c>
      <c r="D6" s="71" t="s">
        <v>133</v>
      </c>
      <c r="E6" s="71" t="s">
        <v>4</v>
      </c>
      <c r="F6" s="71" t="s">
        <v>7</v>
      </c>
      <c r="G6" s="71" t="s">
        <v>6</v>
      </c>
      <c r="H6" s="71" t="s">
        <v>3</v>
      </c>
      <c r="I6" s="82"/>
      <c r="J6" s="653"/>
      <c r="K6" s="653"/>
    </row>
    <row r="7" spans="1:13" x14ac:dyDescent="0.2">
      <c r="A7" s="139"/>
      <c r="B7" s="36">
        <v>45427</v>
      </c>
      <c r="C7" s="37">
        <v>45532</v>
      </c>
      <c r="D7" s="38"/>
      <c r="E7" s="38"/>
      <c r="F7" s="112" t="s">
        <v>637</v>
      </c>
      <c r="G7" s="106">
        <v>20</v>
      </c>
      <c r="H7" s="115">
        <v>12</v>
      </c>
      <c r="I7" s="82"/>
      <c r="J7" s="190"/>
      <c r="K7" s="190"/>
    </row>
    <row r="8" spans="1:13" x14ac:dyDescent="0.2">
      <c r="A8" s="146"/>
      <c r="B8" s="36">
        <v>45995</v>
      </c>
      <c r="C8" s="37">
        <v>45999</v>
      </c>
      <c r="D8" s="38"/>
      <c r="E8" s="57"/>
      <c r="F8" s="112" t="s">
        <v>638</v>
      </c>
      <c r="G8" s="106">
        <v>20</v>
      </c>
      <c r="H8" s="115">
        <v>3</v>
      </c>
      <c r="I8" s="82"/>
      <c r="J8" s="148"/>
      <c r="K8" s="148"/>
      <c r="M8" s="358"/>
    </row>
    <row r="9" spans="1:13" x14ac:dyDescent="0.2">
      <c r="A9" s="146"/>
      <c r="B9" s="155"/>
      <c r="C9" s="156"/>
      <c r="D9" s="168"/>
      <c r="E9" s="144"/>
      <c r="F9" s="112" t="s">
        <v>658</v>
      </c>
      <c r="G9" s="145">
        <v>20</v>
      </c>
      <c r="H9" s="192"/>
      <c r="I9" s="82"/>
      <c r="J9" s="148"/>
      <c r="K9" s="148"/>
    </row>
    <row r="10" spans="1:13" s="653" customFormat="1" x14ac:dyDescent="0.2">
      <c r="A10" s="724"/>
      <c r="B10" s="729"/>
      <c r="C10" s="730"/>
      <c r="D10" s="735"/>
      <c r="E10" s="722"/>
      <c r="F10" s="704"/>
      <c r="G10" s="723"/>
      <c r="H10" s="749"/>
      <c r="I10" s="699"/>
      <c r="J10" s="726"/>
      <c r="K10" s="726"/>
    </row>
    <row r="11" spans="1:13" s="653" customFormat="1" x14ac:dyDescent="0.2">
      <c r="A11" s="724"/>
      <c r="B11" s="729"/>
      <c r="C11" s="730"/>
      <c r="D11" s="735"/>
      <c r="E11" s="722"/>
      <c r="F11" s="704"/>
      <c r="G11" s="723"/>
      <c r="H11" s="749"/>
      <c r="I11" s="699"/>
      <c r="J11" s="726"/>
      <c r="K11" s="726"/>
    </row>
    <row r="12" spans="1:13" s="653" customFormat="1" x14ac:dyDescent="0.2">
      <c r="A12" s="724"/>
      <c r="B12" s="729"/>
      <c r="C12" s="730"/>
      <c r="D12" s="735"/>
      <c r="E12" s="722"/>
      <c r="F12" s="704"/>
      <c r="G12" s="723"/>
      <c r="H12" s="749"/>
      <c r="I12" s="699"/>
      <c r="J12" s="726"/>
      <c r="K12" s="726"/>
    </row>
    <row r="13" spans="1:13" s="653" customFormat="1" x14ac:dyDescent="0.2">
      <c r="A13" s="724"/>
      <c r="B13" s="729"/>
      <c r="C13" s="730"/>
      <c r="D13" s="735"/>
      <c r="E13" s="722"/>
      <c r="F13" s="704"/>
      <c r="G13" s="723"/>
      <c r="H13" s="749"/>
      <c r="I13" s="699"/>
      <c r="J13" s="726"/>
      <c r="K13" s="726"/>
    </row>
    <row r="14" spans="1:13" s="653" customFormat="1" x14ac:dyDescent="0.2">
      <c r="A14" s="724"/>
      <c r="B14" s="729"/>
      <c r="C14" s="730"/>
      <c r="D14" s="735"/>
      <c r="E14" s="722"/>
      <c r="F14" s="704"/>
      <c r="G14" s="723"/>
      <c r="H14" s="749"/>
      <c r="I14" s="699"/>
      <c r="J14" s="726"/>
      <c r="K14" s="726"/>
    </row>
    <row r="15" spans="1:13" s="653" customFormat="1" x14ac:dyDescent="0.2">
      <c r="A15" s="724"/>
      <c r="B15" s="729"/>
      <c r="C15" s="730"/>
      <c r="D15" s="735"/>
      <c r="E15" s="722"/>
      <c r="F15" s="704"/>
      <c r="G15" s="723"/>
      <c r="H15" s="749"/>
      <c r="I15" s="699"/>
      <c r="J15" s="726"/>
      <c r="K15" s="726"/>
    </row>
    <row r="16" spans="1:13" s="653" customFormat="1" x14ac:dyDescent="0.2">
      <c r="A16" s="724"/>
      <c r="B16" s="729"/>
      <c r="C16" s="730"/>
      <c r="D16" s="735"/>
      <c r="E16" s="722"/>
      <c r="F16" s="704"/>
      <c r="G16" s="723"/>
      <c r="H16" s="749"/>
      <c r="I16" s="699"/>
      <c r="J16" s="726"/>
      <c r="K16" s="726"/>
    </row>
    <row r="17" spans="1:11" s="653" customFormat="1" x14ac:dyDescent="0.2">
      <c r="A17" s="724"/>
      <c r="B17" s="729"/>
      <c r="C17" s="730"/>
      <c r="D17" s="735"/>
      <c r="E17" s="722"/>
      <c r="F17" s="704"/>
      <c r="G17" s="723"/>
      <c r="H17" s="749"/>
      <c r="I17" s="699"/>
      <c r="J17" s="726"/>
      <c r="K17" s="726"/>
    </row>
    <row r="18" spans="1:11" s="653" customFormat="1" x14ac:dyDescent="0.2">
      <c r="A18" s="724"/>
      <c r="B18" s="729"/>
      <c r="C18" s="730"/>
      <c r="D18" s="735"/>
      <c r="E18" s="722"/>
      <c r="F18" s="704"/>
      <c r="G18" s="723"/>
      <c r="H18" s="749"/>
      <c r="I18" s="699"/>
      <c r="J18" s="726"/>
      <c r="K18" s="726"/>
    </row>
    <row r="19" spans="1:11" x14ac:dyDescent="0.2">
      <c r="A19" s="141"/>
      <c r="B19" s="155"/>
      <c r="C19" s="158"/>
      <c r="D19" s="168"/>
      <c r="E19" s="144"/>
      <c r="F19" s="191"/>
      <c r="G19" s="145"/>
      <c r="H19" s="192"/>
      <c r="I19" s="82"/>
      <c r="J19" s="82"/>
      <c r="K19" s="82"/>
    </row>
    <row r="20" spans="1:11" x14ac:dyDescent="0.2">
      <c r="A20" s="160"/>
      <c r="B20" s="155"/>
      <c r="C20" s="158"/>
      <c r="D20" s="168"/>
      <c r="E20" s="168"/>
      <c r="F20" s="145"/>
      <c r="G20" s="145"/>
      <c r="H20" s="157"/>
      <c r="I20" s="82"/>
      <c r="J20" s="190"/>
      <c r="K20" s="190"/>
    </row>
    <row r="21" spans="1:11" x14ac:dyDescent="0.2">
      <c r="A21" s="147"/>
      <c r="B21" s="142"/>
      <c r="C21" s="143"/>
      <c r="D21" s="168"/>
      <c r="E21" s="168"/>
      <c r="F21" s="145"/>
      <c r="G21" s="145"/>
      <c r="H21" s="145"/>
      <c r="I21" s="82"/>
      <c r="J21" s="148"/>
      <c r="K21" s="148"/>
    </row>
    <row r="22" spans="1:11" x14ac:dyDescent="0.2">
      <c r="A22" s="147"/>
      <c r="B22" s="142"/>
      <c r="C22" s="143"/>
      <c r="D22" s="168"/>
      <c r="E22" s="168"/>
      <c r="F22" s="145"/>
      <c r="G22" s="145"/>
      <c r="H22" s="145"/>
      <c r="I22" s="82"/>
      <c r="J22" s="82"/>
      <c r="K22" s="82"/>
    </row>
    <row r="23" spans="1:11" x14ac:dyDescent="0.2">
      <c r="A23" s="147"/>
      <c r="B23" s="142"/>
      <c r="C23" s="143"/>
      <c r="D23" s="144"/>
      <c r="E23" s="144"/>
      <c r="F23" s="140"/>
      <c r="G23" s="145"/>
      <c r="H23" s="145"/>
      <c r="I23" s="82"/>
      <c r="J23" s="82"/>
      <c r="K23" s="82"/>
    </row>
    <row r="24" spans="1:11" x14ac:dyDescent="0.2">
      <c r="A24" s="147"/>
      <c r="B24" s="142"/>
      <c r="C24" s="143"/>
      <c r="D24" s="144"/>
      <c r="E24" s="144"/>
      <c r="F24" s="140"/>
      <c r="G24" s="145"/>
      <c r="H24" s="145"/>
      <c r="I24" s="82"/>
      <c r="J24" s="82"/>
      <c r="K24" s="82"/>
    </row>
    <row r="25" spans="1:11" x14ac:dyDescent="0.2">
      <c r="A25" s="147"/>
      <c r="B25" s="142"/>
      <c r="C25" s="143"/>
      <c r="D25" s="144"/>
      <c r="E25" s="144"/>
      <c r="F25" s="140"/>
      <c r="G25" s="145"/>
      <c r="H25" s="145"/>
      <c r="I25" s="82"/>
      <c r="J25" s="82"/>
      <c r="K25" s="82"/>
    </row>
    <row r="26" spans="1:11" x14ac:dyDescent="0.2">
      <c r="A26" s="147"/>
      <c r="B26" s="142"/>
      <c r="C26" s="143"/>
      <c r="D26" s="144"/>
      <c r="E26" s="144"/>
      <c r="F26" s="140"/>
      <c r="G26" s="145"/>
      <c r="H26" s="145"/>
      <c r="I26" s="82"/>
      <c r="J26" s="82"/>
      <c r="K26" s="82"/>
    </row>
    <row r="27" spans="1:11" x14ac:dyDescent="0.2">
      <c r="A27" s="147"/>
      <c r="B27" s="142"/>
      <c r="C27" s="143"/>
      <c r="D27" s="144"/>
      <c r="E27" s="144"/>
      <c r="F27" s="140"/>
      <c r="G27" s="145"/>
      <c r="H27" s="145"/>
      <c r="I27" s="82"/>
      <c r="J27" s="82"/>
      <c r="K27" s="82"/>
    </row>
    <row r="28" spans="1:11" x14ac:dyDescent="0.2">
      <c r="A28" s="147"/>
      <c r="B28" s="142"/>
      <c r="C28" s="143"/>
      <c r="D28" s="144"/>
      <c r="E28" s="144"/>
      <c r="F28" s="140"/>
      <c r="G28" s="145"/>
      <c r="H28" s="145"/>
      <c r="I28" s="82"/>
      <c r="J28" s="82"/>
      <c r="K28" s="82"/>
    </row>
    <row r="29" spans="1:11" x14ac:dyDescent="0.2">
      <c r="A29" s="147"/>
      <c r="B29" s="142"/>
      <c r="C29" s="143"/>
      <c r="D29" s="144"/>
      <c r="E29" s="144"/>
      <c r="F29" s="48"/>
      <c r="G29" s="66"/>
      <c r="H29" s="145"/>
      <c r="I29" s="82"/>
      <c r="J29" s="82"/>
      <c r="K29" s="82"/>
    </row>
    <row r="30" spans="1:11" x14ac:dyDescent="0.2">
      <c r="A30" s="147"/>
      <c r="B30" s="142"/>
      <c r="C30" s="143"/>
      <c r="D30" s="144"/>
      <c r="E30" s="144"/>
      <c r="F30" s="48"/>
      <c r="G30" s="66"/>
      <c r="H30" s="66"/>
      <c r="I30" s="82"/>
      <c r="J30" s="82"/>
      <c r="K30" s="82"/>
    </row>
    <row r="31" spans="1:11" x14ac:dyDescent="0.2">
      <c r="A31" s="147"/>
      <c r="B31" s="142"/>
      <c r="C31" s="143"/>
      <c r="D31" s="144"/>
      <c r="E31" s="144"/>
      <c r="F31" s="48"/>
      <c r="G31" s="66"/>
      <c r="H31" s="66"/>
      <c r="I31" s="82"/>
      <c r="J31" s="82"/>
      <c r="K31" s="82"/>
    </row>
    <row r="32" spans="1:11" x14ac:dyDescent="0.2">
      <c r="A32" s="82"/>
      <c r="B32" s="82"/>
      <c r="C32" s="82"/>
      <c r="D32" s="82"/>
      <c r="E32" s="82"/>
      <c r="F32" s="330" t="s">
        <v>123</v>
      </c>
      <c r="G32" s="330">
        <f>SUM(G7:G23)</f>
        <v>60</v>
      </c>
      <c r="H32" s="330">
        <f>SUM(H7:H30)</f>
        <v>15</v>
      </c>
      <c r="I32" s="82"/>
      <c r="J32" s="82"/>
      <c r="K32" s="82"/>
    </row>
    <row r="33" spans="1:11" x14ac:dyDescent="0.2">
      <c r="A33" s="82"/>
      <c r="B33" s="82"/>
      <c r="C33" s="82"/>
      <c r="D33" s="82"/>
      <c r="E33" s="82"/>
      <c r="F33" s="62"/>
      <c r="G33" s="63"/>
      <c r="H33" s="63"/>
      <c r="I33" s="82"/>
      <c r="J33" s="82"/>
      <c r="K33" s="82"/>
    </row>
    <row r="34" spans="1:11" ht="14.25" x14ac:dyDescent="0.2">
      <c r="A34" s="82"/>
      <c r="B34" s="82"/>
      <c r="C34" s="82"/>
      <c r="D34" s="82"/>
      <c r="E34" s="82"/>
      <c r="F34" s="1313" t="s">
        <v>8</v>
      </c>
      <c r="G34" s="1314"/>
      <c r="H34" s="84">
        <f>G32-H32</f>
        <v>45</v>
      </c>
      <c r="I34" s="82"/>
      <c r="J34" s="82"/>
      <c r="K34" s="82"/>
    </row>
    <row r="35" spans="1:11" x14ac:dyDescent="0.2">
      <c r="A35" s="82"/>
      <c r="B35" s="82"/>
      <c r="C35" s="82"/>
      <c r="D35" s="82"/>
      <c r="E35" s="82"/>
      <c r="F35" s="82"/>
      <c r="G35" s="82"/>
      <c r="H35" s="82"/>
      <c r="I35" s="82"/>
      <c r="J35" s="82"/>
      <c r="K35" s="82"/>
    </row>
  </sheetData>
  <mergeCells count="3">
    <mergeCell ref="F34:G34"/>
    <mergeCell ref="J1:J3"/>
    <mergeCell ref="C1:H5"/>
  </mergeCells>
  <hyperlinks>
    <hyperlink ref="J1:J3" location="'ANA SAYFA'!A1" display="ANA SAYFA"/>
  </hyperlinks>
  <pageMargins left="0.7" right="0.12" top="0.28000000000000003" bottom="0.75" header="0.3" footer="0.3"/>
  <pageSetup paperSize="9" scale="70" orientation="portrait"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
  <sheetViews>
    <sheetView zoomScaleNormal="100" workbookViewId="0">
      <selection activeCell="J1" sqref="J1:J3"/>
    </sheetView>
  </sheetViews>
  <sheetFormatPr defaultRowHeight="12.75" x14ac:dyDescent="0.2"/>
  <cols>
    <col min="1" max="1" width="18.5703125" bestFit="1" customWidth="1"/>
    <col min="2" max="3" width="27.140625" bestFit="1" customWidth="1"/>
    <col min="6" max="6" width="20.85546875" bestFit="1" customWidth="1"/>
    <col min="7" max="7" width="14.28515625" bestFit="1" customWidth="1"/>
    <col min="8" max="8" width="12.5703125" bestFit="1" customWidth="1"/>
    <col min="9" max="9" width="4.42578125" customWidth="1"/>
    <col min="10" max="10" width="11.5703125" customWidth="1"/>
    <col min="13" max="13" width="10.140625" bestFit="1" customWidth="1"/>
    <col min="14" max="14" width="9.85546875" bestFit="1" customWidth="1"/>
    <col min="15" max="15" width="10.140625" bestFit="1" customWidth="1"/>
    <col min="16" max="16" width="14.28515625" bestFit="1" customWidth="1"/>
  </cols>
  <sheetData>
    <row r="1" spans="1:11" x14ac:dyDescent="0.2">
      <c r="A1" s="29" t="s">
        <v>135</v>
      </c>
      <c r="B1" s="187" t="str">
        <f>'ANA SAYFA'!B112</f>
        <v>KENAN ÇALIŞKAN</v>
      </c>
      <c r="C1" s="1166" t="s">
        <v>136</v>
      </c>
      <c r="D1" s="1166"/>
      <c r="E1" s="1166"/>
      <c r="F1" s="1166"/>
      <c r="G1" s="1166"/>
      <c r="H1" s="1166"/>
      <c r="I1" s="82"/>
      <c r="J1" s="1157" t="s">
        <v>712</v>
      </c>
      <c r="K1" s="82"/>
    </row>
    <row r="2" spans="1:11" x14ac:dyDescent="0.2">
      <c r="A2" s="29" t="s">
        <v>137</v>
      </c>
      <c r="B2" s="186">
        <f>'ANA SAYFA'!D112</f>
        <v>23338788754</v>
      </c>
      <c r="C2" s="1166"/>
      <c r="D2" s="1166"/>
      <c r="E2" s="1166"/>
      <c r="F2" s="1166"/>
      <c r="G2" s="1166"/>
      <c r="H2" s="1166"/>
      <c r="I2" s="82"/>
      <c r="J2" s="1158"/>
      <c r="K2" s="82"/>
    </row>
    <row r="3" spans="1:11" ht="13.5" thickBot="1" x14ac:dyDescent="0.25">
      <c r="A3" s="29" t="s">
        <v>131</v>
      </c>
      <c r="B3" s="187" t="str">
        <f>'ANA SAYFA'!C112</f>
        <v>OPERATÖR</v>
      </c>
      <c r="C3" s="1166"/>
      <c r="D3" s="1166"/>
      <c r="E3" s="1166"/>
      <c r="F3" s="1166"/>
      <c r="G3" s="1166"/>
      <c r="H3" s="1166"/>
      <c r="I3" s="82"/>
      <c r="J3" s="1159"/>
      <c r="K3" s="82"/>
    </row>
    <row r="4" spans="1:11" x14ac:dyDescent="0.2">
      <c r="A4" s="29" t="s">
        <v>120</v>
      </c>
      <c r="B4" s="136">
        <f>'ANA SAYFA'!E112</f>
        <v>45017</v>
      </c>
      <c r="C4" s="1166"/>
      <c r="D4" s="1166"/>
      <c r="E4" s="1166"/>
      <c r="F4" s="1166"/>
      <c r="G4" s="1166"/>
      <c r="H4" s="1166"/>
      <c r="I4" s="82"/>
      <c r="J4" s="82"/>
      <c r="K4" s="82"/>
    </row>
    <row r="5" spans="1:11" x14ac:dyDescent="0.2">
      <c r="A5" s="29" t="s">
        <v>130</v>
      </c>
      <c r="B5" s="218">
        <f>'ANA SAYFA'!F112</f>
        <v>28378</v>
      </c>
      <c r="C5" s="1166"/>
      <c r="D5" s="1166"/>
      <c r="E5" s="1166"/>
      <c r="F5" s="1166"/>
      <c r="G5" s="1166"/>
      <c r="H5" s="1166"/>
      <c r="I5" s="82"/>
      <c r="J5" s="653"/>
      <c r="K5" s="653"/>
    </row>
    <row r="6" spans="1:11" ht="31.5" x14ac:dyDescent="0.2">
      <c r="A6" s="69" t="s">
        <v>0</v>
      </c>
      <c r="B6" s="70" t="s">
        <v>1</v>
      </c>
      <c r="C6" s="69" t="s">
        <v>2</v>
      </c>
      <c r="D6" s="71" t="s">
        <v>133</v>
      </c>
      <c r="E6" s="71" t="s">
        <v>4</v>
      </c>
      <c r="F6" s="71" t="s">
        <v>7</v>
      </c>
      <c r="G6" s="71" t="s">
        <v>6</v>
      </c>
      <c r="H6" s="71" t="s">
        <v>3</v>
      </c>
      <c r="I6" s="82"/>
      <c r="J6" s="653"/>
      <c r="K6" s="653"/>
    </row>
    <row r="7" spans="1:11" ht="15" customHeight="1" x14ac:dyDescent="0.2">
      <c r="A7" s="139"/>
      <c r="B7" s="36">
        <v>45103</v>
      </c>
      <c r="C7" s="37">
        <v>45110</v>
      </c>
      <c r="D7" s="38">
        <v>0.33333333333333331</v>
      </c>
      <c r="E7" s="38">
        <v>0.33333333333333331</v>
      </c>
      <c r="F7" s="136" t="s">
        <v>608</v>
      </c>
      <c r="G7" s="106">
        <v>14</v>
      </c>
      <c r="H7" s="115">
        <v>1</v>
      </c>
      <c r="I7" s="82"/>
      <c r="J7" s="190"/>
      <c r="K7" s="190"/>
    </row>
    <row r="8" spans="1:11" ht="15" customHeight="1" x14ac:dyDescent="0.2">
      <c r="A8" s="146"/>
      <c r="B8" s="36">
        <v>45320</v>
      </c>
      <c r="C8" s="37">
        <v>45327</v>
      </c>
      <c r="D8" s="38">
        <v>0.33333333333333331</v>
      </c>
      <c r="E8" s="57">
        <v>0.33333333333333331</v>
      </c>
      <c r="F8" s="136" t="s">
        <v>609</v>
      </c>
      <c r="G8" s="106">
        <v>14</v>
      </c>
      <c r="H8" s="115">
        <v>6</v>
      </c>
      <c r="I8" s="82"/>
      <c r="J8" s="148"/>
      <c r="K8" s="148"/>
    </row>
    <row r="9" spans="1:11" ht="15" customHeight="1" x14ac:dyDescent="0.2">
      <c r="A9" s="146"/>
      <c r="B9" s="155">
        <v>45463</v>
      </c>
      <c r="C9" s="156">
        <v>45472</v>
      </c>
      <c r="D9" s="38">
        <v>0.33333333333333298</v>
      </c>
      <c r="E9" s="38">
        <v>0.33333333333333298</v>
      </c>
      <c r="F9" s="191" t="s">
        <v>942</v>
      </c>
      <c r="G9" s="145">
        <v>14</v>
      </c>
      <c r="H9" s="192">
        <v>9</v>
      </c>
      <c r="I9" s="82"/>
      <c r="J9" s="148"/>
      <c r="K9" s="148"/>
    </row>
    <row r="10" spans="1:11" ht="15" customHeight="1" x14ac:dyDescent="0.2">
      <c r="A10" s="141"/>
      <c r="B10" s="155">
        <v>45499</v>
      </c>
      <c r="C10" s="158">
        <v>45499</v>
      </c>
      <c r="D10" s="38">
        <v>0.33333333333333298</v>
      </c>
      <c r="E10" s="57">
        <v>0.33333333333333298</v>
      </c>
      <c r="F10" s="145"/>
      <c r="G10" s="145"/>
      <c r="H10" s="331">
        <v>0.5</v>
      </c>
      <c r="I10" s="82"/>
      <c r="J10" s="82"/>
      <c r="K10" s="82"/>
    </row>
    <row r="11" spans="1:11" ht="15" customHeight="1" x14ac:dyDescent="0.2">
      <c r="A11" s="160"/>
      <c r="B11" s="155">
        <v>45519</v>
      </c>
      <c r="C11" s="158">
        <v>45519</v>
      </c>
      <c r="D11" s="38">
        <v>0.33333333333333298</v>
      </c>
      <c r="E11" s="38">
        <v>0.33333333333333298</v>
      </c>
      <c r="F11" s="145"/>
      <c r="G11" s="145"/>
      <c r="H11" s="157">
        <v>1</v>
      </c>
      <c r="I11" s="82"/>
      <c r="J11" s="190"/>
      <c r="K11" s="190"/>
    </row>
    <row r="12" spans="1:11" ht="15" customHeight="1" x14ac:dyDescent="0.2">
      <c r="A12" s="147"/>
      <c r="B12" s="142">
        <v>45538</v>
      </c>
      <c r="C12" s="143">
        <v>45538</v>
      </c>
      <c r="D12" s="38">
        <v>0.33333333333333298</v>
      </c>
      <c r="E12" s="57">
        <v>0.33333333333333298</v>
      </c>
      <c r="F12" s="145"/>
      <c r="G12" s="145"/>
      <c r="H12" s="145">
        <v>1</v>
      </c>
      <c r="I12" s="82"/>
      <c r="J12" s="148"/>
      <c r="K12" s="148"/>
    </row>
    <row r="13" spans="1:11" ht="15" customHeight="1" x14ac:dyDescent="0.2">
      <c r="A13" s="147"/>
      <c r="B13" s="1195" t="s">
        <v>631</v>
      </c>
      <c r="C13" s="1196"/>
      <c r="D13" s="168"/>
      <c r="E13" s="168"/>
      <c r="F13" s="145"/>
      <c r="G13" s="145"/>
      <c r="H13" s="822">
        <v>-3</v>
      </c>
      <c r="I13" s="82"/>
      <c r="J13" s="82"/>
      <c r="K13" s="82"/>
    </row>
    <row r="14" spans="1:11" s="653" customFormat="1" ht="15" customHeight="1" x14ac:dyDescent="0.2">
      <c r="A14" s="725"/>
      <c r="B14" s="720">
        <v>45793</v>
      </c>
      <c r="C14" s="720">
        <v>45794</v>
      </c>
      <c r="D14" s="735">
        <v>0.33333333333333331</v>
      </c>
      <c r="E14" s="735">
        <v>0.33333333333333331</v>
      </c>
      <c r="F14" s="723"/>
      <c r="G14" s="723"/>
      <c r="H14" s="723">
        <v>2</v>
      </c>
      <c r="I14" s="699"/>
      <c r="J14" s="699"/>
      <c r="K14" s="699"/>
    </row>
    <row r="15" spans="1:11" s="653" customFormat="1" ht="15" customHeight="1" x14ac:dyDescent="0.2">
      <c r="A15" s="725"/>
      <c r="B15" s="720">
        <v>45798</v>
      </c>
      <c r="C15" s="720">
        <v>45801</v>
      </c>
      <c r="D15" s="735">
        <v>0.33333333333333331</v>
      </c>
      <c r="E15" s="735">
        <v>0.33333333333333331</v>
      </c>
      <c r="F15" s="723"/>
      <c r="G15" s="723"/>
      <c r="H15" s="723">
        <v>4</v>
      </c>
      <c r="I15" s="699"/>
      <c r="J15" s="699"/>
      <c r="K15" s="699"/>
    </row>
    <row r="16" spans="1:11" s="653" customFormat="1" ht="15" customHeight="1" x14ac:dyDescent="0.2">
      <c r="A16" s="725"/>
      <c r="B16" s="720">
        <v>45985</v>
      </c>
      <c r="C16" s="720">
        <v>45986</v>
      </c>
      <c r="D16" s="735"/>
      <c r="E16" s="735"/>
      <c r="F16" s="723"/>
      <c r="G16" s="723"/>
      <c r="H16" s="723">
        <v>1</v>
      </c>
      <c r="I16" s="699"/>
      <c r="J16" s="699"/>
      <c r="K16" s="699"/>
    </row>
    <row r="17" spans="1:11" s="653" customFormat="1" ht="15" customHeight="1" x14ac:dyDescent="0.2">
      <c r="A17" s="725"/>
      <c r="B17" s="720">
        <v>45987</v>
      </c>
      <c r="C17" s="720">
        <v>45988</v>
      </c>
      <c r="D17" s="735"/>
      <c r="E17" s="735"/>
      <c r="F17" s="723"/>
      <c r="G17" s="723"/>
      <c r="H17" s="723">
        <v>1</v>
      </c>
      <c r="I17" s="699"/>
      <c r="J17" s="699"/>
      <c r="K17" s="699"/>
    </row>
    <row r="18" spans="1:11" s="653" customFormat="1" ht="15" customHeight="1" x14ac:dyDescent="0.2">
      <c r="A18" s="725"/>
      <c r="B18" s="720">
        <v>46123</v>
      </c>
      <c r="C18" s="720">
        <v>46125</v>
      </c>
      <c r="D18" s="735"/>
      <c r="E18" s="735"/>
      <c r="F18" s="723"/>
      <c r="G18" s="723"/>
      <c r="H18" s="723">
        <v>1</v>
      </c>
      <c r="I18" s="699"/>
      <c r="J18" s="699" t="s">
        <v>830</v>
      </c>
      <c r="K18" s="699"/>
    </row>
    <row r="19" spans="1:11" s="653" customFormat="1" ht="15" customHeight="1" x14ac:dyDescent="0.2">
      <c r="A19" s="725"/>
      <c r="B19" s="720"/>
      <c r="C19" s="720"/>
      <c r="D19" s="735"/>
      <c r="E19" s="735"/>
      <c r="F19" s="723"/>
      <c r="G19" s="723"/>
      <c r="H19" s="723"/>
      <c r="I19" s="699"/>
      <c r="J19" s="699"/>
      <c r="K19" s="699"/>
    </row>
    <row r="20" spans="1:11" s="653" customFormat="1" ht="15" customHeight="1" x14ac:dyDescent="0.2">
      <c r="A20" s="725"/>
      <c r="B20" s="720"/>
      <c r="C20" s="720"/>
      <c r="D20" s="735"/>
      <c r="E20" s="735"/>
      <c r="F20" s="723"/>
      <c r="G20" s="723"/>
      <c r="H20" s="723"/>
      <c r="I20" s="699"/>
      <c r="J20" s="699"/>
      <c r="K20" s="699"/>
    </row>
    <row r="21" spans="1:11" s="653" customFormat="1" ht="15" customHeight="1" x14ac:dyDescent="0.2">
      <c r="A21" s="725"/>
      <c r="B21" s="720"/>
      <c r="C21" s="720"/>
      <c r="D21" s="735"/>
      <c r="E21" s="735"/>
      <c r="F21" s="723"/>
      <c r="G21" s="723"/>
      <c r="H21" s="723"/>
      <c r="I21" s="699"/>
      <c r="J21" s="699"/>
      <c r="K21" s="699"/>
    </row>
    <row r="22" spans="1:11" s="653" customFormat="1" ht="15" customHeight="1" x14ac:dyDescent="0.2">
      <c r="A22" s="725"/>
      <c r="B22" s="720"/>
      <c r="C22" s="720"/>
      <c r="D22" s="735"/>
      <c r="E22" s="735"/>
      <c r="F22" s="723"/>
      <c r="G22" s="723"/>
      <c r="H22" s="723"/>
      <c r="I22" s="699"/>
      <c r="J22" s="699"/>
      <c r="K22" s="699"/>
    </row>
    <row r="23" spans="1:11" s="653" customFormat="1" ht="15" customHeight="1" x14ac:dyDescent="0.2">
      <c r="A23" s="725"/>
      <c r="B23" s="720"/>
      <c r="C23" s="720"/>
      <c r="D23" s="735"/>
      <c r="E23" s="735"/>
      <c r="F23" s="723"/>
      <c r="G23" s="723"/>
      <c r="H23" s="723"/>
      <c r="I23" s="699"/>
      <c r="J23" s="699"/>
      <c r="K23" s="699"/>
    </row>
    <row r="24" spans="1:11" s="653" customFormat="1" ht="15" customHeight="1" x14ac:dyDescent="0.2">
      <c r="A24" s="725"/>
      <c r="B24" s="720"/>
      <c r="C24" s="720"/>
      <c r="D24" s="735"/>
      <c r="E24" s="735"/>
      <c r="F24" s="723"/>
      <c r="G24" s="723"/>
      <c r="H24" s="723"/>
      <c r="I24" s="699"/>
      <c r="J24" s="699"/>
      <c r="K24" s="699"/>
    </row>
    <row r="25" spans="1:11" s="653" customFormat="1" ht="15" customHeight="1" x14ac:dyDescent="0.2">
      <c r="A25" s="725"/>
      <c r="B25" s="720"/>
      <c r="C25" s="720"/>
      <c r="D25" s="735"/>
      <c r="E25" s="735"/>
      <c r="F25" s="723"/>
      <c r="G25" s="723"/>
      <c r="H25" s="723"/>
      <c r="I25" s="699"/>
      <c r="J25" s="699"/>
      <c r="K25" s="699"/>
    </row>
    <row r="26" spans="1:11" s="653" customFormat="1" ht="15" customHeight="1" x14ac:dyDescent="0.2">
      <c r="A26" s="725"/>
      <c r="B26" s="720"/>
      <c r="C26" s="720"/>
      <c r="D26" s="735"/>
      <c r="E26" s="735"/>
      <c r="F26" s="723"/>
      <c r="G26" s="723"/>
      <c r="H26" s="723"/>
      <c r="I26" s="699"/>
      <c r="J26" s="699"/>
      <c r="K26" s="699"/>
    </row>
    <row r="27" spans="1:11" s="653" customFormat="1" ht="15" customHeight="1" x14ac:dyDescent="0.2">
      <c r="A27" s="725"/>
      <c r="B27" s="720"/>
      <c r="C27" s="720"/>
      <c r="D27" s="735"/>
      <c r="E27" s="735"/>
      <c r="F27" s="723"/>
      <c r="G27" s="723"/>
      <c r="H27" s="723"/>
      <c r="I27" s="699"/>
      <c r="J27" s="699"/>
      <c r="K27" s="699"/>
    </row>
    <row r="28" spans="1:11" ht="15" customHeight="1" x14ac:dyDescent="0.2">
      <c r="A28" s="725"/>
      <c r="B28" s="720"/>
      <c r="C28" s="721"/>
      <c r="D28" s="722"/>
      <c r="E28" s="722"/>
      <c r="F28" s="718"/>
      <c r="G28" s="723"/>
      <c r="H28" s="723"/>
      <c r="I28" s="82"/>
      <c r="J28" s="82"/>
      <c r="K28" s="82"/>
    </row>
    <row r="29" spans="1:11" ht="15" customHeight="1" x14ac:dyDescent="0.2">
      <c r="A29" s="725"/>
      <c r="B29" s="720"/>
      <c r="C29" s="721"/>
      <c r="D29" s="722"/>
      <c r="E29" s="722"/>
      <c r="F29" s="718"/>
      <c r="G29" s="723"/>
      <c r="H29" s="723"/>
      <c r="I29" s="82"/>
      <c r="J29" s="82"/>
      <c r="K29" s="82"/>
    </row>
    <row r="30" spans="1:11" ht="15" customHeight="1" x14ac:dyDescent="0.2">
      <c r="A30" s="725"/>
      <c r="B30" s="720"/>
      <c r="C30" s="721"/>
      <c r="D30" s="722"/>
      <c r="E30" s="722"/>
      <c r="F30" s="718"/>
      <c r="G30" s="723"/>
      <c r="H30" s="723"/>
      <c r="I30" s="82"/>
      <c r="J30" s="82"/>
      <c r="K30" s="82"/>
    </row>
    <row r="31" spans="1:11" ht="15" customHeight="1" x14ac:dyDescent="0.2">
      <c r="A31" s="725"/>
      <c r="B31" s="720"/>
      <c r="C31" s="721"/>
      <c r="D31" s="722"/>
      <c r="E31" s="722"/>
      <c r="F31" s="718"/>
      <c r="G31" s="723"/>
      <c r="H31" s="723"/>
      <c r="I31" s="82"/>
      <c r="J31" s="82"/>
      <c r="K31" s="82"/>
    </row>
    <row r="32" spans="1:11" ht="15" customHeight="1" x14ac:dyDescent="0.2">
      <c r="A32" s="725"/>
      <c r="B32" s="720"/>
      <c r="C32" s="721"/>
      <c r="D32" s="722"/>
      <c r="E32" s="722"/>
      <c r="F32" s="718"/>
      <c r="G32" s="723"/>
      <c r="H32" s="723"/>
      <c r="I32" s="82"/>
      <c r="J32" s="82"/>
      <c r="K32" s="82"/>
    </row>
    <row r="33" spans="1:11" ht="15" customHeight="1" x14ac:dyDescent="0.2">
      <c r="A33" s="725"/>
      <c r="B33" s="720"/>
      <c r="C33" s="721"/>
      <c r="D33" s="722"/>
      <c r="E33" s="722"/>
      <c r="F33" s="718"/>
      <c r="G33" s="723"/>
      <c r="H33" s="723"/>
      <c r="I33" s="82"/>
      <c r="J33" s="82"/>
      <c r="K33" s="82"/>
    </row>
    <row r="34" spans="1:11" ht="15" customHeight="1" x14ac:dyDescent="0.2">
      <c r="A34" s="725"/>
      <c r="B34" s="720"/>
      <c r="C34" s="721"/>
      <c r="D34" s="722"/>
      <c r="E34" s="722"/>
      <c r="F34" s="683"/>
      <c r="G34" s="691"/>
      <c r="H34" s="723"/>
      <c r="I34" s="82"/>
      <c r="J34" s="82"/>
      <c r="K34" s="82"/>
    </row>
    <row r="35" spans="1:11" ht="18.75" customHeight="1" x14ac:dyDescent="0.2">
      <c r="A35" s="82"/>
      <c r="B35" s="82"/>
      <c r="C35" s="82"/>
      <c r="D35" s="82"/>
      <c r="E35" s="82"/>
      <c r="F35" s="772" t="s">
        <v>123</v>
      </c>
      <c r="G35" s="772">
        <f>SUM(G7:G28)</f>
        <v>42</v>
      </c>
      <c r="H35" s="835">
        <f>SUM(H7:H34)</f>
        <v>24.5</v>
      </c>
      <c r="I35" s="82"/>
      <c r="J35" s="82"/>
      <c r="K35" s="82"/>
    </row>
    <row r="36" spans="1:11" x14ac:dyDescent="0.2">
      <c r="A36" s="82"/>
      <c r="B36" s="82"/>
      <c r="C36" s="82"/>
      <c r="D36" s="82"/>
      <c r="E36" s="82"/>
      <c r="F36" s="671"/>
      <c r="G36" s="714"/>
      <c r="H36" s="714"/>
      <c r="I36" s="82"/>
      <c r="J36" s="82"/>
      <c r="K36" s="82"/>
    </row>
    <row r="37" spans="1:11" ht="14.25" x14ac:dyDescent="0.2">
      <c r="A37" s="512">
        <v>44825</v>
      </c>
      <c r="B37" s="514" t="s">
        <v>606</v>
      </c>
      <c r="E37" s="82"/>
      <c r="F37" s="1215" t="s">
        <v>8</v>
      </c>
      <c r="G37" s="1216"/>
      <c r="H37" s="797">
        <f>G35-H35</f>
        <v>17.5</v>
      </c>
      <c r="I37" s="82"/>
      <c r="J37" s="82"/>
      <c r="K37" s="82"/>
    </row>
    <row r="38" spans="1:11" x14ac:dyDescent="0.2">
      <c r="E38" s="82"/>
      <c r="F38" s="82"/>
      <c r="G38" s="82"/>
      <c r="H38" s="82"/>
      <c r="I38" s="82"/>
      <c r="J38" s="82"/>
      <c r="K38" s="82"/>
    </row>
    <row r="39" spans="1:11" x14ac:dyDescent="0.2">
      <c r="A39" s="513">
        <v>45017</v>
      </c>
    </row>
    <row r="40" spans="1:11" x14ac:dyDescent="0.2">
      <c r="A40" s="512">
        <v>45016</v>
      </c>
      <c r="B40" s="514" t="s">
        <v>607</v>
      </c>
    </row>
  </sheetData>
  <mergeCells count="4">
    <mergeCell ref="F37:G37"/>
    <mergeCell ref="J1:J3"/>
    <mergeCell ref="C1:H5"/>
    <mergeCell ref="B13:C13"/>
  </mergeCells>
  <hyperlinks>
    <hyperlink ref="J1:J3" location="'ANA SAYFA'!A1" display="ANA SAYFA"/>
  </hyperlinks>
  <pageMargins left="0.7" right="0.12" top="0.28999999999999998" bottom="0.75" header="0.3" footer="0.3"/>
  <pageSetup paperSize="9" scale="69" orientation="portrait" r:id="rId1"/>
  <colBreaks count="1" manualBreakCount="1">
    <brk id="8" max="1048575" man="1"/>
  </colBreaks>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3"/>
  <sheetViews>
    <sheetView zoomScaleNormal="100" workbookViewId="0">
      <pane ySplit="6" topLeftCell="A7" activePane="bottomLeft" state="frozen"/>
      <selection pane="bottomLeft" activeCell="J1" sqref="J1:K3"/>
    </sheetView>
  </sheetViews>
  <sheetFormatPr defaultRowHeight="12.75" x14ac:dyDescent="0.2"/>
  <cols>
    <col min="1" max="1" width="18.140625" bestFit="1" customWidth="1"/>
    <col min="2" max="2" width="26" bestFit="1" customWidth="1"/>
    <col min="3" max="3" width="26.85546875" bestFit="1" customWidth="1"/>
    <col min="6" max="6" width="20.140625" bestFit="1" customWidth="1"/>
    <col min="7" max="7" width="14.28515625" bestFit="1" customWidth="1"/>
    <col min="8" max="8" width="12.5703125" bestFit="1" customWidth="1"/>
    <col min="9" max="9" width="5.140625" customWidth="1"/>
    <col min="10" max="11" width="7.85546875" customWidth="1"/>
  </cols>
  <sheetData>
    <row r="1" spans="1:11" ht="12.75" customHeight="1" x14ac:dyDescent="0.2">
      <c r="A1" s="29" t="s">
        <v>135</v>
      </c>
      <c r="B1" s="187" t="str">
        <f>'ANA SAYFA'!B113</f>
        <v>NİLÜFER ÇELİKBİLEK</v>
      </c>
      <c r="C1" s="1166" t="s">
        <v>136</v>
      </c>
      <c r="D1" s="1166"/>
      <c r="E1" s="1166"/>
      <c r="F1" s="1166"/>
      <c r="G1" s="1166"/>
      <c r="H1" s="1166"/>
      <c r="I1" s="82"/>
      <c r="J1" s="1178" t="s">
        <v>5</v>
      </c>
      <c r="K1" s="1178"/>
    </row>
    <row r="2" spans="1:11" ht="13.5" customHeight="1" x14ac:dyDescent="0.2">
      <c r="A2" s="29" t="s">
        <v>137</v>
      </c>
      <c r="B2" s="186">
        <f>'ANA SAYFA'!D113</f>
        <v>29437989832</v>
      </c>
      <c r="C2" s="1166"/>
      <c r="D2" s="1166"/>
      <c r="E2" s="1166"/>
      <c r="F2" s="1166"/>
      <c r="G2" s="1166"/>
      <c r="H2" s="1166"/>
      <c r="I2" s="82"/>
      <c r="J2" s="1143"/>
      <c r="K2" s="1143"/>
    </row>
    <row r="3" spans="1:11" ht="12.75" customHeight="1" x14ac:dyDescent="0.2">
      <c r="A3" s="29" t="s">
        <v>131</v>
      </c>
      <c r="B3" s="187" t="str">
        <f>'ANA SAYFA'!C113</f>
        <v>TEMİZLİK GÖREVLİSİ</v>
      </c>
      <c r="C3" s="1166"/>
      <c r="D3" s="1166"/>
      <c r="E3" s="1166"/>
      <c r="F3" s="1166"/>
      <c r="G3" s="1166"/>
      <c r="H3" s="1166"/>
      <c r="I3" s="82"/>
      <c r="J3" s="1143"/>
      <c r="K3" s="1143"/>
    </row>
    <row r="4" spans="1:11" x14ac:dyDescent="0.2">
      <c r="A4" s="29" t="s">
        <v>120</v>
      </c>
      <c r="B4" s="136">
        <f>'ANA SAYFA'!E113</f>
        <v>45936</v>
      </c>
      <c r="C4" s="1166"/>
      <c r="D4" s="1166"/>
      <c r="E4" s="1166"/>
      <c r="F4" s="1166"/>
      <c r="G4" s="1166"/>
      <c r="H4" s="1166"/>
      <c r="I4" s="82"/>
      <c r="J4" s="82"/>
      <c r="K4" s="82"/>
    </row>
    <row r="5" spans="1:11" x14ac:dyDescent="0.2">
      <c r="A5" s="29" t="s">
        <v>130</v>
      </c>
      <c r="B5" s="218">
        <f>'ANA SAYFA'!F113</f>
        <v>29129</v>
      </c>
      <c r="C5" s="1166"/>
      <c r="D5" s="1166"/>
      <c r="E5" s="1166"/>
      <c r="F5" s="1166"/>
      <c r="G5" s="1166"/>
      <c r="H5" s="1166"/>
      <c r="I5" s="82"/>
      <c r="J5" s="148"/>
      <c r="K5" s="148"/>
    </row>
    <row r="6" spans="1:11" ht="31.5" x14ac:dyDescent="0.2">
      <c r="A6" s="69" t="s">
        <v>0</v>
      </c>
      <c r="B6" s="70" t="s">
        <v>1</v>
      </c>
      <c r="C6" s="69" t="s">
        <v>2</v>
      </c>
      <c r="D6" s="71" t="s">
        <v>133</v>
      </c>
      <c r="E6" s="71" t="s">
        <v>4</v>
      </c>
      <c r="F6" s="71" t="s">
        <v>7</v>
      </c>
      <c r="G6" s="71" t="s">
        <v>6</v>
      </c>
      <c r="H6" s="71" t="s">
        <v>3</v>
      </c>
      <c r="I6" s="82"/>
    </row>
    <row r="7" spans="1:11" s="653" customFormat="1" x14ac:dyDescent="0.2">
      <c r="A7" s="725"/>
      <c r="B7" s="720">
        <v>46111</v>
      </c>
      <c r="C7" s="721">
        <v>46112</v>
      </c>
      <c r="D7" s="722"/>
      <c r="E7" s="722"/>
      <c r="F7" s="718"/>
      <c r="G7" s="723"/>
      <c r="H7" s="723">
        <v>1</v>
      </c>
      <c r="I7" s="699"/>
      <c r="J7" s="699"/>
      <c r="K7" s="699"/>
    </row>
    <row r="8" spans="1:11" s="653" customFormat="1" x14ac:dyDescent="0.2">
      <c r="A8" s="725"/>
      <c r="B8" s="720">
        <v>46202</v>
      </c>
      <c r="C8" s="721">
        <v>46203</v>
      </c>
      <c r="D8" s="722"/>
      <c r="E8" s="722"/>
      <c r="F8" s="718"/>
      <c r="G8" s="723"/>
      <c r="H8" s="723">
        <v>1</v>
      </c>
      <c r="I8" s="699"/>
      <c r="J8" s="699"/>
      <c r="K8" s="699"/>
    </row>
    <row r="9" spans="1:11" s="653" customFormat="1" x14ac:dyDescent="0.2">
      <c r="A9" s="725"/>
      <c r="B9" s="720"/>
      <c r="C9" s="721"/>
      <c r="D9" s="722"/>
      <c r="E9" s="722"/>
      <c r="F9" s="718"/>
      <c r="G9" s="723"/>
      <c r="H9" s="723"/>
      <c r="I9" s="699"/>
      <c r="J9" s="699"/>
      <c r="K9" s="699"/>
    </row>
    <row r="10" spans="1:11" s="653" customFormat="1" x14ac:dyDescent="0.2">
      <c r="A10" s="725"/>
      <c r="B10" s="720"/>
      <c r="C10" s="721"/>
      <c r="D10" s="722"/>
      <c r="E10" s="722"/>
      <c r="F10" s="718"/>
      <c r="G10" s="723"/>
      <c r="H10" s="723"/>
      <c r="I10" s="699"/>
      <c r="J10" s="699"/>
      <c r="K10" s="699"/>
    </row>
    <row r="11" spans="1:11" s="653" customFormat="1" x14ac:dyDescent="0.2">
      <c r="A11" s="725"/>
      <c r="B11" s="720"/>
      <c r="C11" s="721"/>
      <c r="D11" s="722"/>
      <c r="E11" s="722"/>
      <c r="F11" s="718"/>
      <c r="G11" s="723"/>
      <c r="H11" s="723"/>
      <c r="I11" s="699"/>
      <c r="J11" s="699"/>
      <c r="K11" s="699"/>
    </row>
    <row r="12" spans="1:11" s="653" customFormat="1" x14ac:dyDescent="0.2">
      <c r="A12" s="725"/>
      <c r="B12" s="720"/>
      <c r="C12" s="721"/>
      <c r="D12" s="722"/>
      <c r="E12" s="722"/>
      <c r="F12" s="718"/>
      <c r="G12" s="723"/>
      <c r="H12" s="723"/>
      <c r="I12" s="699"/>
      <c r="J12" s="699"/>
      <c r="K12" s="699"/>
    </row>
    <row r="13" spans="1:11" s="653" customFormat="1" x14ac:dyDescent="0.2">
      <c r="A13" s="725"/>
      <c r="B13" s="720"/>
      <c r="C13" s="721"/>
      <c r="D13" s="722"/>
      <c r="E13" s="722"/>
      <c r="F13" s="718"/>
      <c r="G13" s="723"/>
      <c r="H13" s="723"/>
      <c r="I13" s="699"/>
      <c r="J13" s="699"/>
      <c r="K13" s="699"/>
    </row>
    <row r="14" spans="1:11" s="653" customFormat="1" x14ac:dyDescent="0.2">
      <c r="A14" s="725"/>
      <c r="B14" s="720"/>
      <c r="C14" s="721"/>
      <c r="D14" s="722"/>
      <c r="E14" s="722"/>
      <c r="F14" s="718"/>
      <c r="G14" s="723"/>
      <c r="H14" s="723"/>
      <c r="I14" s="699"/>
      <c r="J14" s="699"/>
      <c r="K14" s="699"/>
    </row>
    <row r="15" spans="1:11" s="653" customFormat="1" x14ac:dyDescent="0.2">
      <c r="A15" s="725"/>
      <c r="B15" s="720"/>
      <c r="C15" s="721"/>
      <c r="D15" s="722"/>
      <c r="E15" s="722"/>
      <c r="F15" s="718"/>
      <c r="G15" s="723"/>
      <c r="H15" s="723"/>
      <c r="I15" s="699"/>
      <c r="J15" s="699"/>
      <c r="K15" s="699"/>
    </row>
    <row r="16" spans="1:11" s="653" customFormat="1" x14ac:dyDescent="0.2">
      <c r="A16" s="725"/>
      <c r="B16" s="720"/>
      <c r="C16" s="721"/>
      <c r="D16" s="722"/>
      <c r="E16" s="722"/>
      <c r="F16" s="718"/>
      <c r="G16" s="723"/>
      <c r="H16" s="723"/>
      <c r="I16" s="699"/>
      <c r="J16" s="699"/>
      <c r="K16" s="699"/>
    </row>
    <row r="17" spans="1:11" s="653" customFormat="1" x14ac:dyDescent="0.2">
      <c r="A17" s="725"/>
      <c r="B17" s="720"/>
      <c r="C17" s="721"/>
      <c r="D17" s="722"/>
      <c r="E17" s="722"/>
      <c r="F17" s="718"/>
      <c r="G17" s="723"/>
      <c r="H17" s="723"/>
      <c r="I17" s="699"/>
      <c r="J17" s="699"/>
      <c r="K17" s="699"/>
    </row>
    <row r="18" spans="1:11" s="653" customFormat="1" x14ac:dyDescent="0.2">
      <c r="A18" s="725"/>
      <c r="B18" s="720"/>
      <c r="C18" s="721"/>
      <c r="D18" s="722"/>
      <c r="E18" s="722"/>
      <c r="F18" s="718"/>
      <c r="G18" s="723"/>
      <c r="H18" s="723"/>
      <c r="I18" s="699"/>
      <c r="J18" s="699"/>
      <c r="K18" s="699"/>
    </row>
    <row r="19" spans="1:11" s="653" customFormat="1" x14ac:dyDescent="0.2">
      <c r="A19" s="725"/>
      <c r="B19" s="720"/>
      <c r="C19" s="721"/>
      <c r="D19" s="722"/>
      <c r="E19" s="722"/>
      <c r="F19" s="718"/>
      <c r="G19" s="723"/>
      <c r="H19" s="723"/>
      <c r="I19" s="699"/>
      <c r="J19" s="699"/>
      <c r="K19" s="699"/>
    </row>
    <row r="20" spans="1:11" x14ac:dyDescent="0.2">
      <c r="A20" s="147"/>
      <c r="B20" s="142"/>
      <c r="C20" s="143"/>
      <c r="D20" s="144"/>
      <c r="E20" s="144"/>
      <c r="F20" s="48"/>
      <c r="G20" s="66"/>
      <c r="H20" s="145"/>
      <c r="I20" s="82"/>
      <c r="J20" s="82"/>
      <c r="K20" s="82"/>
    </row>
    <row r="21" spans="1:11" x14ac:dyDescent="0.2">
      <c r="A21" s="147"/>
      <c r="B21" s="142"/>
      <c r="C21" s="143"/>
      <c r="D21" s="144"/>
      <c r="E21" s="144"/>
      <c r="F21" s="48"/>
      <c r="G21" s="66"/>
      <c r="H21" s="66"/>
      <c r="I21" s="82"/>
      <c r="J21" s="82"/>
      <c r="K21" s="82"/>
    </row>
    <row r="22" spans="1:11" x14ac:dyDescent="0.2">
      <c r="A22" s="147"/>
      <c r="B22" s="142"/>
      <c r="C22" s="143"/>
      <c r="D22" s="144"/>
      <c r="E22" s="144"/>
      <c r="F22" s="48"/>
      <c r="G22" s="66"/>
      <c r="H22" s="66"/>
      <c r="I22" s="82"/>
      <c r="J22" s="82"/>
      <c r="K22" s="82"/>
    </row>
    <row r="23" spans="1:11" x14ac:dyDescent="0.2">
      <c r="A23" s="82"/>
      <c r="B23" s="82"/>
      <c r="C23" s="82"/>
      <c r="D23" s="82"/>
      <c r="E23" s="82"/>
      <c r="F23" s="333" t="s">
        <v>123</v>
      </c>
      <c r="G23" s="333">
        <f>SUM(G7:G22)</f>
        <v>0</v>
      </c>
      <c r="H23" s="333">
        <f>SUM(H7:H22)</f>
        <v>2</v>
      </c>
      <c r="I23" s="82"/>
      <c r="J23" s="82"/>
      <c r="K23" s="82"/>
    </row>
    <row r="24" spans="1:11" x14ac:dyDescent="0.2">
      <c r="A24" s="82"/>
      <c r="B24" s="82"/>
      <c r="C24" s="82"/>
      <c r="D24" s="82"/>
      <c r="E24" s="82"/>
      <c r="F24" s="62"/>
      <c r="G24" s="63"/>
      <c r="H24" s="63"/>
      <c r="I24" s="82"/>
      <c r="J24" s="82"/>
      <c r="K24" s="82"/>
    </row>
    <row r="25" spans="1:11" ht="14.25" x14ac:dyDescent="0.2">
      <c r="A25" s="82"/>
      <c r="B25" s="82"/>
      <c r="C25" s="82"/>
      <c r="D25" s="82"/>
      <c r="E25" s="82"/>
      <c r="F25" s="1153" t="s">
        <v>8</v>
      </c>
      <c r="G25" s="1154"/>
      <c r="H25" s="84">
        <f>G23-H23</f>
        <v>-2</v>
      </c>
      <c r="I25" s="82"/>
      <c r="J25" s="82"/>
      <c r="K25" s="82"/>
    </row>
    <row r="26" spans="1:11" x14ac:dyDescent="0.2">
      <c r="A26" s="82"/>
      <c r="B26" s="82"/>
      <c r="C26" s="82"/>
      <c r="D26" s="82"/>
      <c r="E26" s="82"/>
      <c r="F26" s="82"/>
      <c r="G26" s="82"/>
      <c r="H26" s="82"/>
      <c r="I26" s="82"/>
      <c r="J26" s="82"/>
      <c r="K26" s="82"/>
    </row>
    <row r="32" spans="1:11" x14ac:dyDescent="0.2">
      <c r="H32" s="512"/>
    </row>
    <row r="33" spans="8:8" x14ac:dyDescent="0.2">
      <c r="H33" s="590"/>
    </row>
  </sheetData>
  <mergeCells count="3">
    <mergeCell ref="F25:G25"/>
    <mergeCell ref="J1:K3"/>
    <mergeCell ref="C1:H5"/>
  </mergeCells>
  <hyperlinks>
    <hyperlink ref="J1:K3" location="'ANA SAYFA'!A1" display="Ana Sayfa"/>
  </hyperlinks>
  <pageMargins left="0.7" right="0.12" top="0.3" bottom="0.75" header="0.3" footer="0.3"/>
  <pageSetup paperSize="9" scale="70" orientation="portrait"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1"/>
  <sheetViews>
    <sheetView workbookViewId="0">
      <selection activeCell="J1" sqref="J1:J3"/>
    </sheetView>
  </sheetViews>
  <sheetFormatPr defaultRowHeight="12.75" x14ac:dyDescent="0.2"/>
  <cols>
    <col min="1" max="1" width="18.140625" bestFit="1" customWidth="1"/>
    <col min="2" max="3" width="27.28515625" bestFit="1" customWidth="1"/>
    <col min="4" max="4" width="6.7109375" bestFit="1" customWidth="1"/>
    <col min="5" max="5" width="8.85546875" bestFit="1" customWidth="1"/>
    <col min="6" max="6" width="20.140625" bestFit="1" customWidth="1"/>
    <col min="7" max="7" width="14.28515625" bestFit="1" customWidth="1"/>
    <col min="8" max="8" width="12.5703125" bestFit="1" customWidth="1"/>
    <col min="9" max="9" width="4" customWidth="1"/>
    <col min="10" max="10" width="11.140625" customWidth="1"/>
  </cols>
  <sheetData>
    <row r="1" spans="1:11" x14ac:dyDescent="0.2">
      <c r="A1" s="29" t="s">
        <v>135</v>
      </c>
      <c r="B1" s="187" t="str">
        <f>'ANA SAYFA'!B114</f>
        <v>RECEP BAYRAM</v>
      </c>
      <c r="C1" s="1166" t="s">
        <v>136</v>
      </c>
      <c r="D1" s="1166"/>
      <c r="E1" s="1166"/>
      <c r="F1" s="1166"/>
      <c r="G1" s="1166"/>
      <c r="H1" s="1166"/>
      <c r="I1" s="82"/>
      <c r="J1" s="1183" t="s">
        <v>712</v>
      </c>
      <c r="K1" s="82"/>
    </row>
    <row r="2" spans="1:11" x14ac:dyDescent="0.2">
      <c r="A2" s="29" t="s">
        <v>137</v>
      </c>
      <c r="B2" s="186">
        <f>'ANA SAYFA'!D114</f>
        <v>37588311624</v>
      </c>
      <c r="C2" s="1166"/>
      <c r="D2" s="1166"/>
      <c r="E2" s="1166"/>
      <c r="F2" s="1166"/>
      <c r="G2" s="1166"/>
      <c r="H2" s="1166"/>
      <c r="I2" s="82"/>
      <c r="J2" s="1184"/>
      <c r="K2" s="82"/>
    </row>
    <row r="3" spans="1:11" ht="13.5" thickBot="1" x14ac:dyDescent="0.25">
      <c r="A3" s="29" t="s">
        <v>131</v>
      </c>
      <c r="B3" s="187" t="str">
        <f>'ANA SAYFA'!C114</f>
        <v>OPERATÖR</v>
      </c>
      <c r="C3" s="1166"/>
      <c r="D3" s="1166"/>
      <c r="E3" s="1166"/>
      <c r="F3" s="1166"/>
      <c r="G3" s="1166"/>
      <c r="H3" s="1166"/>
      <c r="I3" s="82"/>
      <c r="J3" s="1185"/>
      <c r="K3" s="82"/>
    </row>
    <row r="4" spans="1:11" x14ac:dyDescent="0.2">
      <c r="A4" s="29" t="s">
        <v>120</v>
      </c>
      <c r="B4" s="136">
        <f>'ANA SAYFA'!E114</f>
        <v>45042</v>
      </c>
      <c r="C4" s="1166"/>
      <c r="D4" s="1166"/>
      <c r="E4" s="1166"/>
      <c r="F4" s="1166"/>
      <c r="G4" s="1166"/>
      <c r="H4" s="1166"/>
      <c r="I4" s="82"/>
      <c r="J4" s="82"/>
      <c r="K4" s="82"/>
    </row>
    <row r="5" spans="1:11" x14ac:dyDescent="0.2">
      <c r="A5" s="29" t="s">
        <v>130</v>
      </c>
      <c r="B5" s="218">
        <f>'ANA SAYFA'!F114</f>
        <v>32592</v>
      </c>
      <c r="C5" s="1166"/>
      <c r="D5" s="1166"/>
      <c r="E5" s="1166"/>
      <c r="F5" s="1166"/>
      <c r="G5" s="1166"/>
      <c r="H5" s="1166"/>
      <c r="I5" s="82"/>
      <c r="J5" s="653"/>
      <c r="K5" s="653"/>
    </row>
    <row r="6" spans="1:11" ht="31.5" x14ac:dyDescent="0.2">
      <c r="A6" s="69" t="s">
        <v>0</v>
      </c>
      <c r="B6" s="70" t="s">
        <v>1</v>
      </c>
      <c r="C6" s="69" t="s">
        <v>2</v>
      </c>
      <c r="D6" s="71" t="s">
        <v>133</v>
      </c>
      <c r="E6" s="71" t="s">
        <v>4</v>
      </c>
      <c r="F6" s="71" t="s">
        <v>7</v>
      </c>
      <c r="G6" s="71" t="s">
        <v>6</v>
      </c>
      <c r="H6" s="71" t="s">
        <v>3</v>
      </c>
      <c r="I6" s="82"/>
      <c r="J6" s="653"/>
      <c r="K6" s="653"/>
    </row>
    <row r="7" spans="1:11" ht="15" customHeight="1" x14ac:dyDescent="0.2">
      <c r="A7" s="69"/>
      <c r="B7" s="372">
        <v>45342</v>
      </c>
      <c r="C7" s="373">
        <v>45343</v>
      </c>
      <c r="D7" s="38">
        <v>0.33333333333333331</v>
      </c>
      <c r="E7" s="57">
        <v>0.33333333333333331</v>
      </c>
      <c r="F7" s="136" t="s">
        <v>629</v>
      </c>
      <c r="G7" s="439">
        <v>14</v>
      </c>
      <c r="H7" s="371">
        <v>1</v>
      </c>
      <c r="I7" s="82"/>
      <c r="J7" s="370"/>
      <c r="K7" s="370"/>
    </row>
    <row r="8" spans="1:11" x14ac:dyDescent="0.2">
      <c r="A8" s="146"/>
      <c r="B8" s="36">
        <v>45457</v>
      </c>
      <c r="C8" s="37">
        <v>45463</v>
      </c>
      <c r="D8" s="676">
        <v>0.33333333333333331</v>
      </c>
      <c r="E8" s="687">
        <v>0.33333333333333331</v>
      </c>
      <c r="F8" s="112" t="s">
        <v>929</v>
      </c>
      <c r="G8" s="106">
        <v>14</v>
      </c>
      <c r="H8" s="371">
        <v>1</v>
      </c>
      <c r="I8" s="82"/>
      <c r="J8" s="148"/>
      <c r="K8" s="148"/>
    </row>
    <row r="9" spans="1:11" x14ac:dyDescent="0.2">
      <c r="A9" s="141"/>
      <c r="B9" s="720">
        <v>45518</v>
      </c>
      <c r="C9" s="721">
        <v>45884</v>
      </c>
      <c r="D9" s="735">
        <v>0.5</v>
      </c>
      <c r="E9" s="735">
        <v>0.33333333333333331</v>
      </c>
      <c r="F9" s="145"/>
      <c r="G9" s="145"/>
      <c r="H9" s="182">
        <v>0.5</v>
      </c>
      <c r="I9" s="82"/>
      <c r="J9" s="726"/>
      <c r="K9" s="726"/>
    </row>
    <row r="10" spans="1:11" x14ac:dyDescent="0.2">
      <c r="A10" s="160"/>
      <c r="B10" s="155">
        <v>45562</v>
      </c>
      <c r="C10" s="158">
        <v>45563</v>
      </c>
      <c r="D10" s="676">
        <v>0.33333333333333331</v>
      </c>
      <c r="E10" s="687">
        <v>0.33333333333333331</v>
      </c>
      <c r="F10" s="145"/>
      <c r="G10" s="145"/>
      <c r="H10" s="755">
        <v>2</v>
      </c>
      <c r="I10" s="82"/>
      <c r="J10" s="699"/>
      <c r="K10" s="699"/>
    </row>
    <row r="11" spans="1:11" x14ac:dyDescent="0.2">
      <c r="A11" s="147"/>
      <c r="B11" s="729">
        <v>45605</v>
      </c>
      <c r="C11" s="732">
        <v>45605</v>
      </c>
      <c r="D11" s="676">
        <v>0.33333333333333331</v>
      </c>
      <c r="E11" s="687">
        <v>0.33333333333333331</v>
      </c>
      <c r="F11" s="145"/>
      <c r="G11" s="145"/>
      <c r="H11" s="866">
        <v>1</v>
      </c>
      <c r="I11" s="82"/>
      <c r="J11" s="747"/>
      <c r="K11" s="747"/>
    </row>
    <row r="12" spans="1:11" s="653" customFormat="1" x14ac:dyDescent="0.2">
      <c r="A12" s="725"/>
      <c r="B12" s="720" t="s">
        <v>775</v>
      </c>
      <c r="C12" s="720" t="s">
        <v>775</v>
      </c>
      <c r="D12" s="676">
        <v>0.33333333333333331</v>
      </c>
      <c r="E12" s="676">
        <v>0.33333333333333331</v>
      </c>
      <c r="F12" s="723"/>
      <c r="G12" s="723"/>
      <c r="H12" s="237">
        <v>1</v>
      </c>
      <c r="I12" s="699"/>
      <c r="J12" s="726"/>
      <c r="K12" s="726"/>
    </row>
    <row r="13" spans="1:11" s="653" customFormat="1" x14ac:dyDescent="0.2">
      <c r="A13" s="725"/>
      <c r="B13" s="720">
        <v>45958</v>
      </c>
      <c r="C13" s="721">
        <v>45959</v>
      </c>
      <c r="D13" s="676">
        <v>0.33333333333333331</v>
      </c>
      <c r="E13" s="676">
        <v>0.33333333333333331</v>
      </c>
      <c r="F13" s="723"/>
      <c r="G13" s="723"/>
      <c r="H13" s="237">
        <v>1</v>
      </c>
      <c r="I13" s="699"/>
      <c r="J13" s="726"/>
      <c r="K13" s="726"/>
    </row>
    <row r="14" spans="1:11" s="653" customFormat="1" x14ac:dyDescent="0.2">
      <c r="A14" s="725"/>
      <c r="B14" s="720">
        <v>45989</v>
      </c>
      <c r="C14" s="721">
        <v>45990</v>
      </c>
      <c r="D14" s="676">
        <v>0.33333333333333331</v>
      </c>
      <c r="E14" s="676">
        <v>0.33333333333333331</v>
      </c>
      <c r="F14" s="723"/>
      <c r="G14" s="723"/>
      <c r="H14" s="237">
        <v>1</v>
      </c>
      <c r="I14" s="699"/>
      <c r="J14" s="726"/>
      <c r="K14" s="726"/>
    </row>
    <row r="15" spans="1:11" s="653" customFormat="1" x14ac:dyDescent="0.2">
      <c r="A15" s="725"/>
      <c r="B15" s="720">
        <v>46000</v>
      </c>
      <c r="C15" s="721">
        <v>46007</v>
      </c>
      <c r="D15" s="676">
        <v>0.33333333333333331</v>
      </c>
      <c r="E15" s="676">
        <v>0.33333333333333331</v>
      </c>
      <c r="F15" s="723"/>
      <c r="G15" s="723"/>
      <c r="H15" s="237">
        <v>6</v>
      </c>
      <c r="I15" s="699"/>
      <c r="J15" s="726"/>
      <c r="K15" s="726"/>
    </row>
    <row r="16" spans="1:11" s="653" customFormat="1" x14ac:dyDescent="0.2">
      <c r="A16" s="725"/>
      <c r="B16" s="720">
        <v>46181</v>
      </c>
      <c r="C16" s="721">
        <v>46182</v>
      </c>
      <c r="D16" s="735"/>
      <c r="E16" s="735"/>
      <c r="F16" s="723"/>
      <c r="G16" s="723"/>
      <c r="H16" s="237">
        <v>1</v>
      </c>
      <c r="I16" s="699"/>
      <c r="J16" s="726"/>
      <c r="K16" s="726"/>
    </row>
    <row r="17" spans="1:11" s="653" customFormat="1" x14ac:dyDescent="0.2">
      <c r="A17" s="725"/>
      <c r="B17" s="720">
        <v>46188</v>
      </c>
      <c r="C17" s="721">
        <v>46189</v>
      </c>
      <c r="D17" s="735"/>
      <c r="E17" s="735"/>
      <c r="F17" s="723"/>
      <c r="G17" s="723"/>
      <c r="H17" s="237">
        <v>1</v>
      </c>
      <c r="I17" s="699"/>
      <c r="J17" s="726"/>
      <c r="K17" s="726"/>
    </row>
    <row r="18" spans="1:11" s="653" customFormat="1" x14ac:dyDescent="0.2">
      <c r="A18" s="725"/>
      <c r="B18" s="720"/>
      <c r="C18" s="721"/>
      <c r="D18" s="735"/>
      <c r="E18" s="735"/>
      <c r="F18" s="723"/>
      <c r="G18" s="723"/>
      <c r="H18" s="237"/>
      <c r="I18" s="699"/>
      <c r="J18" s="726"/>
      <c r="K18" s="726"/>
    </row>
    <row r="19" spans="1:11" s="653" customFormat="1" x14ac:dyDescent="0.2">
      <c r="A19" s="725"/>
      <c r="B19" s="720"/>
      <c r="C19" s="721"/>
      <c r="D19" s="735"/>
      <c r="E19" s="735"/>
      <c r="F19" s="723"/>
      <c r="G19" s="723"/>
      <c r="H19" s="237"/>
      <c r="I19" s="699"/>
      <c r="J19" s="726"/>
      <c r="K19" s="726"/>
    </row>
    <row r="20" spans="1:11" s="653" customFormat="1" x14ac:dyDescent="0.2">
      <c r="A20" s="725"/>
      <c r="B20" s="720"/>
      <c r="C20" s="721"/>
      <c r="D20" s="735"/>
      <c r="E20" s="735"/>
      <c r="F20" s="723"/>
      <c r="G20" s="723"/>
      <c r="H20" s="237"/>
      <c r="I20" s="699"/>
      <c r="J20" s="726"/>
      <c r="K20" s="726"/>
    </row>
    <row r="21" spans="1:11" s="653" customFormat="1" x14ac:dyDescent="0.2">
      <c r="A21" s="725"/>
      <c r="B21" s="720"/>
      <c r="C21" s="721"/>
      <c r="D21" s="735"/>
      <c r="E21" s="735"/>
      <c r="F21" s="723"/>
      <c r="G21" s="723"/>
      <c r="H21" s="237"/>
      <c r="I21" s="699"/>
      <c r="J21" s="726"/>
      <c r="K21" s="726"/>
    </row>
    <row r="22" spans="1:11" s="653" customFormat="1" x14ac:dyDescent="0.2">
      <c r="A22" s="725"/>
      <c r="B22" s="720"/>
      <c r="C22" s="721"/>
      <c r="D22" s="735"/>
      <c r="E22" s="735"/>
      <c r="F22" s="723"/>
      <c r="G22" s="723"/>
      <c r="H22" s="237"/>
      <c r="I22" s="699"/>
      <c r="J22" s="726"/>
      <c r="K22" s="726"/>
    </row>
    <row r="23" spans="1:11" s="653" customFormat="1" x14ac:dyDescent="0.2">
      <c r="A23" s="725"/>
      <c r="B23" s="720"/>
      <c r="C23" s="721"/>
      <c r="D23" s="735"/>
      <c r="E23" s="735"/>
      <c r="F23" s="723"/>
      <c r="G23" s="723"/>
      <c r="H23" s="237"/>
      <c r="I23" s="699"/>
      <c r="J23" s="726"/>
      <c r="K23" s="726"/>
    </row>
    <row r="24" spans="1:11" s="653" customFormat="1" x14ac:dyDescent="0.2">
      <c r="A24" s="725"/>
      <c r="B24" s="720"/>
      <c r="C24" s="721"/>
      <c r="D24" s="735"/>
      <c r="E24" s="735"/>
      <c r="F24" s="723"/>
      <c r="G24" s="723"/>
      <c r="H24" s="237"/>
      <c r="I24" s="699"/>
      <c r="J24" s="726"/>
      <c r="K24" s="726"/>
    </row>
    <row r="25" spans="1:11" s="653" customFormat="1" x14ac:dyDescent="0.2">
      <c r="A25" s="725"/>
      <c r="B25" s="720"/>
      <c r="C25" s="721"/>
      <c r="D25" s="735"/>
      <c r="E25" s="735"/>
      <c r="F25" s="723"/>
      <c r="G25" s="723"/>
      <c r="H25" s="237"/>
      <c r="I25" s="699"/>
      <c r="J25" s="726"/>
      <c r="K25" s="726"/>
    </row>
    <row r="26" spans="1:11" s="653" customFormat="1" x14ac:dyDescent="0.2">
      <c r="A26" s="725"/>
      <c r="B26" s="720"/>
      <c r="C26" s="721"/>
      <c r="D26" s="735"/>
      <c r="E26" s="735"/>
      <c r="F26" s="723"/>
      <c r="G26" s="723"/>
      <c r="H26" s="237"/>
      <c r="I26" s="699"/>
      <c r="J26" s="726"/>
      <c r="K26" s="726"/>
    </row>
    <row r="27" spans="1:11" s="653" customFormat="1" x14ac:dyDescent="0.2">
      <c r="A27" s="725"/>
      <c r="B27" s="720"/>
      <c r="C27" s="721"/>
      <c r="D27" s="735"/>
      <c r="E27" s="735"/>
      <c r="F27" s="723"/>
      <c r="G27" s="723"/>
      <c r="H27" s="237"/>
      <c r="I27" s="699"/>
      <c r="J27" s="726"/>
      <c r="K27" s="726"/>
    </row>
    <row r="28" spans="1:11" x14ac:dyDescent="0.2">
      <c r="A28" s="147"/>
      <c r="B28" s="142"/>
      <c r="C28" s="143"/>
      <c r="D28" s="168"/>
      <c r="E28" s="168"/>
      <c r="F28" s="145"/>
      <c r="G28" s="145"/>
      <c r="H28" s="237"/>
      <c r="I28" s="82"/>
      <c r="J28" s="82"/>
      <c r="K28" s="82"/>
    </row>
    <row r="29" spans="1:11" x14ac:dyDescent="0.2">
      <c r="A29" s="147"/>
      <c r="B29" s="142"/>
      <c r="C29" s="143"/>
      <c r="D29" s="144"/>
      <c r="E29" s="144"/>
      <c r="F29" s="140"/>
      <c r="G29" s="145"/>
      <c r="H29" s="237"/>
      <c r="I29" s="82"/>
      <c r="J29" s="82"/>
      <c r="K29" s="82"/>
    </row>
    <row r="30" spans="1:11" x14ac:dyDescent="0.2">
      <c r="A30" s="147"/>
      <c r="B30" s="142"/>
      <c r="C30" s="143"/>
      <c r="D30" s="144"/>
      <c r="E30" s="144"/>
      <c r="F30" s="140"/>
      <c r="G30" s="145"/>
      <c r="H30" s="237"/>
      <c r="I30" s="82"/>
      <c r="J30" s="82"/>
      <c r="K30" s="82"/>
    </row>
    <row r="31" spans="1:11" x14ac:dyDescent="0.2">
      <c r="A31" s="147"/>
      <c r="B31" s="142"/>
      <c r="C31" s="143"/>
      <c r="D31" s="144"/>
      <c r="E31" s="144"/>
      <c r="F31" s="140"/>
      <c r="G31" s="145"/>
      <c r="H31" s="237"/>
      <c r="I31" s="82"/>
      <c r="J31" s="82"/>
      <c r="K31" s="82"/>
    </row>
    <row r="32" spans="1:11" x14ac:dyDescent="0.2">
      <c r="A32" s="147"/>
      <c r="B32" s="142"/>
      <c r="C32" s="143"/>
      <c r="D32" s="144"/>
      <c r="E32" s="144"/>
      <c r="F32" s="140"/>
      <c r="G32" s="145"/>
      <c r="H32" s="237"/>
      <c r="I32" s="82"/>
      <c r="J32" s="82"/>
      <c r="K32" s="82"/>
    </row>
    <row r="33" spans="1:11" x14ac:dyDescent="0.2">
      <c r="A33" s="147"/>
      <c r="B33" s="142"/>
      <c r="C33" s="143"/>
      <c r="D33" s="144"/>
      <c r="E33" s="144"/>
      <c r="F33" s="140"/>
      <c r="G33" s="145"/>
      <c r="H33" s="237"/>
      <c r="I33" s="82"/>
      <c r="J33" s="82"/>
      <c r="K33" s="82"/>
    </row>
    <row r="34" spans="1:11" x14ac:dyDescent="0.2">
      <c r="A34" s="147"/>
      <c r="B34" s="142"/>
      <c r="C34" s="143"/>
      <c r="D34" s="144"/>
      <c r="E34" s="144"/>
      <c r="F34" s="140"/>
      <c r="G34" s="145"/>
      <c r="H34" s="237"/>
      <c r="I34" s="82"/>
      <c r="J34" s="82"/>
      <c r="K34" s="82"/>
    </row>
    <row r="35" spans="1:11" x14ac:dyDescent="0.2">
      <c r="A35" s="147"/>
      <c r="B35" s="142"/>
      <c r="C35" s="143"/>
      <c r="D35" s="144"/>
      <c r="E35" s="144"/>
      <c r="F35" s="48"/>
      <c r="G35" s="66"/>
      <c r="H35" s="237"/>
      <c r="I35" s="82"/>
      <c r="J35" s="82"/>
      <c r="K35" s="82"/>
    </row>
    <row r="36" spans="1:11" x14ac:dyDescent="0.2">
      <c r="A36" s="147"/>
      <c r="B36" s="142"/>
      <c r="C36" s="143"/>
      <c r="D36" s="144"/>
      <c r="E36" s="144"/>
      <c r="F36" s="48"/>
      <c r="G36" s="66"/>
      <c r="H36" s="80"/>
      <c r="I36" s="82"/>
      <c r="J36" s="82"/>
      <c r="K36" s="82"/>
    </row>
    <row r="37" spans="1:11" x14ac:dyDescent="0.2">
      <c r="A37" s="147"/>
      <c r="B37" s="142"/>
      <c r="C37" s="143"/>
      <c r="D37" s="144"/>
      <c r="E37" s="144"/>
      <c r="F37" s="48"/>
      <c r="G37" s="66"/>
      <c r="H37" s="80"/>
      <c r="I37" s="82"/>
      <c r="J37" s="82"/>
      <c r="K37" s="82"/>
    </row>
    <row r="38" spans="1:11" x14ac:dyDescent="0.2">
      <c r="A38" s="82"/>
      <c r="B38" s="82"/>
      <c r="C38" s="82"/>
      <c r="D38" s="82"/>
      <c r="E38" s="82"/>
      <c r="F38" s="334" t="s">
        <v>123</v>
      </c>
      <c r="G38" s="334">
        <f>SUM(G7:G37)</f>
        <v>28</v>
      </c>
      <c r="H38" s="697">
        <f>SUM(H7:H37)</f>
        <v>16.5</v>
      </c>
      <c r="I38" s="82"/>
      <c r="J38" s="82"/>
      <c r="K38" s="82"/>
    </row>
    <row r="39" spans="1:11" x14ac:dyDescent="0.2">
      <c r="A39" s="82"/>
      <c r="B39" s="82"/>
      <c r="C39" s="82"/>
      <c r="D39" s="82"/>
      <c r="E39" s="82"/>
      <c r="F39" s="62"/>
      <c r="G39" s="63"/>
      <c r="H39" s="63"/>
      <c r="I39" s="82"/>
      <c r="J39" s="82"/>
      <c r="K39" s="82"/>
    </row>
    <row r="40" spans="1:11" ht="14.25" x14ac:dyDescent="0.2">
      <c r="A40" s="82"/>
      <c r="B40" s="82"/>
      <c r="C40" s="82"/>
      <c r="D40" s="82"/>
      <c r="E40" s="82"/>
      <c r="F40" s="1153" t="s">
        <v>8</v>
      </c>
      <c r="G40" s="1154"/>
      <c r="H40" s="84">
        <f>G38-H38</f>
        <v>11.5</v>
      </c>
      <c r="I40" s="82"/>
      <c r="J40" s="82"/>
      <c r="K40" s="82"/>
    </row>
    <row r="41" spans="1:11" x14ac:dyDescent="0.2">
      <c r="A41" s="82"/>
      <c r="B41" s="82"/>
      <c r="C41" s="82"/>
      <c r="D41" s="82"/>
      <c r="E41" s="82"/>
      <c r="F41" s="82"/>
      <c r="G41" s="82"/>
      <c r="H41" s="82"/>
      <c r="I41" s="82"/>
      <c r="J41" s="82"/>
      <c r="K41" s="82"/>
    </row>
  </sheetData>
  <sortState ref="B8:K15">
    <sortCondition ref="B8"/>
  </sortState>
  <mergeCells count="3">
    <mergeCell ref="F40:G40"/>
    <mergeCell ref="J1:J3"/>
    <mergeCell ref="C1:H5"/>
  </mergeCells>
  <hyperlinks>
    <hyperlink ref="J1:J3" location="'ANA SAYFA'!A1" display="ANA SAYFA"/>
  </hyperlinks>
  <pageMargins left="0.25" right="0.25" top="0.28000000000000003" bottom="0.75" header="0.3" footer="0.3"/>
  <pageSetup paperSize="9" scale="73" orientation="portrait"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6"/>
  <sheetViews>
    <sheetView zoomScaleNormal="100" workbookViewId="0">
      <selection activeCell="J1" sqref="J1:J3"/>
    </sheetView>
  </sheetViews>
  <sheetFormatPr defaultRowHeight="12.75" x14ac:dyDescent="0.2"/>
  <cols>
    <col min="1" max="1" width="18.5703125" bestFit="1" customWidth="1"/>
    <col min="2" max="2" width="27.5703125" bestFit="1" customWidth="1"/>
    <col min="3" max="3" width="28.28515625" bestFit="1" customWidth="1"/>
    <col min="6" max="6" width="20.28515625" customWidth="1"/>
    <col min="7" max="7" width="14.28515625" bestFit="1" customWidth="1"/>
    <col min="8" max="8" width="16.140625" customWidth="1"/>
    <col min="9" max="9" width="4.42578125" customWidth="1"/>
    <col min="10" max="10" width="11.140625" customWidth="1"/>
    <col min="13" max="13" width="10.140625" bestFit="1" customWidth="1"/>
  </cols>
  <sheetData>
    <row r="1" spans="1:12" x14ac:dyDescent="0.2">
      <c r="A1" s="29" t="s">
        <v>135</v>
      </c>
      <c r="B1" s="187" t="str">
        <f>'ANA SAYFA'!B115</f>
        <v>ERHAN DENİZ</v>
      </c>
      <c r="C1" s="1166" t="s">
        <v>136</v>
      </c>
      <c r="D1" s="1166"/>
      <c r="E1" s="1166"/>
      <c r="F1" s="1166"/>
      <c r="G1" s="1166"/>
      <c r="H1" s="1166"/>
      <c r="I1" s="82"/>
      <c r="J1" s="1183" t="s">
        <v>712</v>
      </c>
      <c r="K1" s="82"/>
    </row>
    <row r="2" spans="1:12" x14ac:dyDescent="0.2">
      <c r="A2" s="29" t="s">
        <v>137</v>
      </c>
      <c r="B2" s="186">
        <f>'ANA SAYFA'!D115</f>
        <v>26908313158</v>
      </c>
      <c r="C2" s="1166"/>
      <c r="D2" s="1166"/>
      <c r="E2" s="1166"/>
      <c r="F2" s="1166"/>
      <c r="G2" s="1166"/>
      <c r="H2" s="1166"/>
      <c r="I2" s="82"/>
      <c r="J2" s="1184"/>
      <c r="K2" s="82"/>
    </row>
    <row r="3" spans="1:12" ht="13.5" thickBot="1" x14ac:dyDescent="0.25">
      <c r="A3" s="29" t="s">
        <v>131</v>
      </c>
      <c r="B3" s="187" t="str">
        <f>'ANA SAYFA'!C115</f>
        <v>İNŞAAT MÜHENDİSİ</v>
      </c>
      <c r="C3" s="1166"/>
      <c r="D3" s="1166"/>
      <c r="E3" s="1166"/>
      <c r="F3" s="1166"/>
      <c r="G3" s="1166"/>
      <c r="H3" s="1166"/>
      <c r="I3" s="82"/>
      <c r="J3" s="1185"/>
      <c r="K3" s="82"/>
    </row>
    <row r="4" spans="1:12" x14ac:dyDescent="0.2">
      <c r="A4" s="29" t="s">
        <v>120</v>
      </c>
      <c r="B4" s="136">
        <f>'ANA SAYFA'!E115</f>
        <v>45737</v>
      </c>
      <c r="C4" s="1166"/>
      <c r="D4" s="1166"/>
      <c r="E4" s="1166"/>
      <c r="F4" s="1166"/>
      <c r="G4" s="1166"/>
      <c r="H4" s="1166"/>
      <c r="I4" s="82"/>
      <c r="J4" s="82"/>
      <c r="K4" s="82"/>
    </row>
    <row r="5" spans="1:12" x14ac:dyDescent="0.2">
      <c r="A5" s="29" t="s">
        <v>130</v>
      </c>
      <c r="B5" s="218">
        <f>'ANA SAYFA'!F115</f>
        <v>34548</v>
      </c>
      <c r="C5" s="1166"/>
      <c r="D5" s="1166"/>
      <c r="E5" s="1166"/>
      <c r="F5" s="1166"/>
      <c r="G5" s="1166"/>
      <c r="H5" s="1166"/>
      <c r="I5" s="82"/>
      <c r="J5" s="653"/>
      <c r="K5" s="653"/>
    </row>
    <row r="6" spans="1:12" ht="31.5" x14ac:dyDescent="0.2">
      <c r="A6" s="69" t="s">
        <v>0</v>
      </c>
      <c r="B6" s="70" t="s">
        <v>1</v>
      </c>
      <c r="C6" s="69" t="s">
        <v>2</v>
      </c>
      <c r="D6" s="71" t="s">
        <v>133</v>
      </c>
      <c r="E6" s="71" t="s">
        <v>4</v>
      </c>
      <c r="F6" s="71" t="s">
        <v>7</v>
      </c>
      <c r="G6" s="71" t="s">
        <v>6</v>
      </c>
      <c r="H6" s="71" t="s">
        <v>3</v>
      </c>
      <c r="I6" s="82"/>
      <c r="J6" s="653"/>
      <c r="K6" s="653"/>
    </row>
    <row r="7" spans="1:12" x14ac:dyDescent="0.2">
      <c r="A7" s="139"/>
      <c r="B7" s="36">
        <v>46002</v>
      </c>
      <c r="C7" s="37">
        <v>46003</v>
      </c>
      <c r="D7" s="38"/>
      <c r="E7" s="676"/>
      <c r="F7" s="906" t="s">
        <v>971</v>
      </c>
      <c r="G7" s="106">
        <v>14</v>
      </c>
      <c r="H7" s="115">
        <v>1</v>
      </c>
      <c r="I7" s="82"/>
      <c r="J7" s="190"/>
      <c r="K7" s="190"/>
    </row>
    <row r="8" spans="1:12" s="653" customFormat="1" x14ac:dyDescent="0.2">
      <c r="A8" s="717"/>
      <c r="B8" s="1085">
        <v>46139</v>
      </c>
      <c r="C8" s="675">
        <v>46140</v>
      </c>
      <c r="D8" s="676"/>
      <c r="E8" s="676"/>
      <c r="F8" s="906"/>
      <c r="G8" s="703"/>
      <c r="H8" s="705">
        <v>1</v>
      </c>
      <c r="I8" s="699"/>
      <c r="J8" s="747"/>
      <c r="K8" s="747"/>
    </row>
    <row r="9" spans="1:12" x14ac:dyDescent="0.2">
      <c r="A9" s="146"/>
      <c r="B9" s="36">
        <v>46165</v>
      </c>
      <c r="C9" s="37">
        <v>46174</v>
      </c>
      <c r="D9" s="676"/>
      <c r="E9" s="676"/>
      <c r="F9" s="907"/>
      <c r="G9" s="106"/>
      <c r="H9" s="115">
        <v>2</v>
      </c>
      <c r="I9" s="82"/>
      <c r="J9" s="148"/>
      <c r="K9" s="148"/>
    </row>
    <row r="10" spans="1:12" x14ac:dyDescent="0.2">
      <c r="A10" s="1202"/>
      <c r="B10" s="1202"/>
      <c r="C10" s="1202"/>
      <c r="D10" s="38"/>
      <c r="E10" s="38"/>
      <c r="F10" s="906"/>
      <c r="G10" s="106"/>
      <c r="H10" s="115"/>
      <c r="I10" s="82"/>
      <c r="J10" s="148"/>
      <c r="K10" s="148"/>
      <c r="L10" s="358"/>
    </row>
    <row r="11" spans="1:12" x14ac:dyDescent="0.2">
      <c r="A11" s="141"/>
      <c r="B11" s="155">
        <v>46189</v>
      </c>
      <c r="C11" s="158">
        <v>46189</v>
      </c>
      <c r="D11" s="159">
        <v>0.33333333333333331</v>
      </c>
      <c r="E11" s="159">
        <v>0.625</v>
      </c>
      <c r="F11" s="908"/>
      <c r="G11" s="145"/>
      <c r="H11" s="192">
        <v>1</v>
      </c>
      <c r="I11" s="82"/>
      <c r="J11" s="82"/>
      <c r="K11" s="82"/>
    </row>
    <row r="12" spans="1:12" s="653" customFormat="1" x14ac:dyDescent="0.2">
      <c r="A12" s="719"/>
      <c r="B12" s="729"/>
      <c r="C12" s="732"/>
      <c r="D12" s="733"/>
      <c r="E12" s="733"/>
      <c r="F12" s="908"/>
      <c r="G12" s="723"/>
      <c r="H12" s="749"/>
      <c r="I12" s="699"/>
      <c r="J12" s="699"/>
      <c r="K12" s="699"/>
    </row>
    <row r="13" spans="1:12" s="653" customFormat="1" x14ac:dyDescent="0.2">
      <c r="A13" s="719"/>
      <c r="B13" s="729"/>
      <c r="C13" s="732"/>
      <c r="D13" s="733"/>
      <c r="E13" s="733"/>
      <c r="F13" s="908"/>
      <c r="G13" s="723"/>
      <c r="H13" s="749"/>
      <c r="I13" s="699"/>
      <c r="J13" s="699"/>
      <c r="K13" s="699"/>
    </row>
    <row r="14" spans="1:12" s="653" customFormat="1" x14ac:dyDescent="0.2">
      <c r="A14" s="719"/>
      <c r="B14" s="729"/>
      <c r="C14" s="732"/>
      <c r="D14" s="733"/>
      <c r="E14" s="733"/>
      <c r="F14" s="908"/>
      <c r="G14" s="723"/>
      <c r="H14" s="749"/>
      <c r="I14" s="699"/>
      <c r="J14" s="699"/>
      <c r="K14" s="699"/>
    </row>
    <row r="15" spans="1:12" s="653" customFormat="1" x14ac:dyDescent="0.2">
      <c r="A15" s="719"/>
      <c r="B15" s="729"/>
      <c r="C15" s="732"/>
      <c r="D15" s="733"/>
      <c r="E15" s="733"/>
      <c r="F15" s="908"/>
      <c r="G15" s="723"/>
      <c r="H15" s="749"/>
      <c r="I15" s="699"/>
      <c r="J15" s="699"/>
      <c r="K15" s="699"/>
    </row>
    <row r="16" spans="1:12" s="653" customFormat="1" x14ac:dyDescent="0.2">
      <c r="A16" s="719"/>
      <c r="B16" s="729"/>
      <c r="C16" s="732"/>
      <c r="D16" s="733"/>
      <c r="E16" s="733"/>
      <c r="F16" s="908"/>
      <c r="G16" s="723"/>
      <c r="H16" s="749"/>
      <c r="I16" s="699"/>
      <c r="J16" s="699"/>
      <c r="K16" s="699"/>
    </row>
    <row r="17" spans="1:13" s="653" customFormat="1" x14ac:dyDescent="0.2">
      <c r="A17" s="719"/>
      <c r="B17" s="729"/>
      <c r="C17" s="732"/>
      <c r="D17" s="733"/>
      <c r="E17" s="733"/>
      <c r="F17" s="908"/>
      <c r="G17" s="723"/>
      <c r="H17" s="749"/>
      <c r="I17" s="699"/>
      <c r="J17" s="699"/>
      <c r="K17" s="699"/>
    </row>
    <row r="18" spans="1:13" s="653" customFormat="1" x14ac:dyDescent="0.2">
      <c r="A18" s="719"/>
      <c r="B18" s="729"/>
      <c r="C18" s="732"/>
      <c r="D18" s="733"/>
      <c r="E18" s="733"/>
      <c r="F18" s="908"/>
      <c r="G18" s="723"/>
      <c r="H18" s="749"/>
      <c r="I18" s="699"/>
      <c r="J18" s="699"/>
      <c r="K18" s="699"/>
    </row>
    <row r="19" spans="1:13" s="653" customFormat="1" x14ac:dyDescent="0.2">
      <c r="A19" s="719"/>
      <c r="B19" s="729"/>
      <c r="C19" s="732"/>
      <c r="D19" s="733"/>
      <c r="E19" s="733"/>
      <c r="F19" s="908"/>
      <c r="G19" s="723"/>
      <c r="H19" s="749"/>
      <c r="I19" s="699"/>
      <c r="J19" s="699"/>
      <c r="K19" s="699"/>
    </row>
    <row r="20" spans="1:13" s="653" customFormat="1" x14ac:dyDescent="0.2">
      <c r="A20" s="719"/>
      <c r="B20" s="729"/>
      <c r="C20" s="732"/>
      <c r="D20" s="733"/>
      <c r="E20" s="733"/>
      <c r="F20" s="908"/>
      <c r="G20" s="723"/>
      <c r="H20" s="749"/>
      <c r="I20" s="699"/>
      <c r="J20" s="699"/>
      <c r="K20" s="699"/>
      <c r="M20" s="512"/>
    </row>
    <row r="21" spans="1:13" x14ac:dyDescent="0.2">
      <c r="A21" s="160"/>
      <c r="B21" s="155"/>
      <c r="C21" s="158"/>
      <c r="D21" s="168"/>
      <c r="E21" s="168"/>
      <c r="F21" s="908"/>
      <c r="G21" s="145"/>
      <c r="H21" s="157"/>
      <c r="I21" s="82"/>
      <c r="J21" s="190"/>
      <c r="K21" s="190"/>
      <c r="M21" s="512"/>
    </row>
    <row r="22" spans="1:13" x14ac:dyDescent="0.2">
      <c r="A22" s="147"/>
      <c r="B22" s="142"/>
      <c r="C22" s="143"/>
      <c r="D22" s="168"/>
      <c r="E22" s="168"/>
      <c r="F22" s="908"/>
      <c r="G22" s="145"/>
      <c r="H22" s="145"/>
      <c r="I22" s="82"/>
      <c r="J22" s="148"/>
      <c r="K22" s="148"/>
    </row>
    <row r="23" spans="1:13" x14ac:dyDescent="0.2">
      <c r="A23" s="147"/>
      <c r="B23" s="142"/>
      <c r="C23" s="143"/>
      <c r="D23" s="168"/>
      <c r="E23" s="168"/>
      <c r="F23" s="908"/>
      <c r="G23" s="145"/>
      <c r="H23" s="145"/>
      <c r="I23" s="82"/>
      <c r="J23" s="82"/>
      <c r="K23" s="82"/>
    </row>
    <row r="24" spans="1:13" x14ac:dyDescent="0.2">
      <c r="A24" s="147"/>
      <c r="B24" s="142"/>
      <c r="C24" s="143"/>
      <c r="D24" s="144"/>
      <c r="E24" s="144"/>
      <c r="F24" s="908"/>
      <c r="G24" s="145"/>
      <c r="H24" s="145"/>
      <c r="I24" s="82"/>
      <c r="J24" s="82"/>
      <c r="K24" s="82"/>
    </row>
    <row r="25" spans="1:13" x14ac:dyDescent="0.2">
      <c r="A25" s="147"/>
      <c r="B25" s="142"/>
      <c r="C25" s="143"/>
      <c r="D25" s="144"/>
      <c r="E25" s="144"/>
      <c r="F25" s="908"/>
      <c r="G25" s="145"/>
      <c r="H25" s="145"/>
      <c r="I25" s="82"/>
      <c r="J25" s="82"/>
      <c r="K25" s="82"/>
    </row>
    <row r="26" spans="1:13" x14ac:dyDescent="0.2">
      <c r="A26" s="147"/>
      <c r="B26" s="142"/>
      <c r="C26" s="143"/>
      <c r="D26" s="144"/>
      <c r="E26" s="144"/>
      <c r="F26" s="140"/>
      <c r="G26" s="145"/>
      <c r="H26" s="145"/>
      <c r="I26" s="82"/>
      <c r="J26" s="82"/>
      <c r="K26" s="82"/>
    </row>
    <row r="27" spans="1:13" x14ac:dyDescent="0.2">
      <c r="A27" s="147"/>
      <c r="B27" s="142"/>
      <c r="C27" s="143"/>
      <c r="D27" s="144"/>
      <c r="E27" s="144"/>
      <c r="F27" s="140"/>
      <c r="G27" s="145"/>
      <c r="H27" s="145"/>
      <c r="I27" s="82"/>
      <c r="J27" s="82"/>
      <c r="K27" s="82"/>
    </row>
    <row r="28" spans="1:13" x14ac:dyDescent="0.2">
      <c r="A28" s="147"/>
      <c r="B28" s="142"/>
      <c r="C28" s="143"/>
      <c r="D28" s="144"/>
      <c r="E28" s="144"/>
      <c r="F28" s="140"/>
      <c r="G28" s="145"/>
      <c r="H28" s="145"/>
      <c r="I28" s="82"/>
      <c r="J28" s="82"/>
      <c r="K28" s="82"/>
    </row>
    <row r="29" spans="1:13" x14ac:dyDescent="0.2">
      <c r="A29" s="147"/>
      <c r="B29" s="142"/>
      <c r="C29" s="143"/>
      <c r="D29" s="144"/>
      <c r="E29" s="144"/>
      <c r="F29" s="140"/>
      <c r="G29" s="145"/>
      <c r="H29" s="145"/>
      <c r="I29" s="82"/>
      <c r="J29" s="82"/>
      <c r="K29" s="82"/>
    </row>
    <row r="30" spans="1:13" x14ac:dyDescent="0.2">
      <c r="A30" s="147"/>
      <c r="B30" s="142"/>
      <c r="C30" s="143"/>
      <c r="D30" s="144"/>
      <c r="E30" s="144"/>
      <c r="F30" s="48"/>
      <c r="G30" s="66"/>
      <c r="H30" s="145"/>
      <c r="I30" s="82"/>
      <c r="J30" s="82"/>
      <c r="K30" s="82"/>
    </row>
    <row r="31" spans="1:13" x14ac:dyDescent="0.2">
      <c r="A31" s="147"/>
      <c r="B31" s="142"/>
      <c r="C31" s="143"/>
      <c r="D31" s="144"/>
      <c r="E31" s="144"/>
      <c r="F31" s="48"/>
      <c r="G31" s="66"/>
      <c r="H31" s="66"/>
      <c r="I31" s="82"/>
      <c r="J31" s="82"/>
      <c r="K31" s="82"/>
    </row>
    <row r="32" spans="1:13" x14ac:dyDescent="0.2">
      <c r="A32" s="147"/>
      <c r="B32" s="142"/>
      <c r="C32" s="143"/>
      <c r="D32" s="144"/>
      <c r="E32" s="144"/>
      <c r="F32" s="48"/>
      <c r="G32" s="66"/>
      <c r="H32" s="66"/>
      <c r="I32" s="82"/>
      <c r="J32" s="82"/>
      <c r="K32" s="82"/>
    </row>
    <row r="33" spans="1:11" x14ac:dyDescent="0.2">
      <c r="A33" s="82"/>
      <c r="B33" s="82"/>
      <c r="C33" s="82"/>
      <c r="D33" s="82"/>
      <c r="E33" s="82"/>
      <c r="F33" s="336" t="s">
        <v>123</v>
      </c>
      <c r="G33" s="336">
        <f>SUM(G7:G24)</f>
        <v>14</v>
      </c>
      <c r="H33" s="336">
        <f>SUM(H7:H31)</f>
        <v>5</v>
      </c>
      <c r="I33" s="82"/>
      <c r="J33" s="82"/>
      <c r="K33" s="82"/>
    </row>
    <row r="34" spans="1:11" x14ac:dyDescent="0.2">
      <c r="A34" s="82"/>
      <c r="B34" s="82"/>
      <c r="C34" s="82"/>
      <c r="D34" s="82"/>
      <c r="E34" s="82"/>
      <c r="F34" s="62"/>
      <c r="G34" s="63"/>
      <c r="H34" s="63"/>
      <c r="I34" s="82"/>
      <c r="J34" s="82"/>
      <c r="K34" s="82"/>
    </row>
    <row r="35" spans="1:11" ht="14.25" x14ac:dyDescent="0.2">
      <c r="A35" s="82"/>
      <c r="B35" s="82"/>
      <c r="C35" s="82"/>
      <c r="D35" s="82"/>
      <c r="E35" s="82"/>
      <c r="F35" s="1153" t="s">
        <v>8</v>
      </c>
      <c r="G35" s="1154"/>
      <c r="H35" s="84">
        <f>G33-H33</f>
        <v>9</v>
      </c>
      <c r="I35" s="82"/>
      <c r="J35" s="82"/>
      <c r="K35" s="82"/>
    </row>
    <row r="36" spans="1:11" x14ac:dyDescent="0.2">
      <c r="A36" s="82"/>
      <c r="B36" s="82"/>
      <c r="C36" s="82"/>
      <c r="D36" s="82"/>
      <c r="E36" s="82"/>
      <c r="F36" s="82"/>
      <c r="G36" s="82"/>
      <c r="H36" s="82"/>
      <c r="I36" s="82"/>
      <c r="J36" s="82"/>
      <c r="K36" s="82"/>
    </row>
  </sheetData>
  <mergeCells count="4">
    <mergeCell ref="F35:G35"/>
    <mergeCell ref="A10:C10"/>
    <mergeCell ref="C1:H5"/>
    <mergeCell ref="J1:J3"/>
  </mergeCells>
  <hyperlinks>
    <hyperlink ref="J1:J3" location="'ANA SAYFA'!A1" display="ANA SAYFA"/>
  </hyperlinks>
  <pageMargins left="0.7" right="0.12" top="0.31" bottom="0.75" header="0.3" footer="0.3"/>
  <pageSetup paperSize="9" scale="66"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zoomScaleNormal="100" workbookViewId="0">
      <pane ySplit="6" topLeftCell="A7" activePane="bottomLeft" state="frozen"/>
      <selection pane="bottomLeft" activeCell="J1" sqref="J1:J3"/>
    </sheetView>
  </sheetViews>
  <sheetFormatPr defaultRowHeight="12.75" x14ac:dyDescent="0.2"/>
  <cols>
    <col min="1" max="1" width="18.140625" bestFit="1" customWidth="1"/>
    <col min="2" max="3" width="26" bestFit="1" customWidth="1"/>
    <col min="4" max="4" width="6.7109375" bestFit="1" customWidth="1"/>
    <col min="5" max="5" width="8.7109375" customWidth="1"/>
    <col min="6" max="6" width="20.140625" bestFit="1" customWidth="1"/>
    <col min="7" max="7" width="14.7109375" customWidth="1"/>
    <col min="8" max="8" width="14.140625" customWidth="1"/>
    <col min="9" max="9" width="4.42578125" customWidth="1"/>
    <col min="10" max="10" width="10.5703125" customWidth="1"/>
  </cols>
  <sheetData>
    <row r="1" spans="1:12" x14ac:dyDescent="0.2">
      <c r="A1" s="29" t="s">
        <v>135</v>
      </c>
      <c r="B1" s="187" t="str">
        <f>'ANA SAYFA'!B116</f>
        <v>NECMETTİN GÜRSOY</v>
      </c>
      <c r="C1" s="1166" t="s">
        <v>136</v>
      </c>
      <c r="D1" s="1166"/>
      <c r="E1" s="1166"/>
      <c r="F1" s="1166"/>
      <c r="G1" s="1166"/>
      <c r="H1" s="1166"/>
      <c r="I1" s="82"/>
      <c r="J1" s="1183" t="s">
        <v>712</v>
      </c>
      <c r="K1" s="82"/>
    </row>
    <row r="2" spans="1:12" x14ac:dyDescent="0.2">
      <c r="A2" s="29" t="s">
        <v>137</v>
      </c>
      <c r="B2" s="186">
        <f>'ANA SAYFA'!D116</f>
        <v>58300236254</v>
      </c>
      <c r="C2" s="1166"/>
      <c r="D2" s="1166"/>
      <c r="E2" s="1166"/>
      <c r="F2" s="1166"/>
      <c r="G2" s="1166"/>
      <c r="H2" s="1166"/>
      <c r="I2" s="82"/>
      <c r="J2" s="1184"/>
      <c r="K2" s="82"/>
    </row>
    <row r="3" spans="1:12" ht="13.5" thickBot="1" x14ac:dyDescent="0.25">
      <c r="A3" s="29" t="s">
        <v>131</v>
      </c>
      <c r="B3" s="187" t="str">
        <f>'ANA SAYFA'!C116</f>
        <v>OPERATÖR</v>
      </c>
      <c r="C3" s="1166"/>
      <c r="D3" s="1166"/>
      <c r="E3" s="1166"/>
      <c r="F3" s="1166"/>
      <c r="G3" s="1166"/>
      <c r="H3" s="1166"/>
      <c r="I3" s="82"/>
      <c r="J3" s="1185"/>
      <c r="K3" s="82"/>
    </row>
    <row r="4" spans="1:12" x14ac:dyDescent="0.2">
      <c r="A4" s="29" t="s">
        <v>120</v>
      </c>
      <c r="B4" s="136">
        <f>'ANA SAYFA'!E116</f>
        <v>45182</v>
      </c>
      <c r="C4" s="1166"/>
      <c r="D4" s="1166"/>
      <c r="E4" s="1166"/>
      <c r="F4" s="1166"/>
      <c r="G4" s="1166"/>
      <c r="H4" s="1166"/>
      <c r="I4" s="82"/>
      <c r="J4" s="82"/>
      <c r="K4" s="82"/>
    </row>
    <row r="5" spans="1:12" x14ac:dyDescent="0.2">
      <c r="A5" s="29" t="s">
        <v>130</v>
      </c>
      <c r="B5" s="218">
        <f>'ANA SAYFA'!F116</f>
        <v>36986</v>
      </c>
      <c r="C5" s="1166"/>
      <c r="D5" s="1166"/>
      <c r="E5" s="1166"/>
      <c r="F5" s="1166"/>
      <c r="G5" s="1166"/>
      <c r="H5" s="1166"/>
      <c r="I5" s="82"/>
      <c r="J5" s="653"/>
      <c r="K5" s="653"/>
    </row>
    <row r="6" spans="1:12" ht="42" x14ac:dyDescent="0.2">
      <c r="A6" s="69" t="s">
        <v>0</v>
      </c>
      <c r="B6" s="70" t="s">
        <v>1</v>
      </c>
      <c r="C6" s="69" t="s">
        <v>2</v>
      </c>
      <c r="D6" s="71" t="s">
        <v>133</v>
      </c>
      <c r="E6" s="71" t="s">
        <v>4</v>
      </c>
      <c r="F6" s="71" t="s">
        <v>7</v>
      </c>
      <c r="G6" s="71" t="s">
        <v>6</v>
      </c>
      <c r="H6" s="71" t="s">
        <v>3</v>
      </c>
      <c r="I6" s="82"/>
      <c r="J6" s="653"/>
      <c r="K6" s="653"/>
    </row>
    <row r="7" spans="1:12" x14ac:dyDescent="0.2">
      <c r="A7" s="139"/>
      <c r="B7" s="36">
        <v>45245</v>
      </c>
      <c r="C7" s="37">
        <v>45246</v>
      </c>
      <c r="D7" s="38">
        <v>0.58333333333333337</v>
      </c>
      <c r="E7" s="38">
        <v>0.33333333333333331</v>
      </c>
      <c r="F7" s="136" t="s">
        <v>624</v>
      </c>
      <c r="G7" s="106">
        <v>14</v>
      </c>
      <c r="H7" s="223">
        <v>0.5</v>
      </c>
      <c r="I7" s="82"/>
      <c r="J7" s="190"/>
      <c r="K7" s="190"/>
    </row>
    <row r="8" spans="1:12" x14ac:dyDescent="0.2">
      <c r="A8" s="146" t="s">
        <v>752</v>
      </c>
      <c r="B8" s="36">
        <v>45253</v>
      </c>
      <c r="C8" s="37">
        <v>45260</v>
      </c>
      <c r="D8" s="687">
        <v>0.33333333333333331</v>
      </c>
      <c r="E8" s="57">
        <v>0.33333333333333331</v>
      </c>
      <c r="F8" s="112" t="s">
        <v>911</v>
      </c>
      <c r="G8" s="106">
        <v>14</v>
      </c>
      <c r="H8" s="115">
        <v>3</v>
      </c>
      <c r="I8" s="356"/>
      <c r="J8" s="148"/>
      <c r="K8" s="148"/>
    </row>
    <row r="9" spans="1:12" x14ac:dyDescent="0.2">
      <c r="A9" s="1315" t="s">
        <v>484</v>
      </c>
      <c r="B9" s="1316"/>
      <c r="C9" s="1317"/>
      <c r="D9" s="168"/>
      <c r="E9" s="144"/>
      <c r="F9" s="191"/>
      <c r="G9" s="145"/>
      <c r="H9" s="826">
        <v>-3</v>
      </c>
      <c r="I9" s="82"/>
      <c r="J9" s="148"/>
      <c r="K9" s="148"/>
      <c r="L9" s="358"/>
    </row>
    <row r="10" spans="1:12" x14ac:dyDescent="0.2">
      <c r="A10" s="141"/>
      <c r="B10" s="492">
        <v>45456</v>
      </c>
      <c r="C10" s="492">
        <v>45456</v>
      </c>
      <c r="D10" s="687">
        <v>0.33333333333333331</v>
      </c>
      <c r="E10" s="687">
        <v>0.33333333333333331</v>
      </c>
      <c r="F10" s="145"/>
      <c r="G10" s="145"/>
      <c r="H10" s="192">
        <v>1</v>
      </c>
      <c r="I10" s="82"/>
      <c r="J10" s="82"/>
      <c r="K10" s="82"/>
      <c r="L10" t="s">
        <v>591</v>
      </c>
    </row>
    <row r="11" spans="1:12" x14ac:dyDescent="0.2">
      <c r="A11" s="160"/>
      <c r="B11" s="155">
        <v>45468</v>
      </c>
      <c r="C11" s="158">
        <v>45468</v>
      </c>
      <c r="D11" s="687">
        <v>0.33333333333333331</v>
      </c>
      <c r="E11" s="687">
        <v>0.33333333333333331</v>
      </c>
      <c r="F11" s="145"/>
      <c r="G11" s="145"/>
      <c r="H11" s="157">
        <v>1</v>
      </c>
      <c r="I11" s="82"/>
      <c r="J11" s="190"/>
      <c r="K11" s="190"/>
    </row>
    <row r="12" spans="1:12" ht="14.25" customHeight="1" x14ac:dyDescent="0.2">
      <c r="A12" s="1315" t="s">
        <v>594</v>
      </c>
      <c r="B12" s="1316"/>
      <c r="C12" s="1317"/>
      <c r="D12" s="168"/>
      <c r="E12" s="144"/>
      <c r="F12" s="191"/>
      <c r="G12" s="145"/>
      <c r="H12" s="826">
        <v>-2</v>
      </c>
      <c r="I12" s="82"/>
      <c r="J12" s="148"/>
      <c r="K12" s="148"/>
      <c r="L12" s="358"/>
    </row>
    <row r="13" spans="1:12" x14ac:dyDescent="0.2">
      <c r="A13" s="147"/>
      <c r="B13" s="142">
        <v>45513</v>
      </c>
      <c r="C13" s="143">
        <v>45513</v>
      </c>
      <c r="D13" s="687">
        <v>0.33333333333333331</v>
      </c>
      <c r="E13" s="687">
        <v>0.33333333333333331</v>
      </c>
      <c r="F13" s="145"/>
      <c r="G13" s="145"/>
      <c r="H13" s="145">
        <v>1</v>
      </c>
      <c r="I13" s="82"/>
      <c r="J13" s="82"/>
      <c r="K13" s="82"/>
    </row>
    <row r="14" spans="1:12" x14ac:dyDescent="0.2">
      <c r="A14" s="147"/>
      <c r="B14" s="142">
        <v>45556</v>
      </c>
      <c r="C14" s="143">
        <v>45556</v>
      </c>
      <c r="D14" s="687">
        <v>0.33333333333333331</v>
      </c>
      <c r="E14" s="687">
        <v>0.33333333333333331</v>
      </c>
      <c r="F14" s="140"/>
      <c r="G14" s="145"/>
      <c r="H14" s="145">
        <v>1</v>
      </c>
      <c r="I14" s="82"/>
      <c r="J14" s="82"/>
      <c r="K14" s="82"/>
    </row>
    <row r="15" spans="1:12" x14ac:dyDescent="0.2">
      <c r="A15" s="147"/>
      <c r="B15" s="142">
        <v>45553</v>
      </c>
      <c r="C15" s="143">
        <v>45553</v>
      </c>
      <c r="D15" s="687">
        <v>0.33333333333333331</v>
      </c>
      <c r="E15" s="687">
        <v>0.33333333333333331</v>
      </c>
      <c r="F15" s="140"/>
      <c r="G15" s="145"/>
      <c r="H15" s="145">
        <v>1</v>
      </c>
      <c r="I15" s="82"/>
      <c r="J15" s="82"/>
      <c r="K15" s="82"/>
    </row>
    <row r="16" spans="1:12" s="653" customFormat="1" x14ac:dyDescent="0.2">
      <c r="A16" s="725"/>
      <c r="B16" s="720">
        <v>45961</v>
      </c>
      <c r="C16" s="721">
        <v>45971</v>
      </c>
      <c r="D16" s="687">
        <v>0.33333333333333331</v>
      </c>
      <c r="E16" s="687">
        <v>0.33333333333333331</v>
      </c>
      <c r="F16" s="718"/>
      <c r="G16" s="723"/>
      <c r="H16" s="723">
        <v>8</v>
      </c>
      <c r="I16" s="699"/>
      <c r="J16" s="699"/>
      <c r="K16" s="699"/>
    </row>
    <row r="17" spans="1:11" s="653" customFormat="1" x14ac:dyDescent="0.2">
      <c r="A17" s="725"/>
      <c r="B17" s="720"/>
      <c r="C17" s="721"/>
      <c r="D17" s="687"/>
      <c r="E17" s="687"/>
      <c r="F17" s="718"/>
      <c r="G17" s="723"/>
      <c r="H17" s="723"/>
      <c r="I17" s="699"/>
      <c r="J17" s="699"/>
      <c r="K17" s="699"/>
    </row>
    <row r="18" spans="1:11" s="653" customFormat="1" x14ac:dyDescent="0.2">
      <c r="A18" s="725"/>
      <c r="B18" s="720"/>
      <c r="C18" s="721"/>
      <c r="D18" s="687"/>
      <c r="E18" s="687"/>
      <c r="F18" s="718"/>
      <c r="G18" s="723"/>
      <c r="H18" s="723"/>
      <c r="I18" s="699"/>
      <c r="J18" s="699"/>
      <c r="K18" s="699"/>
    </row>
    <row r="19" spans="1:11" s="653" customFormat="1" x14ac:dyDescent="0.2">
      <c r="A19" s="725"/>
      <c r="B19" s="720"/>
      <c r="C19" s="721"/>
      <c r="D19" s="687"/>
      <c r="E19" s="687"/>
      <c r="F19" s="718"/>
      <c r="G19" s="723"/>
      <c r="H19" s="723"/>
      <c r="I19" s="699"/>
      <c r="J19" s="699"/>
      <c r="K19" s="699"/>
    </row>
    <row r="20" spans="1:11" s="653" customFormat="1" x14ac:dyDescent="0.2">
      <c r="A20" s="725"/>
      <c r="B20" s="720"/>
      <c r="C20" s="721"/>
      <c r="D20" s="687"/>
      <c r="E20" s="687"/>
      <c r="F20" s="718"/>
      <c r="G20" s="723"/>
      <c r="H20" s="723"/>
      <c r="I20" s="699"/>
      <c r="J20" s="699"/>
      <c r="K20" s="699"/>
    </row>
    <row r="21" spans="1:11" s="653" customFormat="1" x14ac:dyDescent="0.2">
      <c r="A21" s="725"/>
      <c r="B21" s="720"/>
      <c r="C21" s="721"/>
      <c r="D21" s="687"/>
      <c r="E21" s="687"/>
      <c r="F21" s="718"/>
      <c r="G21" s="723"/>
      <c r="H21" s="723"/>
      <c r="I21" s="699"/>
      <c r="J21" s="699"/>
      <c r="K21" s="699"/>
    </row>
    <row r="22" spans="1:11" s="653" customFormat="1" x14ac:dyDescent="0.2">
      <c r="A22" s="725"/>
      <c r="B22" s="720"/>
      <c r="C22" s="721"/>
      <c r="D22" s="687"/>
      <c r="E22" s="687"/>
      <c r="F22" s="718"/>
      <c r="G22" s="723"/>
      <c r="H22" s="723"/>
      <c r="I22" s="699"/>
      <c r="J22" s="699"/>
      <c r="K22" s="699"/>
    </row>
    <row r="23" spans="1:11" s="653" customFormat="1" x14ac:dyDescent="0.2">
      <c r="A23" s="725"/>
      <c r="B23" s="720"/>
      <c r="C23" s="721"/>
      <c r="D23" s="687"/>
      <c r="E23" s="687"/>
      <c r="F23" s="718"/>
      <c r="G23" s="723"/>
      <c r="H23" s="723"/>
      <c r="I23" s="699"/>
      <c r="J23" s="699"/>
      <c r="K23" s="699"/>
    </row>
    <row r="24" spans="1:11" s="653" customFormat="1" x14ac:dyDescent="0.2">
      <c r="A24" s="725"/>
      <c r="B24" s="720"/>
      <c r="C24" s="721"/>
      <c r="D24" s="687"/>
      <c r="E24" s="687"/>
      <c r="F24" s="718"/>
      <c r="G24" s="723"/>
      <c r="H24" s="723"/>
      <c r="I24" s="699"/>
      <c r="J24" s="699"/>
      <c r="K24" s="699"/>
    </row>
    <row r="25" spans="1:11" s="653" customFormat="1" x14ac:dyDescent="0.2">
      <c r="A25" s="725"/>
      <c r="B25" s="720"/>
      <c r="C25" s="721"/>
      <c r="D25" s="687"/>
      <c r="E25" s="687"/>
      <c r="F25" s="718"/>
      <c r="G25" s="723"/>
      <c r="H25" s="723"/>
      <c r="I25" s="699"/>
      <c r="J25" s="699"/>
      <c r="K25" s="699"/>
    </row>
    <row r="26" spans="1:11" s="653" customFormat="1" x14ac:dyDescent="0.2">
      <c r="A26" s="725"/>
      <c r="B26" s="720"/>
      <c r="C26" s="721"/>
      <c r="D26" s="687"/>
      <c r="E26" s="687"/>
      <c r="F26" s="718"/>
      <c r="G26" s="723"/>
      <c r="H26" s="723"/>
      <c r="I26" s="699"/>
      <c r="J26" s="699"/>
      <c r="K26" s="699"/>
    </row>
    <row r="27" spans="1:11" x14ac:dyDescent="0.2">
      <c r="A27" s="147"/>
      <c r="B27" s="142"/>
      <c r="C27" s="143"/>
      <c r="D27" s="144"/>
      <c r="E27" s="144"/>
      <c r="F27" s="140"/>
      <c r="G27" s="145"/>
      <c r="H27" s="145"/>
      <c r="I27" s="82"/>
      <c r="J27" s="82"/>
      <c r="K27" s="82"/>
    </row>
    <row r="28" spans="1:11" x14ac:dyDescent="0.2">
      <c r="A28" s="147"/>
      <c r="B28" s="142"/>
      <c r="C28" s="143"/>
      <c r="D28" s="144"/>
      <c r="E28" s="144"/>
      <c r="F28" s="140"/>
      <c r="G28" s="145"/>
      <c r="H28" s="145"/>
      <c r="I28" s="82"/>
      <c r="J28" s="82"/>
      <c r="K28" s="82"/>
    </row>
    <row r="29" spans="1:11" x14ac:dyDescent="0.2">
      <c r="A29" s="147"/>
      <c r="B29" s="142"/>
      <c r="C29" s="143"/>
      <c r="D29" s="144"/>
      <c r="E29" s="144"/>
      <c r="F29" s="140"/>
      <c r="G29" s="145"/>
      <c r="H29" s="145"/>
      <c r="I29" s="82"/>
      <c r="J29" s="82"/>
      <c r="K29" s="82"/>
    </row>
    <row r="30" spans="1:11" x14ac:dyDescent="0.2">
      <c r="A30" s="147"/>
      <c r="B30" s="142"/>
      <c r="C30" s="143"/>
      <c r="D30" s="144"/>
      <c r="E30" s="144"/>
      <c r="F30" s="140"/>
      <c r="G30" s="145"/>
      <c r="H30" s="145"/>
      <c r="I30" s="82"/>
      <c r="J30" s="82"/>
      <c r="K30" s="82"/>
    </row>
    <row r="31" spans="1:11" x14ac:dyDescent="0.2">
      <c r="A31" s="147"/>
      <c r="B31" s="142"/>
      <c r="C31" s="143"/>
      <c r="D31" s="144"/>
      <c r="E31" s="144"/>
      <c r="F31" s="48"/>
      <c r="G31" s="66"/>
      <c r="H31" s="145"/>
      <c r="I31" s="82"/>
      <c r="J31" s="82"/>
      <c r="K31" s="82"/>
    </row>
    <row r="32" spans="1:11" x14ac:dyDescent="0.2">
      <c r="A32" s="147"/>
      <c r="B32" s="142"/>
      <c r="C32" s="143"/>
      <c r="D32" s="144"/>
      <c r="E32" s="144"/>
      <c r="F32" s="48"/>
      <c r="G32" s="66"/>
      <c r="H32" s="66"/>
      <c r="I32" s="82"/>
      <c r="J32" s="82"/>
      <c r="K32" s="82"/>
    </row>
    <row r="33" spans="1:11" x14ac:dyDescent="0.2">
      <c r="A33" s="147"/>
      <c r="B33" s="142"/>
      <c r="C33" s="143"/>
      <c r="D33" s="144"/>
      <c r="E33" s="144"/>
      <c r="F33" s="48"/>
      <c r="G33" s="66"/>
      <c r="H33" s="66"/>
      <c r="I33" s="82"/>
      <c r="J33" s="82"/>
      <c r="K33" s="82"/>
    </row>
    <row r="34" spans="1:11" x14ac:dyDescent="0.2">
      <c r="A34" s="82"/>
      <c r="B34" s="82"/>
      <c r="C34" s="82"/>
      <c r="D34" s="82"/>
      <c r="E34" s="82"/>
      <c r="F34" s="337" t="s">
        <v>123</v>
      </c>
      <c r="G34" s="337">
        <f>SUM(G7:G33)</f>
        <v>28</v>
      </c>
      <c r="H34" s="337">
        <f>SUM(H7:H33)</f>
        <v>11.5</v>
      </c>
      <c r="I34" s="82"/>
      <c r="J34" s="82"/>
      <c r="K34" s="82"/>
    </row>
    <row r="35" spans="1:11" x14ac:dyDescent="0.2">
      <c r="A35" s="82"/>
      <c r="B35" s="82"/>
      <c r="C35" s="82"/>
      <c r="D35" s="82"/>
      <c r="E35" s="82"/>
      <c r="F35" s="62"/>
      <c r="G35" s="63"/>
      <c r="H35" s="63"/>
      <c r="I35" s="82"/>
      <c r="J35" s="82"/>
      <c r="K35" s="82"/>
    </row>
    <row r="36" spans="1:11" ht="14.25" x14ac:dyDescent="0.2">
      <c r="A36" s="82"/>
      <c r="B36" s="82"/>
      <c r="C36" s="82"/>
      <c r="D36" s="82"/>
      <c r="E36" s="82"/>
      <c r="F36" s="1153" t="s">
        <v>8</v>
      </c>
      <c r="G36" s="1154"/>
      <c r="H36" s="84">
        <f>G34-H34</f>
        <v>16.5</v>
      </c>
      <c r="I36" s="82"/>
      <c r="J36" s="82"/>
      <c r="K36" s="82"/>
    </row>
    <row r="37" spans="1:11" x14ac:dyDescent="0.2">
      <c r="A37" s="82"/>
      <c r="B37" s="82"/>
      <c r="C37" s="82"/>
      <c r="D37" s="82"/>
      <c r="E37" s="82"/>
      <c r="F37" s="82"/>
      <c r="G37" s="82"/>
      <c r="H37" s="82"/>
      <c r="I37" s="82"/>
      <c r="J37" s="82"/>
      <c r="K37" s="82"/>
    </row>
  </sheetData>
  <mergeCells count="5">
    <mergeCell ref="F36:G36"/>
    <mergeCell ref="J1:J3"/>
    <mergeCell ref="C1:H5"/>
    <mergeCell ref="A9:C9"/>
    <mergeCell ref="A12:C12"/>
  </mergeCells>
  <hyperlinks>
    <hyperlink ref="J1:J3" location="'ANA SAYFA'!A1" display="ANA SAYFA"/>
  </hyperlinks>
  <pageMargins left="0.7" right="0.12" top="0.15" bottom="0.75" header="0.16" footer="0.3"/>
  <pageSetup paperSize="9" scale="71" orientation="portrait" r:id="rId1"/>
  <colBreaks count="1" manualBreakCount="1">
    <brk id="8" max="1048575" man="1"/>
  </colBreaks>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zoomScaleNormal="100" workbookViewId="0">
      <selection activeCell="J1" sqref="J1:J3"/>
    </sheetView>
  </sheetViews>
  <sheetFormatPr defaultRowHeight="12.75" x14ac:dyDescent="0.2"/>
  <cols>
    <col min="1" max="1" width="18.140625" bestFit="1" customWidth="1"/>
    <col min="2" max="3" width="27.28515625" bestFit="1" customWidth="1"/>
    <col min="6" max="6" width="21.140625" customWidth="1"/>
    <col min="7" max="7" width="14.28515625" bestFit="1" customWidth="1"/>
    <col min="8" max="8" width="12.5703125" bestFit="1" customWidth="1"/>
    <col min="9" max="9" width="4.140625" customWidth="1"/>
    <col min="10" max="10" width="10.140625" bestFit="1" customWidth="1"/>
  </cols>
  <sheetData>
    <row r="1" spans="1:12" ht="12.75" customHeight="1" x14ac:dyDescent="0.2">
      <c r="A1" s="29" t="s">
        <v>135</v>
      </c>
      <c r="B1" s="187" t="str">
        <f>'ANA SAYFA'!B117</f>
        <v>YUSUF YASİN POLAT</v>
      </c>
      <c r="C1" s="1166" t="s">
        <v>136</v>
      </c>
      <c r="D1" s="1166"/>
      <c r="E1" s="1166"/>
      <c r="F1" s="1166"/>
      <c r="G1" s="1166"/>
      <c r="H1" s="1166"/>
      <c r="I1" s="82"/>
      <c r="J1" s="1183" t="s">
        <v>712</v>
      </c>
      <c r="K1" s="82"/>
    </row>
    <row r="2" spans="1:12" ht="12.75" customHeight="1" x14ac:dyDescent="0.2">
      <c r="A2" s="29" t="s">
        <v>137</v>
      </c>
      <c r="B2" s="186">
        <f>'ANA SAYFA'!D117</f>
        <v>17026808036</v>
      </c>
      <c r="C2" s="1166"/>
      <c r="D2" s="1166"/>
      <c r="E2" s="1166"/>
      <c r="F2" s="1166"/>
      <c r="G2" s="1166"/>
      <c r="H2" s="1166"/>
      <c r="I2" s="82"/>
      <c r="J2" s="1184"/>
      <c r="K2" s="82"/>
    </row>
    <row r="3" spans="1:12" ht="13.5" customHeight="1" thickBot="1" x14ac:dyDescent="0.25">
      <c r="A3" s="29" t="s">
        <v>131</v>
      </c>
      <c r="B3" s="187" t="str">
        <f>'ANA SAYFA'!C117</f>
        <v>OPERATÖR</v>
      </c>
      <c r="C3" s="1166"/>
      <c r="D3" s="1166"/>
      <c r="E3" s="1166"/>
      <c r="F3" s="1166"/>
      <c r="G3" s="1166"/>
      <c r="H3" s="1166"/>
      <c r="I3" s="82"/>
      <c r="J3" s="1185"/>
      <c r="K3" s="82"/>
    </row>
    <row r="4" spans="1:12" x14ac:dyDescent="0.2">
      <c r="A4" s="29" t="s">
        <v>120</v>
      </c>
      <c r="B4" s="136">
        <f>'ANA SAYFA'!E117</f>
        <v>45028</v>
      </c>
      <c r="C4" s="1166"/>
      <c r="D4" s="1166"/>
      <c r="E4" s="1166"/>
      <c r="F4" s="1166"/>
      <c r="G4" s="1166"/>
      <c r="H4" s="1166"/>
      <c r="I4" s="82"/>
      <c r="J4" s="82"/>
      <c r="K4" s="82"/>
    </row>
    <row r="5" spans="1:12" x14ac:dyDescent="0.2">
      <c r="A5" s="29" t="s">
        <v>130</v>
      </c>
      <c r="B5" s="218">
        <f>'ANA SAYFA'!F117</f>
        <v>36732</v>
      </c>
      <c r="C5" s="1166"/>
      <c r="D5" s="1166"/>
      <c r="E5" s="1166"/>
      <c r="F5" s="1166"/>
      <c r="G5" s="1166"/>
      <c r="H5" s="1166"/>
      <c r="I5" s="82"/>
      <c r="J5" s="653"/>
      <c r="K5" s="653"/>
    </row>
    <row r="6" spans="1:12" ht="31.5" x14ac:dyDescent="0.2">
      <c r="A6" s="69" t="s">
        <v>0</v>
      </c>
      <c r="B6" s="70" t="s">
        <v>1</v>
      </c>
      <c r="C6" s="69" t="s">
        <v>2</v>
      </c>
      <c r="D6" s="71" t="s">
        <v>133</v>
      </c>
      <c r="E6" s="71" t="s">
        <v>4</v>
      </c>
      <c r="F6" s="71" t="s">
        <v>7</v>
      </c>
      <c r="G6" s="71" t="s">
        <v>6</v>
      </c>
      <c r="H6" s="71" t="s">
        <v>3</v>
      </c>
      <c r="I6" s="82"/>
      <c r="J6" s="653"/>
      <c r="K6" s="653"/>
    </row>
    <row r="7" spans="1:12" x14ac:dyDescent="0.2">
      <c r="A7" s="139"/>
      <c r="B7" s="36">
        <v>45149</v>
      </c>
      <c r="C7" s="37">
        <v>45150</v>
      </c>
      <c r="D7" s="38">
        <v>0.33333333333333331</v>
      </c>
      <c r="E7" s="38">
        <v>0.33333333333333331</v>
      </c>
      <c r="F7" s="136" t="s">
        <v>536</v>
      </c>
      <c r="G7" s="106">
        <v>14</v>
      </c>
      <c r="H7" s="677">
        <v>1</v>
      </c>
      <c r="I7" s="82"/>
      <c r="J7" s="190"/>
      <c r="K7" s="190"/>
    </row>
    <row r="8" spans="1:12" x14ac:dyDescent="0.2">
      <c r="A8" s="139"/>
      <c r="B8" s="36">
        <v>45150</v>
      </c>
      <c r="C8" s="37">
        <v>45152</v>
      </c>
      <c r="D8" s="38">
        <v>0.33333333333333331</v>
      </c>
      <c r="E8" s="38">
        <v>0.33333333333333331</v>
      </c>
      <c r="F8" s="716" t="s">
        <v>746</v>
      </c>
      <c r="G8" s="106">
        <v>14</v>
      </c>
      <c r="H8" s="677">
        <v>1</v>
      </c>
      <c r="I8" s="82"/>
      <c r="J8" s="190"/>
      <c r="K8" s="190"/>
      <c r="L8" s="358"/>
    </row>
    <row r="9" spans="1:12" x14ac:dyDescent="0.2">
      <c r="A9" s="146"/>
      <c r="B9" s="155">
        <v>45161</v>
      </c>
      <c r="C9" s="156">
        <v>45161</v>
      </c>
      <c r="D9" s="168">
        <v>0.33333333333333331</v>
      </c>
      <c r="E9" s="144">
        <v>0.5</v>
      </c>
      <c r="F9" s="191"/>
      <c r="G9" s="145"/>
      <c r="H9" s="755">
        <v>0.5</v>
      </c>
      <c r="I9" s="82"/>
      <c r="J9" s="148"/>
      <c r="K9" s="148"/>
    </row>
    <row r="10" spans="1:12" x14ac:dyDescent="0.2">
      <c r="A10" s="141"/>
      <c r="B10" s="155">
        <v>45206</v>
      </c>
      <c r="C10" s="158">
        <v>45209</v>
      </c>
      <c r="D10" s="159">
        <v>0.33333333333333331</v>
      </c>
      <c r="E10" s="159">
        <v>0.33333333333333331</v>
      </c>
      <c r="F10" s="145"/>
      <c r="G10" s="145"/>
      <c r="H10" s="755">
        <v>2</v>
      </c>
      <c r="I10" s="82"/>
      <c r="J10" s="82"/>
      <c r="K10" s="82"/>
    </row>
    <row r="11" spans="1:12" x14ac:dyDescent="0.2">
      <c r="A11" s="1206" t="s">
        <v>485</v>
      </c>
      <c r="B11" s="1304"/>
      <c r="C11" s="1207"/>
      <c r="D11" s="168"/>
      <c r="E11" s="168"/>
      <c r="F11" s="145"/>
      <c r="G11" s="145"/>
      <c r="H11" s="852">
        <v>-3</v>
      </c>
      <c r="I11" s="82"/>
      <c r="J11" s="190"/>
      <c r="K11" s="190"/>
    </row>
    <row r="12" spans="1:12" x14ac:dyDescent="0.2">
      <c r="A12" s="147"/>
      <c r="B12" s="142">
        <v>45839</v>
      </c>
      <c r="C12" s="143">
        <v>45845</v>
      </c>
      <c r="D12" s="168">
        <v>0.33333333333333331</v>
      </c>
      <c r="E12" s="168">
        <v>0.33333333333333331</v>
      </c>
      <c r="F12" s="145"/>
      <c r="G12" s="145"/>
      <c r="H12" s="237">
        <v>6</v>
      </c>
      <c r="I12" s="82"/>
      <c r="J12" s="148"/>
      <c r="K12" s="148"/>
    </row>
    <row r="13" spans="1:12" s="653" customFormat="1" x14ac:dyDescent="0.2">
      <c r="A13" s="725"/>
      <c r="B13" s="720"/>
      <c r="C13" s="721"/>
      <c r="D13" s="735"/>
      <c r="E13" s="735"/>
      <c r="F13" s="723"/>
      <c r="G13" s="723"/>
      <c r="H13" s="237"/>
      <c r="I13" s="699"/>
      <c r="J13" s="726"/>
      <c r="K13" s="726"/>
    </row>
    <row r="14" spans="1:12" s="653" customFormat="1" x14ac:dyDescent="0.2">
      <c r="A14" s="725"/>
      <c r="B14" s="720"/>
      <c r="C14" s="721"/>
      <c r="D14" s="735"/>
      <c r="E14" s="735"/>
      <c r="F14" s="723"/>
      <c r="G14" s="723"/>
      <c r="H14" s="237"/>
      <c r="I14" s="699"/>
      <c r="J14" s="726"/>
      <c r="K14" s="726"/>
    </row>
    <row r="15" spans="1:12" s="653" customFormat="1" x14ac:dyDescent="0.2">
      <c r="A15" s="725"/>
      <c r="B15" s="720"/>
      <c r="C15" s="721"/>
      <c r="D15" s="735"/>
      <c r="E15" s="735"/>
      <c r="F15" s="723"/>
      <c r="G15" s="723"/>
      <c r="H15" s="237"/>
      <c r="I15" s="699"/>
      <c r="J15" s="726"/>
      <c r="K15" s="726"/>
    </row>
    <row r="16" spans="1:12" s="653" customFormat="1" x14ac:dyDescent="0.2">
      <c r="A16" s="725"/>
      <c r="B16" s="720"/>
      <c r="C16" s="721"/>
      <c r="D16" s="735"/>
      <c r="E16" s="735"/>
      <c r="F16" s="723"/>
      <c r="G16" s="723"/>
      <c r="H16" s="237"/>
      <c r="I16" s="699"/>
      <c r="J16" s="726"/>
      <c r="K16" s="726"/>
    </row>
    <row r="17" spans="1:11" s="653" customFormat="1" x14ac:dyDescent="0.2">
      <c r="A17" s="725"/>
      <c r="B17" s="720"/>
      <c r="C17" s="721"/>
      <c r="D17" s="735"/>
      <c r="E17" s="735"/>
      <c r="F17" s="723"/>
      <c r="G17" s="723"/>
      <c r="H17" s="237"/>
      <c r="I17" s="699"/>
      <c r="J17" s="726"/>
      <c r="K17" s="726"/>
    </row>
    <row r="18" spans="1:11" s="653" customFormat="1" x14ac:dyDescent="0.2">
      <c r="A18" s="725"/>
      <c r="B18" s="720"/>
      <c r="C18" s="721"/>
      <c r="D18" s="735"/>
      <c r="E18" s="735"/>
      <c r="F18" s="723"/>
      <c r="G18" s="723"/>
      <c r="H18" s="237"/>
      <c r="I18" s="699"/>
      <c r="J18" s="726"/>
      <c r="K18" s="726"/>
    </row>
    <row r="19" spans="1:11" s="653" customFormat="1" x14ac:dyDescent="0.2">
      <c r="A19" s="725"/>
      <c r="B19" s="720"/>
      <c r="C19" s="721"/>
      <c r="D19" s="735"/>
      <c r="E19" s="735"/>
      <c r="F19" s="723"/>
      <c r="G19" s="723"/>
      <c r="H19" s="237"/>
      <c r="I19" s="699"/>
      <c r="J19" s="726"/>
      <c r="K19" s="726"/>
    </row>
    <row r="20" spans="1:11" s="653" customFormat="1" x14ac:dyDescent="0.2">
      <c r="A20" s="725"/>
      <c r="B20" s="720"/>
      <c r="C20" s="721"/>
      <c r="D20" s="735"/>
      <c r="E20" s="735"/>
      <c r="F20" s="723"/>
      <c r="G20" s="723"/>
      <c r="H20" s="237"/>
      <c r="I20" s="699"/>
      <c r="J20" s="726"/>
      <c r="K20" s="726"/>
    </row>
    <row r="21" spans="1:11" s="653" customFormat="1" x14ac:dyDescent="0.2">
      <c r="A21" s="725"/>
      <c r="B21" s="720"/>
      <c r="C21" s="721"/>
      <c r="D21" s="735"/>
      <c r="E21" s="735"/>
      <c r="F21" s="723"/>
      <c r="G21" s="723"/>
      <c r="H21" s="237"/>
      <c r="I21" s="699"/>
      <c r="J21" s="726"/>
      <c r="K21" s="726"/>
    </row>
    <row r="22" spans="1:11" s="653" customFormat="1" x14ac:dyDescent="0.2">
      <c r="A22" s="725"/>
      <c r="B22" s="720"/>
      <c r="C22" s="721"/>
      <c r="D22" s="735"/>
      <c r="E22" s="735"/>
      <c r="F22" s="723"/>
      <c r="G22" s="723"/>
      <c r="H22" s="237"/>
      <c r="I22" s="699"/>
      <c r="J22" s="726"/>
      <c r="K22" s="726"/>
    </row>
    <row r="23" spans="1:11" x14ac:dyDescent="0.2">
      <c r="A23" s="147"/>
      <c r="B23" s="142"/>
      <c r="C23" s="143"/>
      <c r="D23" s="168"/>
      <c r="E23" s="168"/>
      <c r="F23" s="145"/>
      <c r="G23" s="145"/>
      <c r="H23" s="237"/>
      <c r="I23" s="82"/>
      <c r="J23" s="82"/>
      <c r="K23" s="82"/>
    </row>
    <row r="24" spans="1:11" x14ac:dyDescent="0.2">
      <c r="A24" s="147"/>
      <c r="B24" s="142"/>
      <c r="C24" s="143"/>
      <c r="D24" s="144"/>
      <c r="E24" s="144"/>
      <c r="F24" s="140"/>
      <c r="G24" s="145"/>
      <c r="H24" s="237"/>
      <c r="I24" s="82"/>
      <c r="J24" s="82"/>
      <c r="K24" s="82"/>
    </row>
    <row r="25" spans="1:11" x14ac:dyDescent="0.2">
      <c r="A25" s="147"/>
      <c r="B25" s="142"/>
      <c r="C25" s="143"/>
      <c r="D25" s="144"/>
      <c r="E25" s="144"/>
      <c r="F25" s="140"/>
      <c r="G25" s="145"/>
      <c r="H25" s="237"/>
      <c r="I25" s="82"/>
      <c r="J25" s="82"/>
      <c r="K25" s="82"/>
    </row>
    <row r="26" spans="1:11" x14ac:dyDescent="0.2">
      <c r="A26" s="147"/>
      <c r="B26" s="142"/>
      <c r="C26" s="143"/>
      <c r="D26" s="144"/>
      <c r="E26" s="144"/>
      <c r="F26" s="140"/>
      <c r="G26" s="145"/>
      <c r="H26" s="237"/>
      <c r="I26" s="82"/>
      <c r="J26" s="82"/>
      <c r="K26" s="82"/>
    </row>
    <row r="27" spans="1:11" x14ac:dyDescent="0.2">
      <c r="A27" s="147"/>
      <c r="B27" s="142"/>
      <c r="C27" s="143"/>
      <c r="D27" s="144"/>
      <c r="E27" s="144"/>
      <c r="F27" s="140"/>
      <c r="G27" s="145"/>
      <c r="H27" s="237"/>
      <c r="I27" s="82"/>
      <c r="J27" s="82"/>
      <c r="K27" s="82"/>
    </row>
    <row r="28" spans="1:11" x14ac:dyDescent="0.2">
      <c r="A28" s="147"/>
      <c r="B28" s="142"/>
      <c r="C28" s="143"/>
      <c r="D28" s="144"/>
      <c r="E28" s="144"/>
      <c r="F28" s="140"/>
      <c r="G28" s="145"/>
      <c r="H28" s="237"/>
      <c r="I28" s="82"/>
      <c r="J28" s="82"/>
      <c r="K28" s="82"/>
    </row>
    <row r="29" spans="1:11" x14ac:dyDescent="0.2">
      <c r="A29" s="147"/>
      <c r="B29" s="142"/>
      <c r="C29" s="143"/>
      <c r="D29" s="144"/>
      <c r="E29" s="144"/>
      <c r="F29" s="140"/>
      <c r="G29" s="145"/>
      <c r="H29" s="237"/>
      <c r="I29" s="82"/>
      <c r="J29" s="82"/>
      <c r="K29" s="82"/>
    </row>
    <row r="30" spans="1:11" x14ac:dyDescent="0.2">
      <c r="A30" s="147"/>
      <c r="B30" s="142"/>
      <c r="C30" s="143"/>
      <c r="D30" s="144"/>
      <c r="E30" s="144"/>
      <c r="F30" s="48"/>
      <c r="G30" s="66"/>
      <c r="H30" s="237"/>
      <c r="I30" s="82"/>
      <c r="J30" s="82"/>
      <c r="K30" s="82"/>
    </row>
    <row r="31" spans="1:11" x14ac:dyDescent="0.2">
      <c r="A31" s="147"/>
      <c r="B31" s="142"/>
      <c r="C31" s="143"/>
      <c r="D31" s="144"/>
      <c r="E31" s="144"/>
      <c r="F31" s="48"/>
      <c r="G31" s="66"/>
      <c r="H31" s="80"/>
      <c r="I31" s="82"/>
      <c r="J31" s="82"/>
      <c r="K31" s="82"/>
    </row>
    <row r="32" spans="1:11" x14ac:dyDescent="0.2">
      <c r="A32" s="147"/>
      <c r="B32" s="142"/>
      <c r="C32" s="143"/>
      <c r="D32" s="144"/>
      <c r="E32" s="144"/>
      <c r="F32" s="48"/>
      <c r="G32" s="66"/>
      <c r="H32" s="80"/>
      <c r="I32" s="82"/>
      <c r="J32" s="82"/>
      <c r="K32" s="82"/>
    </row>
    <row r="33" spans="1:11" ht="16.5" customHeight="1" x14ac:dyDescent="0.2">
      <c r="A33" s="82"/>
      <c r="B33" s="82"/>
      <c r="C33" s="82"/>
      <c r="D33" s="82"/>
      <c r="E33" s="82"/>
      <c r="F33" s="772" t="s">
        <v>123</v>
      </c>
      <c r="G33" s="772">
        <f>SUM(G7:G32)</f>
        <v>28</v>
      </c>
      <c r="H33" s="827">
        <f>SUM(H7:H31)</f>
        <v>7.5</v>
      </c>
      <c r="I33" s="82"/>
      <c r="J33" s="82"/>
      <c r="K33" s="82"/>
    </row>
    <row r="34" spans="1:11" x14ac:dyDescent="0.2">
      <c r="A34" s="82"/>
      <c r="B34" s="82"/>
      <c r="C34" s="82"/>
      <c r="D34" s="82"/>
      <c r="E34" s="82"/>
      <c r="F34" s="671"/>
      <c r="G34" s="714"/>
      <c r="H34" s="714"/>
      <c r="I34" s="82"/>
      <c r="J34" s="82"/>
      <c r="K34" s="82"/>
    </row>
    <row r="35" spans="1:11" ht="14.25" x14ac:dyDescent="0.2">
      <c r="A35" s="82"/>
      <c r="B35" s="82"/>
      <c r="C35" s="82"/>
      <c r="D35" s="82"/>
      <c r="E35" s="82"/>
      <c r="F35" s="1215" t="s">
        <v>8</v>
      </c>
      <c r="G35" s="1216"/>
      <c r="H35" s="797">
        <f>G33-H33</f>
        <v>20.5</v>
      </c>
      <c r="I35" s="82"/>
      <c r="J35" s="82"/>
      <c r="K35" s="82"/>
    </row>
  </sheetData>
  <mergeCells count="4">
    <mergeCell ref="F35:G35"/>
    <mergeCell ref="J1:J3"/>
    <mergeCell ref="C1:H5"/>
    <mergeCell ref="A11:C11"/>
  </mergeCells>
  <hyperlinks>
    <hyperlink ref="J1:J3" location="'ANA SAYFA'!A1" display="ANA SAYFA"/>
  </hyperlinks>
  <pageMargins left="0.7" right="0.12" top="0.28999999999999998" bottom="0.75" header="0.3" footer="0.3"/>
  <pageSetup paperSize="9" scale="68" orientation="portrait" r:id="rId1"/>
  <colBreaks count="1" manualBreakCount="1">
    <brk id="8" max="1048575" man="1"/>
  </colBreaks>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zoomScaleNormal="100" workbookViewId="0">
      <selection activeCell="J1" sqref="J1:J3"/>
    </sheetView>
  </sheetViews>
  <sheetFormatPr defaultRowHeight="12.75" x14ac:dyDescent="0.2"/>
  <cols>
    <col min="1" max="1" width="18.140625" bestFit="1" customWidth="1"/>
    <col min="2" max="3" width="27.42578125" bestFit="1" customWidth="1"/>
    <col min="6" max="6" width="20.140625" bestFit="1" customWidth="1"/>
    <col min="7" max="7" width="14.140625" customWidth="1"/>
    <col min="8" max="8" width="13.140625" customWidth="1"/>
    <col min="9" max="9" width="3.5703125" customWidth="1"/>
    <col min="10" max="10" width="10.85546875" customWidth="1"/>
  </cols>
  <sheetData>
    <row r="1" spans="1:11" x14ac:dyDescent="0.2">
      <c r="A1" s="29" t="s">
        <v>135</v>
      </c>
      <c r="B1" s="187" t="str">
        <f>'ANA SAYFA'!B118</f>
        <v>ÖZLEM ÖZDEMİR</v>
      </c>
      <c r="C1" s="1166" t="s">
        <v>136</v>
      </c>
      <c r="D1" s="1166"/>
      <c r="E1" s="1166"/>
      <c r="F1" s="1166"/>
      <c r="G1" s="1166"/>
      <c r="H1" s="1166"/>
      <c r="I1" s="82"/>
      <c r="J1" s="1183" t="s">
        <v>712</v>
      </c>
      <c r="K1" s="82"/>
    </row>
    <row r="2" spans="1:11" x14ac:dyDescent="0.2">
      <c r="A2" s="29" t="s">
        <v>137</v>
      </c>
      <c r="B2" s="186">
        <f>'ANA SAYFA'!D118</f>
        <v>36086308846</v>
      </c>
      <c r="C2" s="1166"/>
      <c r="D2" s="1166"/>
      <c r="E2" s="1166"/>
      <c r="F2" s="1166"/>
      <c r="G2" s="1166"/>
      <c r="H2" s="1166"/>
      <c r="I2" s="82"/>
      <c r="J2" s="1184"/>
      <c r="K2" s="82"/>
    </row>
    <row r="3" spans="1:11" ht="23.25" thickBot="1" x14ac:dyDescent="0.25">
      <c r="A3" s="29" t="s">
        <v>131</v>
      </c>
      <c r="B3" s="187" t="str">
        <f>'ANA SAYFA'!C118</f>
        <v>MUHASEBE MESLEK ELEMANI</v>
      </c>
      <c r="C3" s="1166"/>
      <c r="D3" s="1166"/>
      <c r="E3" s="1166"/>
      <c r="F3" s="1166"/>
      <c r="G3" s="1166"/>
      <c r="H3" s="1166"/>
      <c r="I3" s="82"/>
      <c r="J3" s="1185"/>
      <c r="K3" s="82"/>
    </row>
    <row r="4" spans="1:11" x14ac:dyDescent="0.2">
      <c r="A4" s="29" t="s">
        <v>120</v>
      </c>
      <c r="B4" s="136">
        <f>'ANA SAYFA'!E118</f>
        <v>45154</v>
      </c>
      <c r="C4" s="1166"/>
      <c r="D4" s="1166"/>
      <c r="E4" s="1166"/>
      <c r="F4" s="1166"/>
      <c r="G4" s="1166"/>
      <c r="H4" s="1166"/>
      <c r="I4" s="82"/>
      <c r="J4" s="82"/>
      <c r="K4" s="82"/>
    </row>
    <row r="5" spans="1:11" x14ac:dyDescent="0.2">
      <c r="A5" s="29" t="s">
        <v>130</v>
      </c>
      <c r="B5" s="218">
        <f>'ANA SAYFA'!F118</f>
        <v>33147</v>
      </c>
      <c r="C5" s="1166"/>
      <c r="D5" s="1166"/>
      <c r="E5" s="1166"/>
      <c r="F5" s="1166"/>
      <c r="G5" s="1166"/>
      <c r="H5" s="1166"/>
      <c r="I5" s="82"/>
      <c r="J5" s="653"/>
      <c r="K5" s="653"/>
    </row>
    <row r="6" spans="1:11" ht="31.5" x14ac:dyDescent="0.2">
      <c r="A6" s="69" t="s">
        <v>0</v>
      </c>
      <c r="B6" s="70" t="s">
        <v>1</v>
      </c>
      <c r="C6" s="69" t="s">
        <v>2</v>
      </c>
      <c r="D6" s="71" t="s">
        <v>133</v>
      </c>
      <c r="E6" s="71" t="s">
        <v>4</v>
      </c>
      <c r="F6" s="71" t="s">
        <v>7</v>
      </c>
      <c r="G6" s="71" t="s">
        <v>6</v>
      </c>
      <c r="H6" s="71" t="s">
        <v>3</v>
      </c>
      <c r="I6" s="82"/>
      <c r="J6" s="653"/>
      <c r="K6" s="653"/>
    </row>
    <row r="7" spans="1:11" ht="15" customHeight="1" x14ac:dyDescent="0.2">
      <c r="A7" s="139"/>
      <c r="B7" s="36">
        <v>45299</v>
      </c>
      <c r="C7" s="37">
        <v>45300</v>
      </c>
      <c r="D7" s="38">
        <v>0.33333333333333331</v>
      </c>
      <c r="E7" s="38">
        <v>0.33333333333333331</v>
      </c>
      <c r="F7" s="136" t="s">
        <v>630</v>
      </c>
      <c r="G7" s="106">
        <v>14</v>
      </c>
      <c r="H7" s="496">
        <v>1</v>
      </c>
      <c r="I7" s="82"/>
      <c r="J7" s="190"/>
      <c r="K7" s="190"/>
    </row>
    <row r="8" spans="1:11" ht="15" customHeight="1" x14ac:dyDescent="0.2">
      <c r="A8" s="139"/>
      <c r="B8" s="36" t="s">
        <v>508</v>
      </c>
      <c r="C8" s="37" t="s">
        <v>509</v>
      </c>
      <c r="D8" s="38">
        <v>0.33333333333333331</v>
      </c>
      <c r="E8" s="38">
        <v>0.33333333333333331</v>
      </c>
      <c r="F8" s="716" t="s">
        <v>824</v>
      </c>
      <c r="G8" s="106">
        <v>14</v>
      </c>
      <c r="H8" s="496">
        <v>2</v>
      </c>
      <c r="I8" s="82"/>
      <c r="J8" s="190"/>
      <c r="K8" s="190"/>
    </row>
    <row r="9" spans="1:11" ht="15" customHeight="1" x14ac:dyDescent="0.2">
      <c r="A9" s="146"/>
      <c r="B9" s="155">
        <v>45476</v>
      </c>
      <c r="C9" s="156">
        <v>45476</v>
      </c>
      <c r="D9" s="38">
        <v>0.33333333333333331</v>
      </c>
      <c r="E9" s="38">
        <v>0.33333333333333331</v>
      </c>
      <c r="F9" s="716" t="s">
        <v>1021</v>
      </c>
      <c r="G9" s="145">
        <v>14</v>
      </c>
      <c r="H9" s="861">
        <v>1</v>
      </c>
      <c r="I9" s="82"/>
      <c r="J9" s="148"/>
      <c r="K9" s="148"/>
    </row>
    <row r="10" spans="1:11" ht="15" customHeight="1" x14ac:dyDescent="0.2">
      <c r="A10" s="141"/>
      <c r="B10" s="155">
        <v>45502</v>
      </c>
      <c r="C10" s="158">
        <v>45509</v>
      </c>
      <c r="D10" s="38">
        <v>0.33333333333333331</v>
      </c>
      <c r="E10" s="38">
        <v>0.33333333333333331</v>
      </c>
      <c r="F10" s="145"/>
      <c r="G10" s="145"/>
      <c r="H10" s="861">
        <v>6</v>
      </c>
      <c r="I10" s="82"/>
      <c r="J10" s="82"/>
      <c r="K10" s="82"/>
    </row>
    <row r="11" spans="1:11" ht="15" customHeight="1" x14ac:dyDescent="0.2">
      <c r="A11" s="160"/>
      <c r="B11" s="155">
        <v>45594</v>
      </c>
      <c r="C11" s="158">
        <v>45595</v>
      </c>
      <c r="D11" s="38">
        <v>0.33333333333333331</v>
      </c>
      <c r="E11" s="38">
        <v>0.33333333333333331</v>
      </c>
      <c r="F11" s="145"/>
      <c r="G11" s="145"/>
      <c r="H11" s="862">
        <v>1</v>
      </c>
      <c r="I11" s="82"/>
      <c r="J11" s="190"/>
      <c r="K11" s="190"/>
    </row>
    <row r="12" spans="1:11" ht="15" customHeight="1" x14ac:dyDescent="0.2">
      <c r="A12" s="147"/>
      <c r="B12" s="155">
        <v>45689</v>
      </c>
      <c r="C12" s="158">
        <v>45690</v>
      </c>
      <c r="D12" s="38">
        <v>0.33333333333333331</v>
      </c>
      <c r="E12" s="38">
        <v>0.33333333333333331</v>
      </c>
      <c r="F12" s="145"/>
      <c r="G12" s="145"/>
      <c r="H12" s="863">
        <v>1</v>
      </c>
      <c r="I12" s="82"/>
      <c r="J12" s="148"/>
      <c r="K12" s="148"/>
    </row>
    <row r="13" spans="1:11" ht="15" customHeight="1" x14ac:dyDescent="0.2">
      <c r="A13" s="147"/>
      <c r="B13" s="155">
        <v>45749</v>
      </c>
      <c r="C13" s="158">
        <v>45751</v>
      </c>
      <c r="D13" s="38">
        <v>0.33333333333333331</v>
      </c>
      <c r="E13" s="38">
        <v>0.33333333333333331</v>
      </c>
      <c r="F13" s="145"/>
      <c r="G13" s="145"/>
      <c r="H13" s="863">
        <v>2</v>
      </c>
      <c r="I13" s="82"/>
      <c r="J13" s="82"/>
      <c r="K13" s="82"/>
    </row>
    <row r="14" spans="1:11" s="653" customFormat="1" ht="15" customHeight="1" x14ac:dyDescent="0.2">
      <c r="A14" s="725"/>
      <c r="B14" s="729">
        <v>45874</v>
      </c>
      <c r="C14" s="732">
        <v>45883</v>
      </c>
      <c r="D14" s="676">
        <v>0.33333333333333331</v>
      </c>
      <c r="E14" s="676">
        <v>0.33333333333333331</v>
      </c>
      <c r="F14" s="723"/>
      <c r="G14" s="723"/>
      <c r="H14" s="863">
        <v>6.5</v>
      </c>
      <c r="I14" s="699"/>
      <c r="J14" s="699"/>
      <c r="K14" s="699"/>
    </row>
    <row r="15" spans="1:11" s="653" customFormat="1" ht="15" customHeight="1" x14ac:dyDescent="0.2">
      <c r="A15" s="725"/>
      <c r="B15" s="729">
        <v>45968</v>
      </c>
      <c r="C15" s="732">
        <v>45969</v>
      </c>
      <c r="D15" s="676">
        <v>0.33333333333333331</v>
      </c>
      <c r="E15" s="676">
        <v>0.33333333333333331</v>
      </c>
      <c r="F15" s="723"/>
      <c r="G15" s="723"/>
      <c r="H15" s="863">
        <v>1</v>
      </c>
      <c r="I15" s="699"/>
      <c r="J15" s="699"/>
      <c r="K15" s="699"/>
    </row>
    <row r="16" spans="1:11" s="653" customFormat="1" ht="15" customHeight="1" x14ac:dyDescent="0.2">
      <c r="A16" s="725"/>
      <c r="B16" s="729">
        <v>46017</v>
      </c>
      <c r="C16" s="732">
        <v>46020</v>
      </c>
      <c r="D16" s="676"/>
      <c r="E16" s="676"/>
      <c r="F16" s="723"/>
      <c r="G16" s="723"/>
      <c r="H16" s="863">
        <v>1</v>
      </c>
      <c r="I16" s="699"/>
      <c r="J16" s="699"/>
      <c r="K16" s="699"/>
    </row>
    <row r="17" spans="1:11" s="653" customFormat="1" ht="15" customHeight="1" x14ac:dyDescent="0.2">
      <c r="A17" s="725"/>
      <c r="B17" s="729">
        <v>46041</v>
      </c>
      <c r="C17" s="732">
        <v>46042</v>
      </c>
      <c r="D17" s="676"/>
      <c r="E17" s="676"/>
      <c r="F17" s="723"/>
      <c r="G17" s="723"/>
      <c r="H17" s="863">
        <v>1</v>
      </c>
      <c r="I17" s="699"/>
      <c r="J17" s="699"/>
      <c r="K17" s="699"/>
    </row>
    <row r="18" spans="1:11" s="653" customFormat="1" ht="15" customHeight="1" x14ac:dyDescent="0.2">
      <c r="A18" s="725"/>
      <c r="B18" s="729">
        <v>46090</v>
      </c>
      <c r="C18" s="732">
        <v>46091</v>
      </c>
      <c r="D18" s="676"/>
      <c r="E18" s="676"/>
      <c r="F18" s="723"/>
      <c r="G18" s="723"/>
      <c r="H18" s="863">
        <v>1</v>
      </c>
      <c r="I18" s="699"/>
      <c r="J18" s="699"/>
      <c r="K18" s="699"/>
    </row>
    <row r="19" spans="1:11" s="653" customFormat="1" ht="15" customHeight="1" x14ac:dyDescent="0.2">
      <c r="A19" s="725"/>
      <c r="B19" s="729">
        <v>46104</v>
      </c>
      <c r="C19" s="732">
        <v>46106</v>
      </c>
      <c r="D19" s="676"/>
      <c r="E19" s="676"/>
      <c r="F19" s="723"/>
      <c r="G19" s="723"/>
      <c r="H19" s="863">
        <v>2</v>
      </c>
      <c r="I19" s="699"/>
      <c r="J19" s="699"/>
      <c r="K19" s="699"/>
    </row>
    <row r="20" spans="1:11" s="653" customFormat="1" ht="15" customHeight="1" x14ac:dyDescent="0.2">
      <c r="A20" s="725"/>
      <c r="B20" s="729">
        <v>46119</v>
      </c>
      <c r="C20" s="732">
        <v>46120</v>
      </c>
      <c r="D20" s="676"/>
      <c r="E20" s="676"/>
      <c r="F20" s="723"/>
      <c r="G20" s="723"/>
      <c r="H20" s="863">
        <v>1</v>
      </c>
      <c r="I20" s="699"/>
      <c r="J20" s="699"/>
      <c r="K20" s="699"/>
    </row>
    <row r="21" spans="1:11" s="653" customFormat="1" ht="15" customHeight="1" x14ac:dyDescent="0.2">
      <c r="A21" s="725"/>
      <c r="B21" s="729"/>
      <c r="C21" s="732"/>
      <c r="D21" s="676"/>
      <c r="E21" s="676"/>
      <c r="F21" s="723"/>
      <c r="G21" s="723"/>
      <c r="H21" s="863"/>
      <c r="I21" s="699"/>
      <c r="J21" s="699"/>
      <c r="K21" s="699"/>
    </row>
    <row r="22" spans="1:11" s="653" customFormat="1" ht="15" customHeight="1" x14ac:dyDescent="0.2">
      <c r="A22" s="725"/>
      <c r="B22" s="729"/>
      <c r="C22" s="732"/>
      <c r="D22" s="676"/>
      <c r="E22" s="676"/>
      <c r="F22" s="723"/>
      <c r="G22" s="723"/>
      <c r="H22" s="863"/>
      <c r="I22" s="699"/>
      <c r="J22" s="699"/>
      <c r="K22" s="699"/>
    </row>
    <row r="23" spans="1:11" s="653" customFormat="1" ht="15" customHeight="1" x14ac:dyDescent="0.2">
      <c r="A23" s="725"/>
      <c r="B23" s="729"/>
      <c r="C23" s="732"/>
      <c r="D23" s="676"/>
      <c r="E23" s="676"/>
      <c r="F23" s="723"/>
      <c r="G23" s="723"/>
      <c r="H23" s="863"/>
      <c r="I23" s="699"/>
      <c r="J23" s="699"/>
      <c r="K23" s="699"/>
    </row>
    <row r="24" spans="1:11" s="653" customFormat="1" ht="15" customHeight="1" x14ac:dyDescent="0.2">
      <c r="A24" s="725"/>
      <c r="B24" s="729"/>
      <c r="C24" s="732"/>
      <c r="D24" s="676"/>
      <c r="E24" s="676"/>
      <c r="F24" s="723"/>
      <c r="G24" s="723"/>
      <c r="H24" s="863"/>
      <c r="I24" s="699"/>
      <c r="J24" s="699"/>
      <c r="K24" s="699"/>
    </row>
    <row r="25" spans="1:11" s="653" customFormat="1" ht="15" customHeight="1" x14ac:dyDescent="0.2">
      <c r="A25" s="725"/>
      <c r="B25" s="729"/>
      <c r="C25" s="732"/>
      <c r="D25" s="676"/>
      <c r="E25" s="676"/>
      <c r="F25" s="723"/>
      <c r="G25" s="723"/>
      <c r="H25" s="863"/>
      <c r="I25" s="699"/>
      <c r="J25" s="699"/>
      <c r="K25" s="699"/>
    </row>
    <row r="26" spans="1:11" s="653" customFormat="1" ht="15" customHeight="1" x14ac:dyDescent="0.2">
      <c r="A26" s="725"/>
      <c r="B26" s="729"/>
      <c r="C26" s="732"/>
      <c r="D26" s="676"/>
      <c r="E26" s="676"/>
      <c r="F26" s="723"/>
      <c r="G26" s="723"/>
      <c r="H26" s="863"/>
      <c r="I26" s="699"/>
      <c r="J26" s="699"/>
      <c r="K26" s="699"/>
    </row>
    <row r="27" spans="1:11" s="653" customFormat="1" ht="15" customHeight="1" x14ac:dyDescent="0.2">
      <c r="A27" s="725"/>
      <c r="B27" s="729"/>
      <c r="C27" s="732"/>
      <c r="D27" s="676"/>
      <c r="E27" s="676"/>
      <c r="F27" s="723"/>
      <c r="G27" s="723"/>
      <c r="H27" s="863"/>
      <c r="I27" s="699"/>
      <c r="J27" s="699"/>
      <c r="K27" s="699"/>
    </row>
    <row r="28" spans="1:11" s="653" customFormat="1" ht="15" customHeight="1" x14ac:dyDescent="0.2">
      <c r="A28" s="725"/>
      <c r="B28" s="729"/>
      <c r="C28" s="732"/>
      <c r="D28" s="676"/>
      <c r="E28" s="676"/>
      <c r="F28" s="723"/>
      <c r="G28" s="723"/>
      <c r="H28" s="863"/>
      <c r="I28" s="699"/>
      <c r="J28" s="699"/>
      <c r="K28" s="699"/>
    </row>
    <row r="29" spans="1:11" s="653" customFormat="1" ht="15" customHeight="1" x14ac:dyDescent="0.2">
      <c r="A29" s="725"/>
      <c r="B29" s="729"/>
      <c r="C29" s="732"/>
      <c r="D29" s="676"/>
      <c r="E29" s="676"/>
      <c r="F29" s="723"/>
      <c r="G29" s="723"/>
      <c r="H29" s="863"/>
      <c r="I29" s="699"/>
      <c r="J29" s="699"/>
      <c r="K29" s="699"/>
    </row>
    <row r="30" spans="1:11" s="653" customFormat="1" ht="15" customHeight="1" x14ac:dyDescent="0.2">
      <c r="A30" s="725"/>
      <c r="B30" s="729"/>
      <c r="C30" s="732"/>
      <c r="D30" s="676"/>
      <c r="E30" s="676"/>
      <c r="F30" s="723"/>
      <c r="G30" s="723"/>
      <c r="H30" s="863"/>
      <c r="I30" s="699"/>
      <c r="J30" s="699"/>
      <c r="K30" s="699"/>
    </row>
    <row r="31" spans="1:11" s="653" customFormat="1" ht="15" customHeight="1" x14ac:dyDescent="0.2">
      <c r="A31" s="725"/>
      <c r="B31" s="729"/>
      <c r="C31" s="732"/>
      <c r="D31" s="676"/>
      <c r="E31" s="676"/>
      <c r="F31" s="723"/>
      <c r="G31" s="723"/>
      <c r="H31" s="863"/>
      <c r="I31" s="699"/>
      <c r="J31" s="699"/>
      <c r="K31" s="699"/>
    </row>
    <row r="32" spans="1:11" ht="15" customHeight="1" x14ac:dyDescent="0.2">
      <c r="A32" s="147"/>
      <c r="B32" s="142"/>
      <c r="C32" s="143"/>
      <c r="D32" s="144"/>
      <c r="E32" s="144"/>
      <c r="F32" s="140"/>
      <c r="G32" s="145"/>
      <c r="H32" s="863"/>
      <c r="I32" s="82"/>
      <c r="J32" s="82"/>
      <c r="K32" s="82"/>
    </row>
    <row r="33" spans="1:11" ht="15" customHeight="1" x14ac:dyDescent="0.2">
      <c r="A33" s="147"/>
      <c r="B33" s="142"/>
      <c r="C33" s="143"/>
      <c r="D33" s="144"/>
      <c r="E33" s="144"/>
      <c r="F33" s="140"/>
      <c r="G33" s="145"/>
      <c r="H33" s="863"/>
      <c r="I33" s="82"/>
      <c r="J33" s="82"/>
      <c r="K33" s="82"/>
    </row>
    <row r="34" spans="1:11" ht="15" customHeight="1" x14ac:dyDescent="0.2">
      <c r="A34" s="147"/>
      <c r="B34" s="142"/>
      <c r="C34" s="143"/>
      <c r="D34" s="144"/>
      <c r="E34" s="144"/>
      <c r="F34" s="140"/>
      <c r="G34" s="145"/>
      <c r="H34" s="863"/>
      <c r="I34" s="82"/>
      <c r="J34" s="82"/>
      <c r="K34" s="82"/>
    </row>
    <row r="35" spans="1:11" ht="15" customHeight="1" x14ac:dyDescent="0.2">
      <c r="A35" s="147"/>
      <c r="B35" s="142"/>
      <c r="C35" s="143"/>
      <c r="D35" s="144"/>
      <c r="E35" s="144"/>
      <c r="F35" s="140"/>
      <c r="G35" s="145"/>
      <c r="H35" s="863"/>
      <c r="I35" s="82"/>
      <c r="J35" s="82"/>
      <c r="K35" s="82"/>
    </row>
    <row r="36" spans="1:11" ht="15" customHeight="1" x14ac:dyDescent="0.2">
      <c r="A36" s="147"/>
      <c r="B36" s="142"/>
      <c r="C36" s="143"/>
      <c r="D36" s="144"/>
      <c r="E36" s="144"/>
      <c r="F36" s="140"/>
      <c r="G36" s="145"/>
      <c r="H36" s="863"/>
      <c r="I36" s="82"/>
      <c r="J36" s="82"/>
      <c r="K36" s="82"/>
    </row>
    <row r="37" spans="1:11" ht="15" customHeight="1" x14ac:dyDescent="0.2">
      <c r="A37" s="147"/>
      <c r="B37" s="142"/>
      <c r="C37" s="143"/>
      <c r="D37" s="144"/>
      <c r="E37" s="144"/>
      <c r="F37" s="140"/>
      <c r="G37" s="145"/>
      <c r="H37" s="863"/>
      <c r="I37" s="82"/>
      <c r="J37" s="82"/>
      <c r="K37" s="82"/>
    </row>
    <row r="38" spans="1:11" ht="15" customHeight="1" x14ac:dyDescent="0.2">
      <c r="A38" s="147"/>
      <c r="B38" s="142"/>
      <c r="C38" s="143"/>
      <c r="D38" s="144"/>
      <c r="E38" s="144"/>
      <c r="F38" s="48"/>
      <c r="G38" s="66"/>
      <c r="H38" s="863"/>
      <c r="I38" s="82"/>
      <c r="J38" s="82"/>
      <c r="K38" s="82"/>
    </row>
    <row r="39" spans="1:11" ht="15" customHeight="1" x14ac:dyDescent="0.2">
      <c r="A39" s="147"/>
      <c r="B39" s="142"/>
      <c r="C39" s="143"/>
      <c r="D39" s="144"/>
      <c r="E39" s="144"/>
      <c r="F39" s="48"/>
      <c r="G39" s="66"/>
      <c r="H39" s="864"/>
      <c r="I39" s="82"/>
      <c r="J39" s="82"/>
      <c r="K39" s="82"/>
    </row>
    <row r="40" spans="1:11" ht="15" customHeight="1" x14ac:dyDescent="0.2">
      <c r="A40" s="147"/>
      <c r="B40" s="142"/>
      <c r="C40" s="143"/>
      <c r="D40" s="144"/>
      <c r="E40" s="144"/>
      <c r="F40" s="48"/>
      <c r="G40" s="66"/>
      <c r="H40" s="864"/>
      <c r="I40" s="82"/>
      <c r="J40" s="82"/>
      <c r="K40" s="82"/>
    </row>
    <row r="41" spans="1:11" ht="18.75" customHeight="1" x14ac:dyDescent="0.2">
      <c r="A41" s="82"/>
      <c r="B41" s="82"/>
      <c r="C41" s="82"/>
      <c r="D41" s="82"/>
      <c r="E41" s="82"/>
      <c r="F41" s="772" t="s">
        <v>123</v>
      </c>
      <c r="G41" s="772">
        <f>SUM(G7:G40)</f>
        <v>42</v>
      </c>
      <c r="H41" s="865">
        <f>SUM(H7:H40)</f>
        <v>27.5</v>
      </c>
      <c r="I41" s="82"/>
      <c r="J41" s="82"/>
      <c r="K41" s="82"/>
    </row>
    <row r="42" spans="1:11" x14ac:dyDescent="0.2">
      <c r="A42" s="82"/>
      <c r="B42" s="82"/>
      <c r="C42" s="82"/>
      <c r="D42" s="82"/>
      <c r="E42" s="82"/>
      <c r="F42" s="671"/>
      <c r="G42" s="714"/>
      <c r="H42" s="714"/>
      <c r="I42" s="82"/>
      <c r="J42" s="82"/>
      <c r="K42" s="82"/>
    </row>
    <row r="43" spans="1:11" ht="18" customHeight="1" x14ac:dyDescent="0.2">
      <c r="A43" s="82"/>
      <c r="B43" s="82"/>
      <c r="C43" s="82"/>
      <c r="D43" s="82"/>
      <c r="E43" s="82"/>
      <c r="F43" s="1215" t="s">
        <v>8</v>
      </c>
      <c r="G43" s="1216"/>
      <c r="H43" s="797">
        <f>G41-H41</f>
        <v>14.5</v>
      </c>
      <c r="I43" s="82"/>
      <c r="J43" s="82"/>
      <c r="K43" s="82"/>
    </row>
  </sheetData>
  <mergeCells count="3">
    <mergeCell ref="F43:G43"/>
    <mergeCell ref="J1:J3"/>
    <mergeCell ref="C1:H5"/>
  </mergeCells>
  <phoneticPr fontId="91" type="noConversion"/>
  <hyperlinks>
    <hyperlink ref="J1:J3" location="'ANA SAYFA'!A1" display="ANA SAYFA"/>
  </hyperlinks>
  <pageMargins left="0.7" right="0.12" top="0.28999999999999998" bottom="0.31" header="0.3" footer="0.3"/>
  <pageSetup paperSize="9" scale="67" orientation="portrait" r:id="rId1"/>
  <colBreaks count="1" manualBreakCount="1">
    <brk id="8" max="1048575" man="1"/>
  </colBreaks>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9"/>
  <sheetViews>
    <sheetView zoomScaleNormal="100" workbookViewId="0">
      <selection activeCell="J1" sqref="J1:J3"/>
    </sheetView>
  </sheetViews>
  <sheetFormatPr defaultRowHeight="12.75" x14ac:dyDescent="0.2"/>
  <cols>
    <col min="1" max="1" width="21.85546875" customWidth="1"/>
    <col min="2" max="3" width="28.28515625" bestFit="1" customWidth="1"/>
    <col min="6" max="6" width="20.140625" customWidth="1"/>
    <col min="7" max="7" width="14.42578125" customWidth="1"/>
    <col min="8" max="8" width="13.28515625" customWidth="1"/>
    <col min="9" max="9" width="4.7109375" customWidth="1"/>
    <col min="10" max="10" width="10.7109375" customWidth="1"/>
  </cols>
  <sheetData>
    <row r="1" spans="1:11" x14ac:dyDescent="0.2">
      <c r="A1" s="29" t="s">
        <v>135</v>
      </c>
      <c r="B1" s="187" t="str">
        <f>'ANA SAYFA'!B119</f>
        <v>RIDVAN ÖZAY</v>
      </c>
      <c r="C1" s="1166" t="s">
        <v>136</v>
      </c>
      <c r="D1" s="1166"/>
      <c r="E1" s="1166"/>
      <c r="F1" s="1166"/>
      <c r="G1" s="1166"/>
      <c r="H1" s="1166"/>
      <c r="I1" s="82"/>
      <c r="J1" s="1183" t="s">
        <v>712</v>
      </c>
      <c r="K1" s="82"/>
    </row>
    <row r="2" spans="1:11" x14ac:dyDescent="0.2">
      <c r="A2" s="29" t="s">
        <v>137</v>
      </c>
      <c r="B2" s="186">
        <f>'ANA SAYFA'!D119</f>
        <v>41983167380</v>
      </c>
      <c r="C2" s="1166"/>
      <c r="D2" s="1166"/>
      <c r="E2" s="1166"/>
      <c r="F2" s="1166"/>
      <c r="G2" s="1166"/>
      <c r="H2" s="1166"/>
      <c r="I2" s="82"/>
      <c r="J2" s="1184"/>
      <c r="K2" s="82"/>
    </row>
    <row r="3" spans="1:11" ht="13.5" thickBot="1" x14ac:dyDescent="0.25">
      <c r="A3" s="29" t="s">
        <v>131</v>
      </c>
      <c r="B3" s="187" t="str">
        <f>'ANA SAYFA'!C119</f>
        <v>İnşaat Mühendisi</v>
      </c>
      <c r="C3" s="1166"/>
      <c r="D3" s="1166"/>
      <c r="E3" s="1166"/>
      <c r="F3" s="1166"/>
      <c r="G3" s="1166"/>
      <c r="H3" s="1166"/>
      <c r="I3" s="82"/>
      <c r="J3" s="1185"/>
      <c r="K3" s="82"/>
    </row>
    <row r="4" spans="1:11" x14ac:dyDescent="0.2">
      <c r="A4" s="29" t="s">
        <v>120</v>
      </c>
      <c r="B4" s="136">
        <f>'ANA SAYFA'!E119</f>
        <v>45597</v>
      </c>
      <c r="C4" s="1166"/>
      <c r="D4" s="1166"/>
      <c r="E4" s="1166"/>
      <c r="F4" s="1166"/>
      <c r="G4" s="1166"/>
      <c r="H4" s="1166"/>
      <c r="I4" s="82"/>
      <c r="J4" s="82"/>
      <c r="K4" s="82"/>
    </row>
    <row r="5" spans="1:11" x14ac:dyDescent="0.2">
      <c r="A5" s="29" t="s">
        <v>130</v>
      </c>
      <c r="B5" s="218">
        <f>'ANA SAYFA'!F119</f>
        <v>32139</v>
      </c>
      <c r="C5" s="1166"/>
      <c r="D5" s="1166"/>
      <c r="E5" s="1166"/>
      <c r="F5" s="1166"/>
      <c r="G5" s="1166"/>
      <c r="H5" s="1166"/>
      <c r="I5" s="82"/>
      <c r="J5" s="653"/>
      <c r="K5" s="653"/>
    </row>
    <row r="6" spans="1:11" ht="42.75" customHeight="1" x14ac:dyDescent="0.2">
      <c r="A6" s="69" t="s">
        <v>0</v>
      </c>
      <c r="B6" s="70" t="s">
        <v>1</v>
      </c>
      <c r="C6" s="69" t="s">
        <v>2</v>
      </c>
      <c r="D6" s="71" t="s">
        <v>133</v>
      </c>
      <c r="E6" s="71" t="s">
        <v>4</v>
      </c>
      <c r="F6" s="71" t="s">
        <v>7</v>
      </c>
      <c r="G6" s="71" t="s">
        <v>6</v>
      </c>
      <c r="H6" s="71" t="s">
        <v>3</v>
      </c>
      <c r="I6" s="82"/>
      <c r="J6" s="653"/>
      <c r="K6" s="653"/>
    </row>
    <row r="7" spans="1:11" x14ac:dyDescent="0.2">
      <c r="A7" s="139"/>
      <c r="B7" s="516">
        <v>45869</v>
      </c>
      <c r="C7" s="37">
        <v>45882</v>
      </c>
      <c r="D7" s="38">
        <v>0.33333333333333331</v>
      </c>
      <c r="E7" s="38">
        <v>0.33333333333333331</v>
      </c>
      <c r="F7" s="136"/>
      <c r="G7" s="106"/>
      <c r="H7" s="223">
        <v>11</v>
      </c>
      <c r="I7" s="82"/>
      <c r="J7" s="190"/>
      <c r="K7" s="190"/>
    </row>
    <row r="8" spans="1:11" x14ac:dyDescent="0.2">
      <c r="A8" s="139"/>
      <c r="B8" s="459">
        <v>46203</v>
      </c>
      <c r="C8" s="37">
        <v>46204</v>
      </c>
      <c r="D8" s="38"/>
      <c r="E8" s="38"/>
      <c r="F8" s="136"/>
      <c r="G8" s="106"/>
      <c r="H8" s="223">
        <v>1</v>
      </c>
      <c r="I8" s="82"/>
      <c r="J8" s="190"/>
      <c r="K8" s="190"/>
    </row>
    <row r="9" spans="1:11" x14ac:dyDescent="0.2">
      <c r="A9" s="146"/>
      <c r="B9" s="461"/>
      <c r="C9" s="461"/>
      <c r="D9" s="38"/>
      <c r="E9" s="38"/>
      <c r="F9" s="191"/>
      <c r="G9" s="145"/>
      <c r="H9" s="192"/>
      <c r="I9" s="82"/>
      <c r="J9" s="148"/>
      <c r="K9" s="148"/>
    </row>
    <row r="10" spans="1:11" x14ac:dyDescent="0.2">
      <c r="A10" s="141"/>
      <c r="B10" s="155"/>
      <c r="C10" s="155"/>
      <c r="D10" s="159"/>
      <c r="E10" s="159"/>
      <c r="F10" s="145"/>
      <c r="G10" s="145"/>
      <c r="H10" s="192"/>
      <c r="I10" s="82"/>
      <c r="J10" s="82"/>
      <c r="K10" s="82"/>
    </row>
    <row r="11" spans="1:11" s="653" customFormat="1" x14ac:dyDescent="0.2">
      <c r="A11" s="719"/>
      <c r="B11" s="729"/>
      <c r="C11" s="729"/>
      <c r="D11" s="733"/>
      <c r="E11" s="733"/>
      <c r="F11" s="723"/>
      <c r="G11" s="723"/>
      <c r="H11" s="749"/>
      <c r="I11" s="699"/>
      <c r="J11" s="699"/>
      <c r="K11" s="699"/>
    </row>
    <row r="12" spans="1:11" x14ac:dyDescent="0.2">
      <c r="A12" s="147"/>
      <c r="B12" s="142"/>
      <c r="C12" s="143"/>
      <c r="D12" s="168"/>
      <c r="E12" s="168"/>
      <c r="F12" s="145"/>
      <c r="G12" s="145"/>
      <c r="H12" s="145"/>
      <c r="I12" s="82"/>
      <c r="J12" s="148"/>
      <c r="K12" s="148"/>
    </row>
    <row r="13" spans="1:11" s="653" customFormat="1" x14ac:dyDescent="0.2">
      <c r="A13" s="725"/>
      <c r="B13" s="720"/>
      <c r="C13" s="721"/>
      <c r="D13" s="735"/>
      <c r="E13" s="735"/>
      <c r="F13" s="723"/>
      <c r="G13" s="723"/>
      <c r="H13" s="723"/>
      <c r="I13" s="699"/>
      <c r="J13" s="726"/>
      <c r="K13" s="726"/>
    </row>
    <row r="14" spans="1:11" s="653" customFormat="1" x14ac:dyDescent="0.2">
      <c r="A14" s="725"/>
      <c r="B14" s="720"/>
      <c r="C14" s="721"/>
      <c r="D14" s="735"/>
      <c r="E14" s="735"/>
      <c r="F14" s="723"/>
      <c r="G14" s="723"/>
      <c r="H14" s="723"/>
      <c r="I14" s="699"/>
      <c r="J14" s="726"/>
      <c r="K14" s="726"/>
    </row>
    <row r="15" spans="1:11" s="653" customFormat="1" x14ac:dyDescent="0.2">
      <c r="A15" s="725"/>
      <c r="B15" s="720"/>
      <c r="C15" s="721"/>
      <c r="D15" s="735"/>
      <c r="E15" s="735"/>
      <c r="F15" s="723"/>
      <c r="G15" s="723"/>
      <c r="H15" s="723"/>
      <c r="I15" s="699"/>
      <c r="J15" s="726"/>
      <c r="K15" s="726"/>
    </row>
    <row r="16" spans="1:11" s="653" customFormat="1" x14ac:dyDescent="0.2">
      <c r="A16" s="725"/>
      <c r="B16" s="720"/>
      <c r="C16" s="721"/>
      <c r="D16" s="735"/>
      <c r="E16" s="735"/>
      <c r="F16" s="723"/>
      <c r="G16" s="723"/>
      <c r="H16" s="723"/>
      <c r="I16" s="699"/>
      <c r="J16" s="726"/>
      <c r="K16" s="726"/>
    </row>
    <row r="17" spans="1:11" s="653" customFormat="1" x14ac:dyDescent="0.2">
      <c r="A17" s="725"/>
      <c r="B17" s="720"/>
      <c r="C17" s="721"/>
      <c r="D17" s="735"/>
      <c r="E17" s="735"/>
      <c r="F17" s="723"/>
      <c r="G17" s="723"/>
      <c r="H17" s="723"/>
      <c r="I17" s="699"/>
      <c r="J17" s="726"/>
      <c r="K17" s="726"/>
    </row>
    <row r="18" spans="1:11" s="653" customFormat="1" x14ac:dyDescent="0.2">
      <c r="A18" s="725"/>
      <c r="B18" s="720"/>
      <c r="C18" s="721"/>
      <c r="D18" s="735"/>
      <c r="E18" s="735"/>
      <c r="F18" s="723"/>
      <c r="G18" s="723"/>
      <c r="H18" s="723"/>
      <c r="I18" s="699"/>
      <c r="J18" s="726"/>
      <c r="K18" s="726"/>
    </row>
    <row r="19" spans="1:11" s="653" customFormat="1" x14ac:dyDescent="0.2">
      <c r="A19" s="725"/>
      <c r="B19" s="720"/>
      <c r="C19" s="721"/>
      <c r="D19" s="735"/>
      <c r="E19" s="735"/>
      <c r="F19" s="723"/>
      <c r="G19" s="723"/>
      <c r="H19" s="723"/>
      <c r="I19" s="699"/>
      <c r="J19" s="726"/>
      <c r="K19" s="726"/>
    </row>
    <row r="20" spans="1:11" s="653" customFormat="1" x14ac:dyDescent="0.2">
      <c r="A20" s="725"/>
      <c r="B20" s="720"/>
      <c r="C20" s="721"/>
      <c r="D20" s="735"/>
      <c r="E20" s="735"/>
      <c r="F20" s="723"/>
      <c r="G20" s="723"/>
      <c r="H20" s="723"/>
      <c r="I20" s="699"/>
      <c r="J20" s="726"/>
      <c r="K20" s="726"/>
    </row>
    <row r="21" spans="1:11" s="653" customFormat="1" x14ac:dyDescent="0.2">
      <c r="A21" s="725"/>
      <c r="B21" s="720"/>
      <c r="C21" s="721"/>
      <c r="D21" s="735"/>
      <c r="E21" s="735"/>
      <c r="F21" s="723"/>
      <c r="G21" s="723"/>
      <c r="H21" s="723"/>
      <c r="I21" s="699"/>
      <c r="J21" s="726"/>
      <c r="K21" s="726"/>
    </row>
    <row r="22" spans="1:11" s="653" customFormat="1" x14ac:dyDescent="0.2">
      <c r="A22" s="725"/>
      <c r="B22" s="720"/>
      <c r="C22" s="721"/>
      <c r="D22" s="735"/>
      <c r="E22" s="735"/>
      <c r="F22" s="723"/>
      <c r="G22" s="723"/>
      <c r="H22" s="723"/>
      <c r="I22" s="699"/>
      <c r="J22" s="726"/>
      <c r="K22" s="726"/>
    </row>
    <row r="23" spans="1:11" s="653" customFormat="1" x14ac:dyDescent="0.2">
      <c r="A23" s="725"/>
      <c r="B23" s="720"/>
      <c r="C23" s="721"/>
      <c r="D23" s="735"/>
      <c r="E23" s="735"/>
      <c r="F23" s="723"/>
      <c r="G23" s="723"/>
      <c r="H23" s="723"/>
      <c r="I23" s="699"/>
      <c r="J23" s="726"/>
      <c r="K23" s="726"/>
    </row>
    <row r="24" spans="1:11" s="653" customFormat="1" x14ac:dyDescent="0.2">
      <c r="A24" s="725"/>
      <c r="B24" s="720"/>
      <c r="C24" s="721"/>
      <c r="D24" s="735"/>
      <c r="E24" s="735"/>
      <c r="F24" s="723"/>
      <c r="G24" s="723"/>
      <c r="H24" s="723"/>
      <c r="I24" s="699"/>
      <c r="J24" s="726"/>
      <c r="K24" s="726"/>
    </row>
    <row r="25" spans="1:11" s="653" customFormat="1" x14ac:dyDescent="0.2">
      <c r="A25" s="725"/>
      <c r="B25" s="720"/>
      <c r="C25" s="721"/>
      <c r="D25" s="735"/>
      <c r="E25" s="735"/>
      <c r="F25" s="723"/>
      <c r="G25" s="723"/>
      <c r="H25" s="723"/>
      <c r="I25" s="699"/>
      <c r="J25" s="726"/>
      <c r="K25" s="726"/>
    </row>
    <row r="26" spans="1:11" s="653" customFormat="1" x14ac:dyDescent="0.2">
      <c r="A26" s="725"/>
      <c r="B26" s="720"/>
      <c r="C26" s="721"/>
      <c r="D26" s="735"/>
      <c r="E26" s="735"/>
      <c r="F26" s="723"/>
      <c r="G26" s="723"/>
      <c r="H26" s="723"/>
      <c r="I26" s="699"/>
      <c r="J26" s="726"/>
      <c r="K26" s="726"/>
    </row>
    <row r="27" spans="1:11" x14ac:dyDescent="0.2">
      <c r="A27" s="147"/>
      <c r="B27" s="142"/>
      <c r="C27" s="143"/>
      <c r="D27" s="168"/>
      <c r="E27" s="168"/>
      <c r="F27" s="145"/>
      <c r="G27" s="145"/>
      <c r="H27" s="145"/>
      <c r="I27" s="82"/>
      <c r="J27" s="82"/>
      <c r="K27" s="82"/>
    </row>
    <row r="28" spans="1:11" x14ac:dyDescent="0.2">
      <c r="A28" s="147"/>
      <c r="B28" s="142"/>
      <c r="C28" s="143"/>
      <c r="D28" s="144"/>
      <c r="E28" s="144"/>
      <c r="F28" s="140"/>
      <c r="G28" s="145"/>
      <c r="H28" s="145"/>
      <c r="I28" s="82"/>
      <c r="J28" s="82"/>
      <c r="K28" s="82"/>
    </row>
    <row r="29" spans="1:11" x14ac:dyDescent="0.2">
      <c r="A29" s="147"/>
      <c r="B29" s="142"/>
      <c r="C29" s="143"/>
      <c r="D29" s="144"/>
      <c r="E29" s="144"/>
      <c r="F29" s="140"/>
      <c r="G29" s="145"/>
      <c r="H29" s="145"/>
      <c r="I29" s="82"/>
      <c r="J29" s="82"/>
      <c r="K29" s="82"/>
    </row>
    <row r="30" spans="1:11" x14ac:dyDescent="0.2">
      <c r="A30" s="147"/>
      <c r="B30" s="142"/>
      <c r="C30" s="143"/>
      <c r="D30" s="144"/>
      <c r="E30" s="144"/>
      <c r="F30" s="140"/>
      <c r="G30" s="145"/>
      <c r="H30" s="145"/>
      <c r="I30" s="82"/>
      <c r="J30" s="82"/>
      <c r="K30" s="82"/>
    </row>
    <row r="31" spans="1:11" x14ac:dyDescent="0.2">
      <c r="A31" s="147"/>
      <c r="B31" s="142"/>
      <c r="C31" s="143"/>
      <c r="D31" s="144"/>
      <c r="E31" s="144"/>
      <c r="F31" s="140"/>
      <c r="G31" s="145"/>
      <c r="H31" s="145"/>
      <c r="I31" s="82"/>
      <c r="J31" s="82"/>
      <c r="K31" s="82"/>
    </row>
    <row r="32" spans="1:11" x14ac:dyDescent="0.2">
      <c r="A32" s="147"/>
      <c r="B32" s="142"/>
      <c r="C32" s="143"/>
      <c r="D32" s="144"/>
      <c r="E32" s="144"/>
      <c r="F32" s="140"/>
      <c r="G32" s="145"/>
      <c r="H32" s="145"/>
      <c r="I32" s="82"/>
      <c r="J32" s="82"/>
      <c r="K32" s="82"/>
    </row>
    <row r="33" spans="1:11" x14ac:dyDescent="0.2">
      <c r="A33" s="147"/>
      <c r="B33" s="142"/>
      <c r="C33" s="143"/>
      <c r="D33" s="144"/>
      <c r="E33" s="144"/>
      <c r="F33" s="140"/>
      <c r="G33" s="145"/>
      <c r="H33" s="145"/>
      <c r="I33" s="82"/>
      <c r="J33" s="82"/>
      <c r="K33" s="82"/>
    </row>
    <row r="34" spans="1:11" x14ac:dyDescent="0.2">
      <c r="A34" s="147"/>
      <c r="B34" s="142"/>
      <c r="C34" s="143"/>
      <c r="D34" s="144"/>
      <c r="E34" s="144"/>
      <c r="F34" s="48"/>
      <c r="G34" s="66"/>
      <c r="H34" s="145"/>
      <c r="I34" s="82"/>
      <c r="J34" s="82"/>
      <c r="K34" s="82"/>
    </row>
    <row r="35" spans="1:11" x14ac:dyDescent="0.2">
      <c r="A35" s="147"/>
      <c r="B35" s="142"/>
      <c r="C35" s="143"/>
      <c r="D35" s="144"/>
      <c r="E35" s="144"/>
      <c r="F35" s="48"/>
      <c r="G35" s="66"/>
      <c r="H35" s="66"/>
      <c r="I35" s="82"/>
      <c r="J35" s="82"/>
      <c r="K35" s="82"/>
    </row>
    <row r="36" spans="1:11" x14ac:dyDescent="0.2">
      <c r="A36" s="147"/>
      <c r="B36" s="142"/>
      <c r="C36" s="143"/>
      <c r="D36" s="144"/>
      <c r="E36" s="144"/>
      <c r="F36" s="48"/>
      <c r="G36" s="66"/>
      <c r="H36" s="66"/>
      <c r="I36" s="82"/>
      <c r="J36" s="82"/>
      <c r="K36" s="82"/>
    </row>
    <row r="37" spans="1:11" x14ac:dyDescent="0.2">
      <c r="A37" s="82"/>
      <c r="B37" s="82"/>
      <c r="C37" s="82"/>
      <c r="D37" s="82"/>
      <c r="E37" s="82"/>
      <c r="F37" s="460" t="s">
        <v>123</v>
      </c>
      <c r="G37" s="460">
        <f>SUM(G7:G36)</f>
        <v>0</v>
      </c>
      <c r="H37" s="460">
        <f>SUM(H7:H36)</f>
        <v>12</v>
      </c>
      <c r="I37" s="82"/>
      <c r="J37" s="82"/>
      <c r="K37" s="82"/>
    </row>
    <row r="38" spans="1:11" x14ac:dyDescent="0.2">
      <c r="A38" s="82"/>
      <c r="B38" s="82"/>
      <c r="C38" s="82"/>
      <c r="D38" s="82"/>
      <c r="E38" s="82"/>
      <c r="F38" s="62"/>
      <c r="G38" s="63"/>
      <c r="H38" s="63"/>
      <c r="I38" s="82"/>
      <c r="J38" s="82"/>
      <c r="K38" s="82"/>
    </row>
    <row r="39" spans="1:11" ht="14.25" x14ac:dyDescent="0.2">
      <c r="A39" s="82"/>
      <c r="B39" s="82"/>
      <c r="C39" s="82"/>
      <c r="D39" s="82"/>
      <c r="E39" s="82"/>
      <c r="F39" s="1153" t="s">
        <v>8</v>
      </c>
      <c r="G39" s="1154"/>
      <c r="H39" s="84">
        <f>G37-H37</f>
        <v>-12</v>
      </c>
      <c r="I39" s="82"/>
      <c r="J39" s="82"/>
      <c r="K39" s="82"/>
    </row>
  </sheetData>
  <mergeCells count="3">
    <mergeCell ref="F39:G39"/>
    <mergeCell ref="J1:J3"/>
    <mergeCell ref="C1:H5"/>
  </mergeCells>
  <hyperlinks>
    <hyperlink ref="J1:J3" location="'ANA SAYFA'!A1" display="ANA SAYFA"/>
  </hyperlinks>
  <pageMargins left="0.7" right="0.7" top="0.75" bottom="0.75" header="0.3" footer="0.3"/>
  <pageSetup paperSize="9" scale="79" orientation="landscape"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5"/>
  <sheetViews>
    <sheetView workbookViewId="0">
      <selection activeCell="J1" sqref="J1:J3"/>
    </sheetView>
  </sheetViews>
  <sheetFormatPr defaultRowHeight="12.75" x14ac:dyDescent="0.2"/>
  <cols>
    <col min="1" max="1" width="18.140625" bestFit="1" customWidth="1"/>
    <col min="2" max="2" width="26.7109375" bestFit="1" customWidth="1"/>
    <col min="3" max="3" width="26" bestFit="1" customWidth="1"/>
    <col min="4" max="4" width="7.42578125" customWidth="1"/>
    <col min="6" max="6" width="21.140625" customWidth="1"/>
    <col min="7" max="7" width="16.42578125" customWidth="1"/>
    <col min="8" max="8" width="13.85546875" customWidth="1"/>
    <col min="9" max="9" width="3.7109375" customWidth="1"/>
    <col min="10" max="10" width="11.140625" customWidth="1"/>
  </cols>
  <sheetData>
    <row r="1" spans="1:11" x14ac:dyDescent="0.2">
      <c r="A1" s="29" t="s">
        <v>135</v>
      </c>
      <c r="B1" s="187" t="str">
        <f>'ANA SAYFA'!B120</f>
        <v>HİKMET TÜRKOĞLU</v>
      </c>
      <c r="C1" s="1166" t="s">
        <v>136</v>
      </c>
      <c r="D1" s="1166"/>
      <c r="E1" s="1166"/>
      <c r="F1" s="1166"/>
      <c r="G1" s="1166"/>
      <c r="H1" s="1166"/>
      <c r="I1" s="699"/>
      <c r="J1" s="1183" t="s">
        <v>712</v>
      </c>
      <c r="K1" s="82"/>
    </row>
    <row r="2" spans="1:11" x14ac:dyDescent="0.2">
      <c r="A2" s="29" t="s">
        <v>137</v>
      </c>
      <c r="B2" s="743">
        <f>'ANA SAYFA'!D120</f>
        <v>68734165426</v>
      </c>
      <c r="C2" s="1166"/>
      <c r="D2" s="1166"/>
      <c r="E2" s="1166"/>
      <c r="F2" s="1166"/>
      <c r="G2" s="1166"/>
      <c r="H2" s="1166"/>
      <c r="I2" s="699"/>
      <c r="J2" s="1184"/>
      <c r="K2" s="82"/>
    </row>
    <row r="3" spans="1:11" ht="23.25" thickBot="1" x14ac:dyDescent="0.25">
      <c r="A3" s="29" t="s">
        <v>131</v>
      </c>
      <c r="B3" s="187" t="str">
        <f>'ANA SAYFA'!C120</f>
        <v>Beko Loder (Kazıcı - Yükleyici) Operatörü</v>
      </c>
      <c r="C3" s="1166"/>
      <c r="D3" s="1166"/>
      <c r="E3" s="1166"/>
      <c r="F3" s="1166"/>
      <c r="G3" s="1166"/>
      <c r="H3" s="1166"/>
      <c r="I3" s="699"/>
      <c r="J3" s="1185"/>
      <c r="K3" s="82"/>
    </row>
    <row r="4" spans="1:11" x14ac:dyDescent="0.2">
      <c r="A4" s="29" t="s">
        <v>120</v>
      </c>
      <c r="B4" s="136">
        <f>'ANA SAYFA'!E120</f>
        <v>45730</v>
      </c>
      <c r="C4" s="1166"/>
      <c r="D4" s="1166"/>
      <c r="E4" s="1166"/>
      <c r="F4" s="1166"/>
      <c r="G4" s="1166"/>
      <c r="H4" s="1166"/>
      <c r="I4" s="699"/>
      <c r="J4" s="699"/>
      <c r="K4" s="82"/>
    </row>
    <row r="5" spans="1:11" x14ac:dyDescent="0.2">
      <c r="A5" s="29" t="s">
        <v>130</v>
      </c>
      <c r="B5" s="218">
        <f>'ANA SAYFA'!F120</f>
        <v>28926</v>
      </c>
      <c r="C5" s="1166"/>
      <c r="D5" s="1166"/>
      <c r="E5" s="1166"/>
      <c r="F5" s="1166"/>
      <c r="G5" s="1166"/>
      <c r="H5" s="1166"/>
      <c r="I5" s="699"/>
      <c r="J5" s="653"/>
      <c r="K5" s="653"/>
    </row>
    <row r="6" spans="1:11" ht="31.5" x14ac:dyDescent="0.2">
      <c r="A6" s="69" t="s">
        <v>0</v>
      </c>
      <c r="B6" s="70" t="s">
        <v>1</v>
      </c>
      <c r="C6" s="69" t="s">
        <v>2</v>
      </c>
      <c r="D6" s="71" t="s">
        <v>133</v>
      </c>
      <c r="E6" s="71" t="s">
        <v>4</v>
      </c>
      <c r="F6" s="71" t="s">
        <v>7</v>
      </c>
      <c r="G6" s="71" t="s">
        <v>6</v>
      </c>
      <c r="H6" s="71" t="s">
        <v>3</v>
      </c>
      <c r="I6" s="82"/>
      <c r="J6" s="653"/>
      <c r="K6" s="653"/>
    </row>
    <row r="7" spans="1:11" s="653" customFormat="1" ht="16.5" customHeight="1" x14ac:dyDescent="0.2">
      <c r="A7" s="717"/>
      <c r="B7" s="674">
        <v>45780</v>
      </c>
      <c r="C7" s="675">
        <v>45780</v>
      </c>
      <c r="D7" s="676" t="s">
        <v>780</v>
      </c>
      <c r="E7" s="676" t="s">
        <v>780</v>
      </c>
      <c r="F7" s="716" t="s">
        <v>979</v>
      </c>
      <c r="G7" s="703">
        <v>14</v>
      </c>
      <c r="H7" s="223">
        <v>1</v>
      </c>
      <c r="I7" s="699"/>
      <c r="J7" s="747"/>
      <c r="K7" s="747"/>
    </row>
    <row r="8" spans="1:11" s="699" customFormat="1" x14ac:dyDescent="0.2">
      <c r="A8" s="930"/>
      <c r="B8" s="928" t="s">
        <v>804</v>
      </c>
      <c r="C8" s="931"/>
      <c r="D8" s="733"/>
      <c r="E8" s="733"/>
      <c r="F8" s="723"/>
      <c r="G8" s="723"/>
      <c r="H8" s="929">
        <v>-1</v>
      </c>
      <c r="I8" s="684"/>
      <c r="J8" s="670"/>
    </row>
    <row r="9" spans="1:11" s="653" customFormat="1" ht="16.5" customHeight="1" x14ac:dyDescent="0.2">
      <c r="A9" s="717"/>
      <c r="B9" s="936">
        <v>45845</v>
      </c>
      <c r="C9" s="675">
        <v>45845</v>
      </c>
      <c r="D9" s="676"/>
      <c r="E9" s="676"/>
      <c r="F9" s="716"/>
      <c r="G9" s="703"/>
      <c r="H9" s="223">
        <v>1</v>
      </c>
      <c r="I9" s="699"/>
      <c r="J9" s="747"/>
      <c r="K9" s="747"/>
    </row>
    <row r="10" spans="1:11" s="653" customFormat="1" ht="16.5" customHeight="1" x14ac:dyDescent="0.2">
      <c r="A10" s="717"/>
      <c r="B10" s="674">
        <v>45850</v>
      </c>
      <c r="C10" s="675">
        <v>45852</v>
      </c>
      <c r="D10" s="676" t="s">
        <v>780</v>
      </c>
      <c r="E10" s="676" t="s">
        <v>780</v>
      </c>
      <c r="F10" s="716"/>
      <c r="G10" s="703"/>
      <c r="H10" s="223">
        <v>2</v>
      </c>
      <c r="I10" s="699"/>
      <c r="J10" s="747"/>
      <c r="K10" s="747"/>
    </row>
    <row r="11" spans="1:11" s="653" customFormat="1" ht="16.5" customHeight="1" x14ac:dyDescent="0.2">
      <c r="A11" s="717"/>
      <c r="B11" s="1208" t="s">
        <v>827</v>
      </c>
      <c r="C11" s="1209"/>
      <c r="D11" s="676"/>
      <c r="E11" s="676"/>
      <c r="F11" s="716"/>
      <c r="G11" s="703"/>
      <c r="H11" s="223">
        <v>-3</v>
      </c>
      <c r="I11" s="699"/>
      <c r="J11" s="747"/>
      <c r="K11" s="747"/>
    </row>
    <row r="12" spans="1:11" s="653" customFormat="1" ht="16.5" customHeight="1" x14ac:dyDescent="0.2">
      <c r="A12" s="717"/>
      <c r="B12" s="674">
        <v>45934</v>
      </c>
      <c r="C12" s="675">
        <v>45935</v>
      </c>
      <c r="D12" s="676"/>
      <c r="E12" s="676"/>
      <c r="F12" s="716"/>
      <c r="G12" s="703"/>
      <c r="H12" s="223">
        <v>1</v>
      </c>
      <c r="I12" s="699"/>
      <c r="J12" s="747" t="s">
        <v>830</v>
      </c>
      <c r="K12" s="747"/>
    </row>
    <row r="13" spans="1:11" s="653" customFormat="1" ht="16.5" customHeight="1" x14ac:dyDescent="0.2">
      <c r="A13" s="717"/>
      <c r="B13" s="674">
        <v>45990</v>
      </c>
      <c r="C13" s="675">
        <v>45994</v>
      </c>
      <c r="D13" s="676"/>
      <c r="E13" s="676"/>
      <c r="F13" s="716"/>
      <c r="G13" s="703"/>
      <c r="H13" s="223">
        <v>3</v>
      </c>
      <c r="I13" s="699"/>
      <c r="J13" s="747"/>
      <c r="K13" s="747"/>
    </row>
    <row r="14" spans="1:11" s="653" customFormat="1" ht="16.5" customHeight="1" x14ac:dyDescent="0.2">
      <c r="A14" s="717"/>
      <c r="B14" s="1208" t="s">
        <v>933</v>
      </c>
      <c r="C14" s="1209"/>
      <c r="D14" s="676"/>
      <c r="E14" s="676"/>
      <c r="F14" s="716"/>
      <c r="G14" s="703"/>
      <c r="H14" s="223">
        <v>-2</v>
      </c>
      <c r="I14" s="699"/>
      <c r="J14" s="747"/>
      <c r="K14" s="747"/>
    </row>
    <row r="15" spans="1:11" s="653" customFormat="1" ht="16.5" customHeight="1" x14ac:dyDescent="0.2">
      <c r="A15" s="717"/>
      <c r="B15" s="674">
        <v>46045</v>
      </c>
      <c r="C15" s="675">
        <v>46048</v>
      </c>
      <c r="D15" s="676"/>
      <c r="E15" s="676"/>
      <c r="F15" s="716"/>
      <c r="G15" s="703"/>
      <c r="H15" s="223">
        <v>2</v>
      </c>
      <c r="I15" s="699"/>
      <c r="J15" s="747"/>
      <c r="K15" s="747"/>
    </row>
    <row r="16" spans="1:11" s="653" customFormat="1" ht="16.5" customHeight="1" x14ac:dyDescent="0.2">
      <c r="A16" s="717"/>
      <c r="B16" s="674">
        <v>46104</v>
      </c>
      <c r="C16" s="675">
        <v>46106</v>
      </c>
      <c r="D16" s="676"/>
      <c r="E16" s="676"/>
      <c r="F16" s="716"/>
      <c r="G16" s="703"/>
      <c r="H16" s="223">
        <v>2</v>
      </c>
      <c r="I16" s="699"/>
      <c r="J16" s="747" t="s">
        <v>830</v>
      </c>
      <c r="K16" s="747"/>
    </row>
    <row r="17" spans="1:11" s="653" customFormat="1" ht="16.5" customHeight="1" x14ac:dyDescent="0.2">
      <c r="A17" s="717"/>
      <c r="B17" s="674">
        <v>46205</v>
      </c>
      <c r="C17" s="675">
        <v>46209</v>
      </c>
      <c r="D17" s="676"/>
      <c r="E17" s="676"/>
      <c r="F17" s="716"/>
      <c r="G17" s="703"/>
      <c r="H17" s="223">
        <v>4</v>
      </c>
      <c r="I17" s="699"/>
      <c r="J17" s="747"/>
      <c r="K17" s="747"/>
    </row>
    <row r="18" spans="1:11" ht="16.5" customHeight="1" x14ac:dyDescent="0.2">
      <c r="A18" s="139"/>
      <c r="B18" s="531"/>
      <c r="C18" s="531"/>
      <c r="D18" s="38"/>
      <c r="E18" s="38"/>
      <c r="F18" s="191"/>
      <c r="G18" s="145"/>
      <c r="H18" s="192"/>
      <c r="I18" s="82"/>
      <c r="J18" s="190"/>
      <c r="K18" s="190"/>
    </row>
    <row r="19" spans="1:11" ht="16.5" customHeight="1" x14ac:dyDescent="0.2">
      <c r="A19" s="146"/>
      <c r="B19" s="465"/>
      <c r="C19" s="465"/>
      <c r="D19" s="38"/>
      <c r="E19" s="38"/>
      <c r="F19" s="191"/>
      <c r="G19" s="145"/>
      <c r="H19" s="192"/>
      <c r="I19" s="82"/>
      <c r="J19" s="148"/>
      <c r="K19" s="148"/>
    </row>
    <row r="20" spans="1:11" ht="16.5" customHeight="1" x14ac:dyDescent="0.2">
      <c r="A20" s="141"/>
      <c r="B20" s="155"/>
      <c r="C20" s="158"/>
      <c r="D20" s="159"/>
      <c r="E20" s="159"/>
      <c r="F20" s="145"/>
      <c r="G20" s="145"/>
      <c r="H20" s="192"/>
      <c r="I20" s="82"/>
      <c r="J20" s="82"/>
      <c r="K20" s="82"/>
    </row>
    <row r="21" spans="1:11" ht="16.5" customHeight="1" x14ac:dyDescent="0.2">
      <c r="A21" s="160"/>
      <c r="B21" s="155"/>
      <c r="C21" s="158"/>
      <c r="D21" s="168"/>
      <c r="E21" s="168"/>
      <c r="F21" s="145"/>
      <c r="G21" s="145"/>
      <c r="H21" s="157"/>
      <c r="I21" s="82"/>
      <c r="J21" s="190"/>
      <c r="K21" s="190"/>
    </row>
    <row r="22" spans="1:11" ht="16.5" customHeight="1" x14ac:dyDescent="0.2">
      <c r="A22" s="147"/>
      <c r="B22" s="142"/>
      <c r="C22" s="143"/>
      <c r="D22" s="168"/>
      <c r="E22" s="168"/>
      <c r="F22" s="145"/>
      <c r="G22" s="145"/>
      <c r="H22" s="145"/>
      <c r="I22" s="82"/>
      <c r="J22" s="148"/>
      <c r="K22" s="148"/>
    </row>
    <row r="23" spans="1:11" ht="16.5" customHeight="1" x14ac:dyDescent="0.2">
      <c r="A23" s="147"/>
      <c r="B23" s="142"/>
      <c r="C23" s="143"/>
      <c r="D23" s="168"/>
      <c r="E23" s="168"/>
      <c r="F23" s="145"/>
      <c r="G23" s="145"/>
      <c r="H23" s="145"/>
      <c r="I23" s="82"/>
      <c r="J23" s="82"/>
      <c r="K23" s="82"/>
    </row>
    <row r="24" spans="1:11" ht="16.5" customHeight="1" x14ac:dyDescent="0.2">
      <c r="A24" s="147"/>
      <c r="B24" s="142"/>
      <c r="C24" s="143"/>
      <c r="D24" s="144"/>
      <c r="E24" s="144"/>
      <c r="F24" s="140"/>
      <c r="G24" s="145"/>
      <c r="H24" s="145"/>
      <c r="I24" s="82"/>
      <c r="J24" s="82"/>
      <c r="K24" s="82"/>
    </row>
    <row r="25" spans="1:11" ht="16.5" customHeight="1" x14ac:dyDescent="0.2">
      <c r="A25" s="147"/>
      <c r="B25" s="142"/>
      <c r="C25" s="143"/>
      <c r="D25" s="144"/>
      <c r="E25" s="144"/>
      <c r="F25" s="140"/>
      <c r="G25" s="145"/>
      <c r="H25" s="145"/>
      <c r="I25" s="82"/>
      <c r="J25" s="82"/>
      <c r="K25" s="82"/>
    </row>
    <row r="26" spans="1:11" ht="16.5" customHeight="1" x14ac:dyDescent="0.2">
      <c r="A26" s="147"/>
      <c r="B26" s="142"/>
      <c r="C26" s="143"/>
      <c r="D26" s="144"/>
      <c r="E26" s="144"/>
      <c r="F26" s="140"/>
      <c r="G26" s="145"/>
      <c r="H26" s="145"/>
      <c r="I26" s="82"/>
      <c r="J26" s="82"/>
      <c r="K26" s="82"/>
    </row>
    <row r="27" spans="1:11" ht="16.5" customHeight="1" x14ac:dyDescent="0.2">
      <c r="A27" s="147"/>
      <c r="B27" s="142"/>
      <c r="C27" s="143"/>
      <c r="D27" s="144"/>
      <c r="E27" s="144"/>
      <c r="F27" s="140"/>
      <c r="G27" s="145"/>
      <c r="H27" s="145"/>
      <c r="I27" s="82"/>
      <c r="J27" s="82"/>
      <c r="K27" s="82"/>
    </row>
    <row r="28" spans="1:11" ht="16.5" customHeight="1" x14ac:dyDescent="0.2">
      <c r="A28" s="147"/>
      <c r="B28" s="142"/>
      <c r="C28" s="143"/>
      <c r="D28" s="144"/>
      <c r="E28" s="144"/>
      <c r="F28" s="140"/>
      <c r="G28" s="145"/>
      <c r="H28" s="145"/>
      <c r="I28" s="82"/>
      <c r="J28" s="82"/>
      <c r="K28" s="82"/>
    </row>
    <row r="29" spans="1:11" ht="16.5" customHeight="1" x14ac:dyDescent="0.2">
      <c r="A29" s="147"/>
      <c r="B29" s="142"/>
      <c r="C29" s="143"/>
      <c r="D29" s="144"/>
      <c r="E29" s="144"/>
      <c r="F29" s="140"/>
      <c r="G29" s="145"/>
      <c r="H29" s="145"/>
      <c r="I29" s="82"/>
      <c r="J29" s="82"/>
      <c r="K29" s="82"/>
    </row>
    <row r="30" spans="1:11" ht="16.5" customHeight="1" x14ac:dyDescent="0.2">
      <c r="A30" s="147"/>
      <c r="B30" s="142"/>
      <c r="C30" s="143"/>
      <c r="D30" s="144"/>
      <c r="E30" s="144"/>
      <c r="F30" s="48"/>
      <c r="G30" s="66"/>
      <c r="H30" s="145"/>
      <c r="I30" s="82"/>
      <c r="J30" s="82"/>
      <c r="K30" s="82"/>
    </row>
    <row r="31" spans="1:11" ht="16.5" customHeight="1" x14ac:dyDescent="0.2">
      <c r="A31" s="147"/>
      <c r="B31" s="142"/>
      <c r="C31" s="143"/>
      <c r="D31" s="144"/>
      <c r="E31" s="144"/>
      <c r="F31" s="48"/>
      <c r="G31" s="66"/>
      <c r="H31" s="66"/>
      <c r="I31" s="82"/>
      <c r="J31" s="82"/>
      <c r="K31" s="82"/>
    </row>
    <row r="32" spans="1:11" ht="16.5" customHeight="1" x14ac:dyDescent="0.2">
      <c r="A32" s="147"/>
      <c r="B32" s="142"/>
      <c r="C32" s="143"/>
      <c r="D32" s="144"/>
      <c r="E32" s="144"/>
      <c r="F32" s="48"/>
      <c r="G32" s="66"/>
      <c r="H32" s="66"/>
      <c r="I32" s="82"/>
      <c r="J32" s="82"/>
      <c r="K32" s="82"/>
    </row>
    <row r="33" spans="1:11" ht="16.5" customHeight="1" x14ac:dyDescent="0.2">
      <c r="A33" s="82"/>
      <c r="B33" s="82"/>
      <c r="C33" s="82"/>
      <c r="D33" s="82"/>
      <c r="E33" s="82"/>
      <c r="F33" s="772" t="s">
        <v>123</v>
      </c>
      <c r="G33" s="772">
        <f>SUM(G7:G32)</f>
        <v>14</v>
      </c>
      <c r="H33" s="772">
        <f>SUM(H7:H32)</f>
        <v>10</v>
      </c>
      <c r="I33" s="82"/>
      <c r="J33" s="82"/>
      <c r="K33" s="82"/>
    </row>
    <row r="34" spans="1:11" ht="16.5" customHeight="1" x14ac:dyDescent="0.2">
      <c r="A34" s="82"/>
      <c r="B34" s="82"/>
      <c r="C34" s="82"/>
      <c r="D34" s="82"/>
      <c r="E34" s="82"/>
      <c r="F34" s="671"/>
      <c r="G34" s="714"/>
      <c r="H34" s="714"/>
      <c r="I34" s="82"/>
      <c r="J34" s="82"/>
      <c r="K34" s="82"/>
    </row>
    <row r="35" spans="1:11" ht="16.5" customHeight="1" x14ac:dyDescent="0.2">
      <c r="A35" s="82"/>
      <c r="B35" s="82"/>
      <c r="C35" s="82"/>
      <c r="D35" s="82"/>
      <c r="E35" s="82"/>
      <c r="F35" s="1215" t="s">
        <v>8</v>
      </c>
      <c r="G35" s="1216"/>
      <c r="H35" s="797">
        <f>G33-H33</f>
        <v>4</v>
      </c>
      <c r="I35" s="82"/>
      <c r="J35" s="82"/>
      <c r="K35" s="82"/>
    </row>
  </sheetData>
  <mergeCells count="5">
    <mergeCell ref="F35:G35"/>
    <mergeCell ref="C1:H5"/>
    <mergeCell ref="J1:J3"/>
    <mergeCell ref="B11:C11"/>
    <mergeCell ref="B14:C14"/>
  </mergeCells>
  <hyperlinks>
    <hyperlink ref="J1:J3" location="'ANA SAYFA'!A1" display="ANA SAYFA"/>
  </hyperlinks>
  <pageMargins left="0.7" right="0.12" top="0.28999999999999998" bottom="0.75" header="0.3" footer="0.3"/>
  <pageSetup paperSize="9" scale="70" orientation="portrait"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6"/>
  <sheetViews>
    <sheetView zoomScaleNormal="100" workbookViewId="0">
      <pane ySplit="6" topLeftCell="A7" activePane="bottomLeft" state="frozen"/>
      <selection pane="bottomLeft" activeCell="J1" sqref="J1:J3"/>
    </sheetView>
  </sheetViews>
  <sheetFormatPr defaultRowHeight="12.75" x14ac:dyDescent="0.2"/>
  <cols>
    <col min="1" max="1" width="20.28515625" customWidth="1"/>
    <col min="2" max="2" width="26" bestFit="1" customWidth="1"/>
    <col min="3" max="3" width="26.5703125" bestFit="1" customWidth="1"/>
    <col min="4" max="4" width="7.42578125" customWidth="1"/>
    <col min="6" max="6" width="26.5703125" bestFit="1" customWidth="1"/>
    <col min="7" max="7" width="13.42578125" customWidth="1"/>
    <col min="9" max="9" width="3.28515625" customWidth="1"/>
    <col min="10" max="10" width="10.5703125" customWidth="1"/>
  </cols>
  <sheetData>
    <row r="1" spans="1:12" x14ac:dyDescent="0.2">
      <c r="A1" s="29" t="s">
        <v>135</v>
      </c>
      <c r="B1" s="187" t="str">
        <f>'ANA SAYFA'!B121</f>
        <v xml:space="preserve">ZİYA TURNA </v>
      </c>
      <c r="C1" s="1166" t="s">
        <v>136</v>
      </c>
      <c r="D1" s="1166"/>
      <c r="E1" s="1166"/>
      <c r="F1" s="1166"/>
      <c r="G1" s="1166"/>
      <c r="H1" s="1166"/>
      <c r="I1" s="82"/>
      <c r="J1" s="1183" t="s">
        <v>712</v>
      </c>
      <c r="K1" s="82"/>
    </row>
    <row r="2" spans="1:12" x14ac:dyDescent="0.2">
      <c r="A2" s="29" t="s">
        <v>137</v>
      </c>
      <c r="B2" s="186">
        <f>'ANA SAYFA'!D121</f>
        <v>31295248846</v>
      </c>
      <c r="C2" s="1166"/>
      <c r="D2" s="1166"/>
      <c r="E2" s="1166"/>
      <c r="F2" s="1166"/>
      <c r="G2" s="1166"/>
      <c r="H2" s="1166"/>
      <c r="I2" s="82"/>
      <c r="J2" s="1184"/>
      <c r="K2" s="82"/>
    </row>
    <row r="3" spans="1:12" ht="13.5" thickBot="1" x14ac:dyDescent="0.25">
      <c r="A3" s="29" t="s">
        <v>131</v>
      </c>
      <c r="B3" s="187" t="str">
        <f>'ANA SAYFA'!C121</f>
        <v>KONKASÖR OPERATÖRÜ</v>
      </c>
      <c r="C3" s="1166"/>
      <c r="D3" s="1166"/>
      <c r="E3" s="1166"/>
      <c r="F3" s="1166"/>
      <c r="G3" s="1166"/>
      <c r="H3" s="1166"/>
      <c r="I3" s="82"/>
      <c r="J3" s="1185"/>
      <c r="K3" s="82"/>
    </row>
    <row r="4" spans="1:12" x14ac:dyDescent="0.2">
      <c r="A4" s="29" t="s">
        <v>120</v>
      </c>
      <c r="B4" s="136">
        <f>'ANA SAYFA'!E121</f>
        <v>44235</v>
      </c>
      <c r="C4" s="1166"/>
      <c r="D4" s="1166"/>
      <c r="E4" s="1166"/>
      <c r="F4" s="1166"/>
      <c r="G4" s="1166"/>
      <c r="H4" s="1166"/>
      <c r="I4" s="82"/>
      <c r="J4" s="82"/>
      <c r="K4" s="82"/>
    </row>
    <row r="5" spans="1:12" x14ac:dyDescent="0.2">
      <c r="A5" s="29" t="s">
        <v>130</v>
      </c>
      <c r="B5" s="218">
        <f>'ANA SAYFA'!F121</f>
        <v>30244</v>
      </c>
      <c r="C5" s="1166"/>
      <c r="D5" s="1166"/>
      <c r="E5" s="1166"/>
      <c r="F5" s="1166"/>
      <c r="G5" s="1166"/>
      <c r="H5" s="1166"/>
      <c r="I5" s="82"/>
      <c r="J5" s="653"/>
      <c r="K5" s="653"/>
    </row>
    <row r="6" spans="1:12" ht="42" x14ac:dyDescent="0.2">
      <c r="A6" s="69" t="s">
        <v>0</v>
      </c>
      <c r="B6" s="70" t="s">
        <v>1</v>
      </c>
      <c r="C6" s="69" t="s">
        <v>2</v>
      </c>
      <c r="D6" s="71" t="s">
        <v>133</v>
      </c>
      <c r="E6" s="71" t="s">
        <v>4</v>
      </c>
      <c r="F6" s="71" t="s">
        <v>7</v>
      </c>
      <c r="G6" s="71" t="s">
        <v>6</v>
      </c>
      <c r="H6" s="71" t="s">
        <v>3</v>
      </c>
      <c r="I6" s="82"/>
      <c r="J6" s="653"/>
      <c r="K6" s="653"/>
    </row>
    <row r="7" spans="1:12" x14ac:dyDescent="0.2">
      <c r="A7" s="139"/>
      <c r="B7" s="462">
        <v>45502</v>
      </c>
      <c r="C7" s="37">
        <v>45518</v>
      </c>
      <c r="D7" s="38">
        <v>0.33333333333333331</v>
      </c>
      <c r="E7" s="676">
        <v>0.33333333333333331</v>
      </c>
      <c r="F7" s="136" t="s">
        <v>748</v>
      </c>
      <c r="G7" s="106">
        <v>14</v>
      </c>
      <c r="H7" s="223">
        <v>15</v>
      </c>
      <c r="I7" s="82"/>
      <c r="J7" s="190"/>
      <c r="K7" s="190"/>
    </row>
    <row r="8" spans="1:12" x14ac:dyDescent="0.2">
      <c r="A8" s="139"/>
      <c r="B8" s="462">
        <v>45607</v>
      </c>
      <c r="C8" s="475">
        <v>45609</v>
      </c>
      <c r="D8" s="676">
        <v>0.33333333333333331</v>
      </c>
      <c r="E8" s="676">
        <v>0.33333333333333331</v>
      </c>
      <c r="F8" s="136" t="s">
        <v>749</v>
      </c>
      <c r="G8" s="106">
        <v>14</v>
      </c>
      <c r="H8" s="223">
        <v>1.5</v>
      </c>
      <c r="I8" s="82"/>
      <c r="J8" s="190"/>
      <c r="K8" s="190"/>
    </row>
    <row r="9" spans="1:12" x14ac:dyDescent="0.2">
      <c r="A9" s="139"/>
      <c r="B9" s="476"/>
      <c r="C9" s="476"/>
      <c r="D9" s="38"/>
      <c r="E9" s="38"/>
      <c r="F9" s="136" t="s">
        <v>750</v>
      </c>
      <c r="G9" s="106">
        <v>14</v>
      </c>
      <c r="H9" s="223"/>
      <c r="I9" s="82"/>
      <c r="J9" s="190"/>
      <c r="K9" s="190"/>
    </row>
    <row r="10" spans="1:12" x14ac:dyDescent="0.2">
      <c r="A10" s="141"/>
      <c r="B10" s="155"/>
      <c r="C10" s="158"/>
      <c r="D10" s="159"/>
      <c r="E10" s="159"/>
      <c r="F10" s="716" t="s">
        <v>751</v>
      </c>
      <c r="G10" s="145">
        <v>14</v>
      </c>
      <c r="H10" s="192"/>
      <c r="I10" s="82"/>
      <c r="J10" s="82"/>
      <c r="K10" s="82"/>
    </row>
    <row r="11" spans="1:12" x14ac:dyDescent="0.2">
      <c r="A11" s="160"/>
      <c r="B11" s="155">
        <v>45875</v>
      </c>
      <c r="C11" s="158">
        <v>45894</v>
      </c>
      <c r="D11" s="168">
        <v>0.33333333333333331</v>
      </c>
      <c r="E11" s="168">
        <v>0.33333333333333331</v>
      </c>
      <c r="F11" s="145"/>
      <c r="G11" s="145"/>
      <c r="H11" s="157">
        <v>16</v>
      </c>
      <c r="I11" s="82"/>
      <c r="J11" s="190"/>
      <c r="K11" s="190"/>
    </row>
    <row r="12" spans="1:12" s="653" customFormat="1" x14ac:dyDescent="0.2">
      <c r="A12" s="734"/>
      <c r="B12" s="729">
        <v>45947</v>
      </c>
      <c r="C12" s="732">
        <v>45964</v>
      </c>
      <c r="D12" s="735">
        <v>0.33333333333333331</v>
      </c>
      <c r="E12" s="735">
        <v>0.33333333333333331</v>
      </c>
      <c r="F12" s="723"/>
      <c r="G12" s="723"/>
      <c r="H12" s="731">
        <v>10</v>
      </c>
      <c r="I12" s="699"/>
      <c r="J12" s="998" t="s">
        <v>914</v>
      </c>
      <c r="K12" s="998" t="s">
        <v>915</v>
      </c>
      <c r="L12" s="999"/>
    </row>
    <row r="13" spans="1:12" s="653" customFormat="1" x14ac:dyDescent="0.2">
      <c r="A13" s="734"/>
      <c r="B13" s="729"/>
      <c r="C13" s="732"/>
      <c r="D13" s="735"/>
      <c r="E13" s="735"/>
      <c r="F13" s="723"/>
      <c r="G13" s="723"/>
      <c r="H13" s="731"/>
      <c r="I13" s="699"/>
      <c r="J13" s="747"/>
      <c r="K13" s="747"/>
    </row>
    <row r="14" spans="1:12" s="653" customFormat="1" x14ac:dyDescent="0.2">
      <c r="A14" s="734"/>
      <c r="B14" s="729"/>
      <c r="C14" s="732"/>
      <c r="D14" s="735"/>
      <c r="E14" s="735"/>
      <c r="F14" s="723"/>
      <c r="G14" s="723"/>
      <c r="H14" s="731"/>
      <c r="I14" s="699"/>
      <c r="J14" s="747"/>
      <c r="K14" s="747"/>
    </row>
    <row r="15" spans="1:12" s="653" customFormat="1" x14ac:dyDescent="0.2">
      <c r="A15" s="734"/>
      <c r="B15" s="729"/>
      <c r="C15" s="732"/>
      <c r="D15" s="735"/>
      <c r="E15" s="735"/>
      <c r="F15" s="723"/>
      <c r="G15" s="723"/>
      <c r="H15" s="731"/>
      <c r="I15" s="699"/>
      <c r="J15" s="747"/>
      <c r="K15" s="747"/>
    </row>
    <row r="16" spans="1:12" s="653" customFormat="1" x14ac:dyDescent="0.2">
      <c r="A16" s="734"/>
      <c r="B16" s="729"/>
      <c r="C16" s="732"/>
      <c r="D16" s="735"/>
      <c r="E16" s="735"/>
      <c r="F16" s="723"/>
      <c r="G16" s="723"/>
      <c r="H16" s="731"/>
      <c r="I16" s="699"/>
      <c r="J16" s="747"/>
      <c r="K16" s="747"/>
    </row>
    <row r="17" spans="1:11" s="653" customFormat="1" x14ac:dyDescent="0.2">
      <c r="A17" s="734"/>
      <c r="B17" s="729"/>
      <c r="C17" s="732"/>
      <c r="D17" s="735"/>
      <c r="E17" s="735"/>
      <c r="F17" s="723"/>
      <c r="G17" s="723"/>
      <c r="H17" s="731"/>
      <c r="I17" s="699"/>
      <c r="J17" s="747"/>
      <c r="K17" s="747"/>
    </row>
    <row r="18" spans="1:11" s="653" customFormat="1" x14ac:dyDescent="0.2">
      <c r="A18" s="734"/>
      <c r="B18" s="729"/>
      <c r="C18" s="732"/>
      <c r="D18" s="735"/>
      <c r="E18" s="735"/>
      <c r="F18" s="723"/>
      <c r="G18" s="723"/>
      <c r="H18" s="731"/>
      <c r="I18" s="699"/>
      <c r="J18" s="747"/>
      <c r="K18" s="747"/>
    </row>
    <row r="19" spans="1:11" s="653" customFormat="1" x14ac:dyDescent="0.2">
      <c r="A19" s="734"/>
      <c r="B19" s="729"/>
      <c r="C19" s="732"/>
      <c r="D19" s="735"/>
      <c r="E19" s="735"/>
      <c r="F19" s="723"/>
      <c r="G19" s="723"/>
      <c r="H19" s="731"/>
      <c r="I19" s="699"/>
      <c r="J19" s="747"/>
      <c r="K19" s="747"/>
    </row>
    <row r="20" spans="1:11" s="653" customFormat="1" x14ac:dyDescent="0.2">
      <c r="A20" s="734"/>
      <c r="B20" s="729"/>
      <c r="C20" s="732"/>
      <c r="D20" s="735"/>
      <c r="E20" s="735"/>
      <c r="F20" s="723"/>
      <c r="G20" s="723"/>
      <c r="H20" s="731"/>
      <c r="I20" s="699"/>
      <c r="J20" s="747"/>
      <c r="K20" s="747"/>
    </row>
    <row r="21" spans="1:11" s="653" customFormat="1" x14ac:dyDescent="0.2">
      <c r="A21" s="734"/>
      <c r="B21" s="729"/>
      <c r="C21" s="732"/>
      <c r="D21" s="735"/>
      <c r="E21" s="735"/>
      <c r="F21" s="723"/>
      <c r="G21" s="723"/>
      <c r="H21" s="731"/>
      <c r="I21" s="699"/>
      <c r="J21" s="747"/>
      <c r="K21" s="747"/>
    </row>
    <row r="22" spans="1:11" s="653" customFormat="1" x14ac:dyDescent="0.2">
      <c r="A22" s="734"/>
      <c r="B22" s="729"/>
      <c r="C22" s="732"/>
      <c r="D22" s="735"/>
      <c r="E22" s="735"/>
      <c r="F22" s="723"/>
      <c r="G22" s="723"/>
      <c r="H22" s="731"/>
      <c r="I22" s="699"/>
      <c r="J22" s="747"/>
      <c r="K22" s="747"/>
    </row>
    <row r="23" spans="1:11" x14ac:dyDescent="0.2">
      <c r="A23" s="147"/>
      <c r="B23" s="142"/>
      <c r="C23" s="143"/>
      <c r="D23" s="168"/>
      <c r="E23" s="168"/>
      <c r="F23" s="145"/>
      <c r="G23" s="145"/>
      <c r="H23" s="145"/>
      <c r="I23" s="82"/>
      <c r="J23" s="148"/>
      <c r="K23" s="148"/>
    </row>
    <row r="24" spans="1:11" x14ac:dyDescent="0.2">
      <c r="A24" s="147"/>
      <c r="B24" s="142"/>
      <c r="C24" s="143"/>
      <c r="D24" s="168"/>
      <c r="E24" s="168"/>
      <c r="F24" s="145"/>
      <c r="G24" s="145"/>
      <c r="H24" s="145"/>
      <c r="I24" s="82"/>
      <c r="J24" s="82"/>
      <c r="K24" s="82"/>
    </row>
    <row r="25" spans="1:11" x14ac:dyDescent="0.2">
      <c r="A25" s="147"/>
      <c r="B25" s="142"/>
      <c r="C25" s="143"/>
      <c r="D25" s="144"/>
      <c r="E25" s="144"/>
      <c r="F25" s="140"/>
      <c r="G25" s="145"/>
      <c r="H25" s="145"/>
      <c r="I25" s="82"/>
      <c r="J25" s="82"/>
      <c r="K25" s="82"/>
    </row>
    <row r="26" spans="1:11" x14ac:dyDescent="0.2">
      <c r="A26" s="147"/>
      <c r="B26" s="142"/>
      <c r="C26" s="143"/>
      <c r="D26" s="144"/>
      <c r="E26" s="144"/>
      <c r="F26" s="140"/>
      <c r="G26" s="145"/>
      <c r="H26" s="145"/>
      <c r="I26" s="82"/>
      <c r="J26" s="82"/>
      <c r="K26" s="82"/>
    </row>
    <row r="27" spans="1:11" x14ac:dyDescent="0.2">
      <c r="A27" s="147"/>
      <c r="B27" s="142"/>
      <c r="C27" s="143"/>
      <c r="D27" s="144"/>
      <c r="E27" s="144"/>
      <c r="F27" s="140"/>
      <c r="G27" s="145"/>
      <c r="H27" s="145"/>
      <c r="I27" s="82"/>
      <c r="J27" s="82"/>
      <c r="K27" s="82"/>
    </row>
    <row r="28" spans="1:11" x14ac:dyDescent="0.2">
      <c r="A28" s="147"/>
      <c r="B28" s="142"/>
      <c r="C28" s="143"/>
      <c r="D28" s="144"/>
      <c r="E28" s="144"/>
      <c r="F28" s="140"/>
      <c r="G28" s="145"/>
      <c r="H28" s="145"/>
      <c r="I28" s="82"/>
      <c r="J28" s="82"/>
      <c r="K28" s="82"/>
    </row>
    <row r="29" spans="1:11" x14ac:dyDescent="0.2">
      <c r="A29" s="147"/>
      <c r="B29" s="142"/>
      <c r="C29" s="143"/>
      <c r="D29" s="144"/>
      <c r="E29" s="144"/>
      <c r="F29" s="140"/>
      <c r="G29" s="145"/>
      <c r="H29" s="145"/>
      <c r="I29" s="82"/>
      <c r="J29" s="82"/>
      <c r="K29" s="82"/>
    </row>
    <row r="30" spans="1:11" x14ac:dyDescent="0.2">
      <c r="A30" s="147"/>
      <c r="B30" s="142"/>
      <c r="C30" s="143"/>
      <c r="D30" s="144"/>
      <c r="E30" s="144"/>
      <c r="F30" s="140"/>
      <c r="G30" s="145"/>
      <c r="H30" s="145"/>
      <c r="I30" s="82"/>
      <c r="J30" s="82"/>
      <c r="K30" s="82"/>
    </row>
    <row r="31" spans="1:11" x14ac:dyDescent="0.2">
      <c r="A31" s="147"/>
      <c r="B31" s="142"/>
      <c r="C31" s="143"/>
      <c r="D31" s="144"/>
      <c r="E31" s="144"/>
      <c r="F31" s="48"/>
      <c r="G31" s="66"/>
      <c r="H31" s="145"/>
      <c r="I31" s="82"/>
      <c r="J31" s="82"/>
      <c r="K31" s="82"/>
    </row>
    <row r="32" spans="1:11" x14ac:dyDescent="0.2">
      <c r="A32" s="147"/>
      <c r="B32" s="142"/>
      <c r="C32" s="143"/>
      <c r="D32" s="144"/>
      <c r="E32" s="144"/>
      <c r="F32" s="48"/>
      <c r="G32" s="66"/>
      <c r="H32" s="66"/>
      <c r="I32" s="82"/>
      <c r="J32" s="82"/>
      <c r="K32" s="82"/>
    </row>
    <row r="33" spans="1:11" x14ac:dyDescent="0.2">
      <c r="A33" s="147"/>
      <c r="B33" s="142"/>
      <c r="C33" s="143"/>
      <c r="D33" s="144"/>
      <c r="E33" s="144"/>
      <c r="F33" s="48"/>
      <c r="G33" s="66"/>
      <c r="H33" s="66"/>
      <c r="I33" s="82"/>
      <c r="J33" s="82"/>
      <c r="K33" s="82"/>
    </row>
    <row r="34" spans="1:11" x14ac:dyDescent="0.2">
      <c r="A34" s="82"/>
      <c r="B34" s="82"/>
      <c r="C34" s="82"/>
      <c r="D34" s="82"/>
      <c r="E34" s="82"/>
      <c r="F34" s="463" t="s">
        <v>123</v>
      </c>
      <c r="G34" s="463">
        <f>SUM(G7:G25)</f>
        <v>56</v>
      </c>
      <c r="H34" s="463">
        <f>SUM(H7:H32)</f>
        <v>42.5</v>
      </c>
      <c r="I34" s="82"/>
      <c r="J34" s="82"/>
      <c r="K34" s="82"/>
    </row>
    <row r="35" spans="1:11" x14ac:dyDescent="0.2">
      <c r="A35" s="82"/>
      <c r="B35" s="82"/>
      <c r="C35" s="82"/>
      <c r="D35" s="82"/>
      <c r="E35" s="82"/>
      <c r="F35" s="62"/>
      <c r="G35" s="63"/>
      <c r="H35" s="63"/>
      <c r="I35" s="82"/>
      <c r="J35" s="82"/>
      <c r="K35" s="82"/>
    </row>
    <row r="36" spans="1:11" ht="14.25" x14ac:dyDescent="0.2">
      <c r="A36" s="82"/>
      <c r="B36" s="82"/>
      <c r="C36" s="82"/>
      <c r="D36" s="82"/>
      <c r="E36" s="82"/>
      <c r="F36" s="1153" t="s">
        <v>8</v>
      </c>
      <c r="G36" s="1154"/>
      <c r="H36" s="84">
        <f>G34-H34</f>
        <v>13.5</v>
      </c>
      <c r="I36" s="82"/>
      <c r="J36" s="82"/>
      <c r="K36" s="82"/>
    </row>
  </sheetData>
  <mergeCells count="3">
    <mergeCell ref="F36:G36"/>
    <mergeCell ref="J1:J3"/>
    <mergeCell ref="C1:H5"/>
  </mergeCells>
  <hyperlinks>
    <hyperlink ref="J1:J3" location="'ANA SAYFA'!A1" display="ANA SAYFA"/>
  </hyperlinks>
  <pageMargins left="0.7" right="0.12" top="0.28000000000000003" bottom="0.75" header="0.3" footer="0.3"/>
  <pageSetup paperSize="9" scale="68" orientation="portrait"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zoomScaleNormal="100" workbookViewId="0">
      <selection activeCell="J1" sqref="J1:J3"/>
    </sheetView>
  </sheetViews>
  <sheetFormatPr defaultColWidth="9.140625" defaultRowHeight="12.75" x14ac:dyDescent="0.2"/>
  <cols>
    <col min="1" max="1" width="18.140625" style="699" bestFit="1" customWidth="1"/>
    <col min="2" max="2" width="27.140625" style="699" bestFit="1" customWidth="1"/>
    <col min="3" max="3" width="28" style="699" bestFit="1" customWidth="1"/>
    <col min="4" max="5" width="9.28515625" style="699" bestFit="1" customWidth="1"/>
    <col min="6" max="6" width="28.5703125" style="699" bestFit="1" customWidth="1"/>
    <col min="7" max="8" width="13" style="699" customWidth="1"/>
    <col min="9" max="9" width="4.42578125" style="699" customWidth="1"/>
    <col min="10" max="10" width="12.28515625" style="699" customWidth="1"/>
    <col min="11" max="16384" width="9.140625" style="699"/>
  </cols>
  <sheetData>
    <row r="1" spans="1:10" ht="15" customHeight="1" x14ac:dyDescent="0.2">
      <c r="A1" s="669" t="s">
        <v>135</v>
      </c>
      <c r="B1" s="745" t="str">
        <f>'ANA SAYFA'!B122</f>
        <v>DENİZ YILDIZ</v>
      </c>
      <c r="C1" s="1166" t="s">
        <v>136</v>
      </c>
      <c r="D1" s="1166"/>
      <c r="E1" s="1166"/>
      <c r="F1" s="1166"/>
      <c r="G1" s="1166"/>
      <c r="H1" s="1166"/>
      <c r="I1" s="668"/>
      <c r="J1" s="1228" t="s">
        <v>712</v>
      </c>
    </row>
    <row r="2" spans="1:10" ht="15" customHeight="1" x14ac:dyDescent="0.2">
      <c r="A2" s="669" t="s">
        <v>137</v>
      </c>
      <c r="B2" s="728">
        <f>'ANA SAYFA'!D122</f>
        <v>26491683638</v>
      </c>
      <c r="C2" s="1166"/>
      <c r="D2" s="1166"/>
      <c r="E2" s="1166"/>
      <c r="F2" s="1166"/>
      <c r="G2" s="1166"/>
      <c r="H2" s="1166"/>
      <c r="I2" s="668"/>
      <c r="J2" s="1229"/>
    </row>
    <row r="3" spans="1:10" ht="15" customHeight="1" thickBot="1" x14ac:dyDescent="0.25">
      <c r="A3" s="669" t="s">
        <v>131</v>
      </c>
      <c r="B3" s="727" t="str">
        <f>'ANA SAYFA'!C122</f>
        <v>İş Sağlığı ve Güvenliği Teknikeri</v>
      </c>
      <c r="C3" s="1166"/>
      <c r="D3" s="1166"/>
      <c r="E3" s="1166"/>
      <c r="F3" s="1166"/>
      <c r="G3" s="1166"/>
      <c r="H3" s="1166"/>
      <c r="I3" s="668"/>
      <c r="J3" s="1230"/>
    </row>
    <row r="4" spans="1:10" ht="15" customHeight="1" x14ac:dyDescent="0.2">
      <c r="A4" s="669" t="s">
        <v>120</v>
      </c>
      <c r="B4" s="700">
        <f>'ANA SAYFA'!E122</f>
        <v>45558</v>
      </c>
      <c r="C4" s="1166"/>
      <c r="D4" s="1166"/>
      <c r="E4" s="1166"/>
      <c r="F4" s="1166"/>
      <c r="G4" s="1166"/>
      <c r="H4" s="1166"/>
      <c r="I4" s="668"/>
      <c r="J4" s="670"/>
    </row>
    <row r="5" spans="1:10" ht="15" customHeight="1" x14ac:dyDescent="0.2">
      <c r="A5" s="669" t="s">
        <v>130</v>
      </c>
      <c r="B5" s="700">
        <f>'ANA SAYFA'!F122</f>
        <v>31717</v>
      </c>
      <c r="C5" s="1166"/>
      <c r="D5" s="1166"/>
      <c r="E5" s="1166"/>
      <c r="F5" s="1166"/>
      <c r="G5" s="1166"/>
      <c r="H5" s="1166"/>
      <c r="I5" s="668"/>
    </row>
    <row r="6" spans="1:10" ht="31.5" x14ac:dyDescent="0.2">
      <c r="A6" s="693" t="s">
        <v>0</v>
      </c>
      <c r="B6" s="694" t="s">
        <v>1</v>
      </c>
      <c r="C6" s="693" t="s">
        <v>2</v>
      </c>
      <c r="D6" s="695" t="s">
        <v>133</v>
      </c>
      <c r="E6" s="695" t="s">
        <v>4</v>
      </c>
      <c r="F6" s="695" t="s">
        <v>7</v>
      </c>
      <c r="G6" s="695" t="s">
        <v>6</v>
      </c>
      <c r="H6" s="695" t="s">
        <v>16</v>
      </c>
      <c r="I6" s="672"/>
    </row>
    <row r="7" spans="1:10" ht="14.25" customHeight="1" x14ac:dyDescent="0.2">
      <c r="A7" s="717"/>
      <c r="B7" s="729">
        <v>45875</v>
      </c>
      <c r="C7" s="730">
        <v>45889</v>
      </c>
      <c r="D7" s="735">
        <v>0.33333333333333331</v>
      </c>
      <c r="E7" s="735">
        <v>0.33333333333333331</v>
      </c>
      <c r="F7" s="976" t="s">
        <v>999</v>
      </c>
      <c r="G7" s="748">
        <v>14</v>
      </c>
      <c r="H7" s="754">
        <v>13</v>
      </c>
      <c r="I7" s="684"/>
      <c r="J7" s="670"/>
    </row>
    <row r="8" spans="1:10" ht="14.25" customHeight="1" x14ac:dyDescent="0.2">
      <c r="A8" s="717"/>
      <c r="B8" s="729">
        <v>45948</v>
      </c>
      <c r="C8" s="730">
        <v>45950</v>
      </c>
      <c r="D8" s="735"/>
      <c r="E8" s="735"/>
      <c r="F8" s="976"/>
      <c r="G8" s="748"/>
      <c r="H8" s="754">
        <v>1</v>
      </c>
      <c r="I8" s="684"/>
      <c r="J8" s="670" t="s">
        <v>877</v>
      </c>
    </row>
    <row r="9" spans="1:10" x14ac:dyDescent="0.2">
      <c r="A9" s="717"/>
      <c r="B9" s="975">
        <v>46132</v>
      </c>
      <c r="C9" s="730">
        <v>46133</v>
      </c>
      <c r="D9" s="735"/>
      <c r="E9" s="735"/>
      <c r="F9" s="723"/>
      <c r="G9" s="748"/>
      <c r="H9" s="754">
        <v>1</v>
      </c>
      <c r="I9" s="684"/>
      <c r="J9" s="670" t="s">
        <v>877</v>
      </c>
    </row>
    <row r="10" spans="1:10" ht="14.25" customHeight="1" x14ac:dyDescent="0.2">
      <c r="A10" s="719"/>
      <c r="B10" s="729">
        <v>45906</v>
      </c>
      <c r="C10" s="730">
        <v>45907</v>
      </c>
      <c r="D10" s="722"/>
      <c r="E10" s="722"/>
      <c r="F10" s="723"/>
      <c r="G10" s="748"/>
      <c r="H10" s="755">
        <v>1</v>
      </c>
      <c r="I10" s="684"/>
      <c r="J10" s="670"/>
    </row>
    <row r="11" spans="1:10" ht="14.25" customHeight="1" x14ac:dyDescent="0.2">
      <c r="A11" s="719"/>
      <c r="B11" s="729"/>
      <c r="C11" s="732"/>
      <c r="D11" s="733"/>
      <c r="E11" s="733"/>
      <c r="F11" s="723"/>
      <c r="G11" s="723"/>
      <c r="H11" s="436"/>
      <c r="I11" s="684"/>
      <c r="J11" s="670"/>
    </row>
    <row r="12" spans="1:10" ht="14.25" customHeight="1" x14ac:dyDescent="0.2">
      <c r="A12" s="719"/>
      <c r="B12" s="729"/>
      <c r="C12" s="732"/>
      <c r="D12" s="733"/>
      <c r="E12" s="733"/>
      <c r="F12" s="723"/>
      <c r="G12" s="723"/>
      <c r="H12" s="436"/>
      <c r="I12" s="684"/>
      <c r="J12" s="670"/>
    </row>
    <row r="13" spans="1:10" ht="14.25" customHeight="1" x14ac:dyDescent="0.2">
      <c r="A13" s="719"/>
      <c r="B13" s="729"/>
      <c r="C13" s="732"/>
      <c r="D13" s="722"/>
      <c r="E13" s="722"/>
      <c r="F13" s="723"/>
      <c r="G13" s="723"/>
      <c r="H13" s="436"/>
      <c r="I13" s="684"/>
      <c r="J13" s="670"/>
    </row>
    <row r="14" spans="1:10" ht="14.25" customHeight="1" x14ac:dyDescent="0.2">
      <c r="A14" s="719"/>
      <c r="B14" s="729"/>
      <c r="C14" s="732"/>
      <c r="D14" s="733"/>
      <c r="E14" s="733"/>
      <c r="F14" s="723"/>
      <c r="G14" s="723"/>
      <c r="H14" s="436"/>
      <c r="I14" s="684"/>
      <c r="J14" s="670"/>
    </row>
    <row r="15" spans="1:10" ht="14.25" customHeight="1" x14ac:dyDescent="0.2">
      <c r="A15" s="719"/>
      <c r="B15" s="729"/>
      <c r="C15" s="732"/>
      <c r="D15" s="733"/>
      <c r="E15" s="733"/>
      <c r="F15" s="723"/>
      <c r="G15" s="723"/>
      <c r="H15" s="436"/>
      <c r="I15" s="684"/>
      <c r="J15" s="670"/>
    </row>
    <row r="16" spans="1:10" ht="14.25" customHeight="1" x14ac:dyDescent="0.2">
      <c r="A16" s="719"/>
      <c r="B16" s="729"/>
      <c r="C16" s="732"/>
      <c r="D16" s="733"/>
      <c r="E16" s="733"/>
      <c r="F16" s="723"/>
      <c r="G16" s="723"/>
      <c r="H16" s="436"/>
      <c r="I16" s="684"/>
      <c r="J16" s="670"/>
    </row>
    <row r="17" spans="1:10" ht="14.25" customHeight="1" x14ac:dyDescent="0.2">
      <c r="A17" s="724"/>
      <c r="B17" s="729"/>
      <c r="C17" s="732"/>
      <c r="D17" s="733"/>
      <c r="E17" s="733"/>
      <c r="F17" s="723"/>
      <c r="G17" s="723"/>
      <c r="H17" s="756"/>
      <c r="I17" s="684"/>
      <c r="J17" s="670"/>
    </row>
    <row r="18" spans="1:10" ht="14.25" customHeight="1" x14ac:dyDescent="0.2">
      <c r="A18" s="724"/>
      <c r="B18" s="1318"/>
      <c r="C18" s="1319"/>
      <c r="D18" s="762"/>
      <c r="E18" s="762"/>
      <c r="F18" s="723"/>
      <c r="G18" s="723"/>
      <c r="H18" s="757"/>
      <c r="I18" s="684"/>
      <c r="J18" s="670"/>
    </row>
    <row r="19" spans="1:10" ht="14.25" customHeight="1" x14ac:dyDescent="0.2">
      <c r="A19" s="753"/>
      <c r="B19" s="760"/>
      <c r="C19" s="761"/>
      <c r="D19" s="762"/>
      <c r="E19" s="762"/>
      <c r="F19" s="723"/>
      <c r="G19" s="723"/>
      <c r="H19" s="436"/>
      <c r="I19" s="684"/>
      <c r="J19" s="670"/>
    </row>
    <row r="20" spans="1:10" ht="14.25" customHeight="1" x14ac:dyDescent="0.2">
      <c r="A20" s="753"/>
      <c r="B20" s="760"/>
      <c r="C20" s="761"/>
      <c r="D20" s="762"/>
      <c r="E20" s="762"/>
      <c r="F20" s="723"/>
      <c r="G20" s="723"/>
      <c r="H20" s="754"/>
      <c r="I20" s="684"/>
      <c r="J20" s="670"/>
    </row>
    <row r="21" spans="1:10" ht="14.25" customHeight="1" x14ac:dyDescent="0.2">
      <c r="A21" s="725"/>
      <c r="B21" s="760"/>
      <c r="C21" s="761"/>
      <c r="D21" s="762"/>
      <c r="E21" s="762"/>
      <c r="F21" s="723"/>
      <c r="G21" s="723"/>
      <c r="H21" s="756"/>
      <c r="I21" s="684"/>
      <c r="J21" s="670"/>
    </row>
    <row r="22" spans="1:10" ht="14.25" customHeight="1" x14ac:dyDescent="0.2">
      <c r="A22" s="685"/>
      <c r="B22" s="720"/>
      <c r="C22" s="721"/>
      <c r="D22" s="722"/>
      <c r="E22" s="722"/>
      <c r="F22" s="698"/>
      <c r="G22" s="974"/>
      <c r="H22" s="754"/>
    </row>
    <row r="23" spans="1:10" ht="14.25" customHeight="1" x14ac:dyDescent="0.2">
      <c r="A23" s="685"/>
      <c r="B23" s="720"/>
      <c r="C23" s="721"/>
      <c r="D23" s="722"/>
      <c r="E23" s="722"/>
      <c r="F23" s="698"/>
      <c r="G23" s="974"/>
      <c r="H23" s="754"/>
    </row>
    <row r="24" spans="1:10" ht="14.25" customHeight="1" x14ac:dyDescent="0.2">
      <c r="A24" s="725"/>
      <c r="B24" s="720"/>
      <c r="C24" s="721"/>
      <c r="D24" s="722"/>
      <c r="E24" s="722"/>
      <c r="F24" s="718"/>
      <c r="G24" s="723"/>
      <c r="H24" s="757"/>
    </row>
    <row r="25" spans="1:10" ht="14.25" customHeight="1" x14ac:dyDescent="0.2">
      <c r="A25" s="725"/>
      <c r="B25" s="720"/>
      <c r="C25" s="721"/>
      <c r="D25" s="722"/>
      <c r="E25" s="722"/>
      <c r="F25" s="683"/>
      <c r="G25" s="691"/>
      <c r="H25" s="757"/>
    </row>
    <row r="26" spans="1:10" ht="14.25" customHeight="1" x14ac:dyDescent="0.2">
      <c r="A26" s="725"/>
      <c r="B26" s="720"/>
      <c r="C26" s="721"/>
      <c r="D26" s="722"/>
      <c r="E26" s="722"/>
      <c r="F26" s="683"/>
      <c r="G26" s="691"/>
      <c r="H26" s="757"/>
    </row>
    <row r="27" spans="1:10" ht="14.25" customHeight="1" x14ac:dyDescent="0.2">
      <c r="A27" s="725"/>
      <c r="B27" s="720"/>
      <c r="C27" s="721"/>
      <c r="D27" s="722"/>
      <c r="E27" s="722"/>
      <c r="F27" s="683"/>
      <c r="G27" s="691"/>
      <c r="H27" s="757"/>
    </row>
    <row r="28" spans="1:10" ht="14.25" customHeight="1" x14ac:dyDescent="0.2">
      <c r="A28" s="725"/>
      <c r="B28" s="720"/>
      <c r="C28" s="721"/>
      <c r="D28" s="722"/>
      <c r="E28" s="722"/>
      <c r="F28" s="683"/>
      <c r="G28" s="691"/>
      <c r="H28" s="633"/>
    </row>
    <row r="29" spans="1:10" ht="14.25" customHeight="1" x14ac:dyDescent="0.2">
      <c r="A29" s="725"/>
      <c r="B29" s="720"/>
      <c r="C29" s="721"/>
      <c r="D29" s="722"/>
      <c r="E29" s="722"/>
      <c r="F29" s="683"/>
      <c r="G29" s="691"/>
      <c r="H29" s="633"/>
    </row>
    <row r="30" spans="1:10" ht="14.25" customHeight="1" x14ac:dyDescent="0.2">
      <c r="A30" s="725"/>
      <c r="B30" s="720"/>
      <c r="C30" s="721"/>
      <c r="D30" s="722"/>
      <c r="E30" s="722"/>
      <c r="F30" s="683"/>
      <c r="G30" s="691"/>
      <c r="H30" s="633"/>
    </row>
    <row r="31" spans="1:10" x14ac:dyDescent="0.2">
      <c r="F31" s="696" t="s">
        <v>123</v>
      </c>
      <c r="G31" s="697">
        <f>SUM(G7:G30)</f>
        <v>14</v>
      </c>
      <c r="H31" s="697">
        <f>SUM(H7:H30)</f>
        <v>16</v>
      </c>
    </row>
    <row r="32" spans="1:10" x14ac:dyDescent="0.2">
      <c r="F32" s="689"/>
      <c r="G32" s="690"/>
      <c r="H32" s="690"/>
    </row>
    <row r="33" spans="6:8" ht="14.25" x14ac:dyDescent="0.2">
      <c r="F33" s="1153" t="s">
        <v>8</v>
      </c>
      <c r="G33" s="1154"/>
      <c r="H33" s="701">
        <f>G31-H31</f>
        <v>-2</v>
      </c>
    </row>
  </sheetData>
  <mergeCells count="4">
    <mergeCell ref="F33:G33"/>
    <mergeCell ref="C1:H5"/>
    <mergeCell ref="J1:J3"/>
    <mergeCell ref="B18:C18"/>
  </mergeCells>
  <hyperlinks>
    <hyperlink ref="J6" location="'ANA SAYFA'!A1" display="AnaSayfa"/>
    <hyperlink ref="J1:J3" location="'ANA SAYFA'!A1" display="ANA SAYFA"/>
  </hyperlinks>
  <pageMargins left="0.7" right="0.12" top="0.28000000000000003" bottom="0.75" header="0.3" footer="0.3"/>
  <pageSetup paperSize="9" scale="73" orientation="portrait" r:id="rId1"/>
  <colBreaks count="1" manualBreakCount="1">
    <brk id="8" max="1048575" man="1"/>
  </colBreaks>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zoomScaleNormal="100" workbookViewId="0">
      <selection activeCell="J1" sqref="J1:J3"/>
    </sheetView>
  </sheetViews>
  <sheetFormatPr defaultColWidth="9.140625" defaultRowHeight="12.75" x14ac:dyDescent="0.2"/>
  <cols>
    <col min="1" max="1" width="18.140625" style="699" bestFit="1" customWidth="1"/>
    <col min="2" max="2" width="25.7109375" style="699" bestFit="1" customWidth="1"/>
    <col min="3" max="3" width="25.5703125" style="699" bestFit="1" customWidth="1"/>
    <col min="4" max="5" width="9.28515625" style="699" bestFit="1" customWidth="1"/>
    <col min="6" max="6" width="20.85546875" style="699" bestFit="1" customWidth="1"/>
    <col min="7" max="8" width="13" style="699" customWidth="1"/>
    <col min="9" max="9" width="4.42578125" style="699" customWidth="1"/>
    <col min="10" max="10" width="12.28515625" style="699" customWidth="1"/>
    <col min="11" max="16384" width="9.140625" style="699"/>
  </cols>
  <sheetData>
    <row r="1" spans="1:10" ht="15" customHeight="1" x14ac:dyDescent="0.2">
      <c r="A1" s="669" t="s">
        <v>135</v>
      </c>
      <c r="B1" s="745" t="str">
        <f>'ANA SAYFA'!B123</f>
        <v>MURAT ŞAHİN</v>
      </c>
      <c r="C1" s="1166" t="s">
        <v>136</v>
      </c>
      <c r="D1" s="1166"/>
      <c r="E1" s="1166"/>
      <c r="F1" s="1166"/>
      <c r="G1" s="1166"/>
      <c r="H1" s="1166"/>
      <c r="I1" s="668"/>
      <c r="J1" s="1228" t="s">
        <v>712</v>
      </c>
    </row>
    <row r="2" spans="1:10" ht="15" customHeight="1" x14ac:dyDescent="0.2">
      <c r="A2" s="669" t="s">
        <v>137</v>
      </c>
      <c r="B2" s="728">
        <f>'ANA SAYFA'!D123</f>
        <v>46843610068</v>
      </c>
      <c r="C2" s="1166"/>
      <c r="D2" s="1166"/>
      <c r="E2" s="1166"/>
      <c r="F2" s="1166"/>
      <c r="G2" s="1166"/>
      <c r="H2" s="1166"/>
      <c r="I2" s="668"/>
      <c r="J2" s="1229"/>
    </row>
    <row r="3" spans="1:10" ht="15" customHeight="1" thickBot="1" x14ac:dyDescent="0.25">
      <c r="A3" s="669" t="s">
        <v>131</v>
      </c>
      <c r="B3" s="727" t="str">
        <f>'ANA SAYFA'!C123</f>
        <v>TIR ŞOFÖRÜ</v>
      </c>
      <c r="C3" s="1166"/>
      <c r="D3" s="1166"/>
      <c r="E3" s="1166"/>
      <c r="F3" s="1166"/>
      <c r="G3" s="1166"/>
      <c r="H3" s="1166"/>
      <c r="I3" s="668"/>
      <c r="J3" s="1230"/>
    </row>
    <row r="4" spans="1:10" ht="15" customHeight="1" x14ac:dyDescent="0.2">
      <c r="A4" s="669" t="s">
        <v>120</v>
      </c>
      <c r="B4" s="700">
        <f>'ANA SAYFA'!E123</f>
        <v>45566</v>
      </c>
      <c r="C4" s="1166"/>
      <c r="D4" s="1166"/>
      <c r="E4" s="1166"/>
      <c r="F4" s="1166"/>
      <c r="G4" s="1166"/>
      <c r="H4" s="1166"/>
      <c r="I4" s="668"/>
      <c r="J4" s="670"/>
    </row>
    <row r="5" spans="1:10" ht="15" customHeight="1" x14ac:dyDescent="0.2">
      <c r="A5" s="669" t="s">
        <v>130</v>
      </c>
      <c r="B5" s="700">
        <f>'ANA SAYFA'!F123</f>
        <v>28888</v>
      </c>
      <c r="C5" s="1166"/>
      <c r="D5" s="1166"/>
      <c r="E5" s="1166"/>
      <c r="F5" s="1166"/>
      <c r="G5" s="1166"/>
      <c r="H5" s="1166"/>
      <c r="I5" s="668"/>
    </row>
    <row r="6" spans="1:10" ht="31.5" x14ac:dyDescent="0.2">
      <c r="A6" s="891" t="s">
        <v>0</v>
      </c>
      <c r="B6" s="694" t="s">
        <v>1</v>
      </c>
      <c r="C6" s="891" t="s">
        <v>2</v>
      </c>
      <c r="D6" s="695" t="s">
        <v>133</v>
      </c>
      <c r="E6" s="695" t="s">
        <v>4</v>
      </c>
      <c r="F6" s="695" t="s">
        <v>7</v>
      </c>
      <c r="G6" s="695" t="s">
        <v>6</v>
      </c>
      <c r="H6" s="695" t="s">
        <v>16</v>
      </c>
      <c r="I6" s="672"/>
    </row>
    <row r="7" spans="1:10" ht="14.25" customHeight="1" x14ac:dyDescent="0.2">
      <c r="A7" s="719"/>
      <c r="B7" s="729">
        <v>45806</v>
      </c>
      <c r="C7" s="732">
        <v>45806</v>
      </c>
      <c r="D7" s="733">
        <v>0.33333333333333331</v>
      </c>
      <c r="E7" s="733">
        <v>0.33333333333333331</v>
      </c>
      <c r="F7" s="723" t="s">
        <v>908</v>
      </c>
      <c r="G7" s="723">
        <v>14</v>
      </c>
      <c r="H7" s="756">
        <v>1</v>
      </c>
      <c r="I7" s="684"/>
      <c r="J7" s="670"/>
    </row>
    <row r="8" spans="1:10" ht="14.25" customHeight="1" x14ac:dyDescent="0.2">
      <c r="A8" s="719"/>
      <c r="B8" s="729">
        <v>45849</v>
      </c>
      <c r="C8" s="732">
        <v>45849</v>
      </c>
      <c r="D8" s="733">
        <v>0.33333333333333331</v>
      </c>
      <c r="E8" s="733">
        <v>0.33333333333333331</v>
      </c>
      <c r="F8" s="723"/>
      <c r="G8" s="723"/>
      <c r="H8" s="756">
        <v>1</v>
      </c>
      <c r="I8" s="684"/>
      <c r="J8" s="670"/>
    </row>
    <row r="9" spans="1:10" x14ac:dyDescent="0.2">
      <c r="A9" s="719"/>
      <c r="B9" s="729">
        <v>45895</v>
      </c>
      <c r="C9" s="732"/>
      <c r="D9" s="733"/>
      <c r="E9" s="733"/>
      <c r="F9" s="723"/>
      <c r="G9" s="723"/>
      <c r="H9" s="756"/>
      <c r="I9" s="684" t="s">
        <v>884</v>
      </c>
      <c r="J9" s="670"/>
    </row>
    <row r="10" spans="1:10" ht="14.25" customHeight="1" x14ac:dyDescent="0.2">
      <c r="A10" s="930"/>
      <c r="B10" s="977" t="s">
        <v>883</v>
      </c>
      <c r="C10" s="931"/>
      <c r="D10" s="978"/>
      <c r="E10" s="978"/>
      <c r="F10" s="979"/>
      <c r="G10" s="979"/>
      <c r="H10" s="929">
        <v>-4</v>
      </c>
      <c r="I10" s="684"/>
      <c r="J10" s="670"/>
    </row>
    <row r="11" spans="1:10" ht="14.25" customHeight="1" x14ac:dyDescent="0.2">
      <c r="A11" s="719"/>
      <c r="B11" s="729">
        <v>45982</v>
      </c>
      <c r="C11" s="732">
        <v>45985</v>
      </c>
      <c r="D11" s="733"/>
      <c r="E11" s="733"/>
      <c r="F11" s="723"/>
      <c r="G11" s="723"/>
      <c r="H11" s="756">
        <v>2</v>
      </c>
      <c r="I11" s="684"/>
      <c r="J11" s="670"/>
    </row>
    <row r="12" spans="1:10" ht="14.25" customHeight="1" x14ac:dyDescent="0.2">
      <c r="A12" s="719"/>
      <c r="B12" s="729">
        <v>46099</v>
      </c>
      <c r="C12" s="732">
        <v>46099</v>
      </c>
      <c r="D12" s="733">
        <v>0.5</v>
      </c>
      <c r="E12" s="733">
        <v>0.75</v>
      </c>
      <c r="F12" s="723"/>
      <c r="G12" s="723"/>
      <c r="H12" s="756">
        <v>0.5</v>
      </c>
      <c r="I12" s="684"/>
      <c r="J12" s="670"/>
    </row>
    <row r="13" spans="1:10" ht="14.25" customHeight="1" x14ac:dyDescent="0.2">
      <c r="A13" s="719"/>
      <c r="B13" s="729">
        <v>46129</v>
      </c>
      <c r="C13" s="732">
        <v>46130</v>
      </c>
      <c r="D13" s="733"/>
      <c r="E13" s="733"/>
      <c r="F13" s="723"/>
      <c r="G13" s="723"/>
      <c r="H13" s="756">
        <v>1</v>
      </c>
      <c r="I13" s="684"/>
      <c r="J13" s="670" t="s">
        <v>830</v>
      </c>
    </row>
    <row r="14" spans="1:10" ht="14.25" customHeight="1" x14ac:dyDescent="0.2">
      <c r="A14" s="719"/>
      <c r="B14" s="729"/>
      <c r="C14" s="732"/>
      <c r="D14" s="733"/>
      <c r="E14" s="733"/>
      <c r="F14" s="723"/>
      <c r="G14" s="723"/>
      <c r="H14" s="756"/>
      <c r="I14" s="684"/>
      <c r="J14" s="670"/>
    </row>
    <row r="15" spans="1:10" ht="14.25" customHeight="1" x14ac:dyDescent="0.2">
      <c r="A15" s="719"/>
      <c r="B15" s="729"/>
      <c r="C15" s="732"/>
      <c r="D15" s="733"/>
      <c r="E15" s="733"/>
      <c r="F15" s="723"/>
      <c r="G15" s="723"/>
      <c r="H15" s="756"/>
      <c r="I15" s="684"/>
      <c r="J15" s="670"/>
    </row>
    <row r="16" spans="1:10" ht="14.25" customHeight="1" x14ac:dyDescent="0.2">
      <c r="A16" s="719"/>
      <c r="B16" s="729"/>
      <c r="C16" s="732"/>
      <c r="D16" s="733"/>
      <c r="E16" s="733"/>
      <c r="F16" s="723"/>
      <c r="G16" s="723"/>
      <c r="H16" s="756"/>
      <c r="I16" s="684"/>
      <c r="J16" s="670"/>
    </row>
    <row r="17" spans="1:10" ht="14.25" customHeight="1" x14ac:dyDescent="0.2">
      <c r="A17" s="724"/>
      <c r="B17" s="729"/>
      <c r="C17" s="732"/>
      <c r="D17" s="733"/>
      <c r="E17" s="733"/>
      <c r="F17" s="723"/>
      <c r="G17" s="723"/>
      <c r="H17" s="756"/>
      <c r="I17" s="684"/>
      <c r="J17" s="670"/>
    </row>
    <row r="18" spans="1:10" ht="14.25" customHeight="1" x14ac:dyDescent="0.2">
      <c r="A18" s="724"/>
      <c r="B18" s="760"/>
      <c r="C18" s="761"/>
      <c r="D18" s="762"/>
      <c r="E18" s="762"/>
      <c r="F18" s="723"/>
      <c r="G18" s="723"/>
      <c r="H18" s="757"/>
      <c r="I18" s="684"/>
      <c r="J18" s="670"/>
    </row>
    <row r="19" spans="1:10" ht="14.25" customHeight="1" x14ac:dyDescent="0.2">
      <c r="A19" s="753"/>
      <c r="B19" s="760"/>
      <c r="C19" s="761"/>
      <c r="D19" s="762"/>
      <c r="E19" s="762"/>
      <c r="F19" s="723"/>
      <c r="G19" s="723"/>
      <c r="H19" s="756"/>
      <c r="I19" s="684"/>
      <c r="J19" s="670"/>
    </row>
    <row r="20" spans="1:10" ht="14.25" customHeight="1" x14ac:dyDescent="0.2">
      <c r="A20" s="753"/>
      <c r="B20" s="760"/>
      <c r="C20" s="761"/>
      <c r="D20" s="762"/>
      <c r="E20" s="762"/>
      <c r="F20" s="723"/>
      <c r="G20" s="723"/>
      <c r="H20" s="754"/>
      <c r="I20" s="684"/>
      <c r="J20" s="670"/>
    </row>
    <row r="21" spans="1:10" ht="14.25" customHeight="1" x14ac:dyDescent="0.2">
      <c r="A21" s="725"/>
      <c r="B21" s="760"/>
      <c r="C21" s="761"/>
      <c r="D21" s="762"/>
      <c r="E21" s="762"/>
      <c r="F21" s="723"/>
      <c r="G21" s="723"/>
      <c r="H21" s="756"/>
      <c r="I21" s="684"/>
      <c r="J21" s="670"/>
    </row>
    <row r="22" spans="1:10" ht="14.25" customHeight="1" x14ac:dyDescent="0.2">
      <c r="A22" s="685"/>
      <c r="B22" s="720"/>
      <c r="C22" s="721"/>
      <c r="D22" s="722"/>
      <c r="E22" s="722"/>
      <c r="F22" s="698"/>
      <c r="G22" s="890"/>
      <c r="H22" s="754"/>
    </row>
    <row r="23" spans="1:10" ht="14.25" customHeight="1" x14ac:dyDescent="0.2">
      <c r="A23" s="685"/>
      <c r="B23" s="720"/>
      <c r="C23" s="721"/>
      <c r="D23" s="722"/>
      <c r="E23" s="722"/>
      <c r="F23" s="698"/>
      <c r="G23" s="890"/>
      <c r="H23" s="754"/>
    </row>
    <row r="24" spans="1:10" ht="14.25" customHeight="1" x14ac:dyDescent="0.2">
      <c r="A24" s="725"/>
      <c r="B24" s="720"/>
      <c r="C24" s="721"/>
      <c r="D24" s="722"/>
      <c r="E24" s="722"/>
      <c r="F24" s="718"/>
      <c r="G24" s="723"/>
      <c r="H24" s="757"/>
    </row>
    <row r="25" spans="1:10" ht="14.25" customHeight="1" x14ac:dyDescent="0.2">
      <c r="A25" s="725"/>
      <c r="B25" s="720"/>
      <c r="C25" s="721"/>
      <c r="D25" s="722"/>
      <c r="E25" s="722"/>
      <c r="F25" s="683"/>
      <c r="G25" s="691"/>
      <c r="H25" s="757"/>
    </row>
    <row r="26" spans="1:10" ht="14.25" customHeight="1" x14ac:dyDescent="0.2">
      <c r="A26" s="725"/>
      <c r="B26" s="720"/>
      <c r="C26" s="721"/>
      <c r="D26" s="722"/>
      <c r="E26" s="722"/>
      <c r="F26" s="683"/>
      <c r="G26" s="691"/>
      <c r="H26" s="757"/>
    </row>
    <row r="27" spans="1:10" ht="14.25" customHeight="1" x14ac:dyDescent="0.2">
      <c r="A27" s="725"/>
      <c r="B27" s="720"/>
      <c r="C27" s="721"/>
      <c r="D27" s="722"/>
      <c r="E27" s="722"/>
      <c r="F27" s="683"/>
      <c r="G27" s="691"/>
      <c r="H27" s="757"/>
    </row>
    <row r="28" spans="1:10" ht="14.25" customHeight="1" x14ac:dyDescent="0.2">
      <c r="A28" s="725"/>
      <c r="B28" s="720"/>
      <c r="C28" s="721"/>
      <c r="D28" s="722"/>
      <c r="E28" s="722"/>
      <c r="F28" s="683"/>
      <c r="G28" s="691"/>
      <c r="H28" s="633"/>
    </row>
    <row r="29" spans="1:10" ht="14.25" customHeight="1" x14ac:dyDescent="0.2">
      <c r="A29" s="725"/>
      <c r="B29" s="720"/>
      <c r="C29" s="721"/>
      <c r="D29" s="722"/>
      <c r="E29" s="722"/>
      <c r="F29" s="683"/>
      <c r="G29" s="691"/>
      <c r="H29" s="633"/>
    </row>
    <row r="30" spans="1:10" ht="14.25" customHeight="1" x14ac:dyDescent="0.2">
      <c r="A30" s="725"/>
      <c r="B30" s="720"/>
      <c r="C30" s="721"/>
      <c r="D30" s="722"/>
      <c r="E30" s="722"/>
      <c r="F30" s="683"/>
      <c r="G30" s="691"/>
      <c r="H30" s="633"/>
    </row>
    <row r="31" spans="1:10" x14ac:dyDescent="0.2">
      <c r="F31" s="892" t="s">
        <v>123</v>
      </c>
      <c r="G31" s="697">
        <f>SUM(G7:G30)</f>
        <v>14</v>
      </c>
      <c r="H31" s="108">
        <f>SUM(H7:H30)</f>
        <v>1.5</v>
      </c>
    </row>
    <row r="32" spans="1:10" x14ac:dyDescent="0.2">
      <c r="F32" s="689"/>
      <c r="G32" s="690"/>
      <c r="H32" s="690"/>
    </row>
    <row r="33" spans="6:8" ht="14.25" x14ac:dyDescent="0.2">
      <c r="F33" s="1153" t="s">
        <v>8</v>
      </c>
      <c r="G33" s="1154"/>
      <c r="H33" s="109">
        <f>G31-H31</f>
        <v>12.5</v>
      </c>
    </row>
  </sheetData>
  <mergeCells count="3">
    <mergeCell ref="C1:H5"/>
    <mergeCell ref="J1:J3"/>
    <mergeCell ref="F33:G33"/>
  </mergeCells>
  <hyperlinks>
    <hyperlink ref="J6" location="'ANA SAYFA'!A1" display="AnaSayfa"/>
    <hyperlink ref="J1:J3" location="'ANA SAYFA'!A1" display="ANA SAYFA"/>
  </hyperlinks>
  <pageMargins left="0.7" right="0.12" top="0.28000000000000003" bottom="0.75" header="0.3" footer="0.3"/>
  <pageSetup paperSize="9" scale="73" orientation="portrait" r:id="rId1"/>
  <colBreaks count="1" manualBreakCount="1">
    <brk id="8" max="1048575" man="1"/>
  </colBreaks>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3"/>
  <sheetViews>
    <sheetView zoomScaleNormal="100" workbookViewId="0">
      <selection activeCell="J1" sqref="J1:J3"/>
    </sheetView>
  </sheetViews>
  <sheetFormatPr defaultColWidth="9.140625" defaultRowHeight="12.75" x14ac:dyDescent="0.2"/>
  <cols>
    <col min="1" max="1" width="18.140625" style="699" bestFit="1" customWidth="1"/>
    <col min="2" max="2" width="26.7109375" style="699" bestFit="1" customWidth="1"/>
    <col min="3" max="3" width="25.85546875" style="699" bestFit="1" customWidth="1"/>
    <col min="4" max="5" width="9.28515625" style="699" bestFit="1" customWidth="1"/>
    <col min="6" max="6" width="18.28515625" style="699" bestFit="1" customWidth="1"/>
    <col min="7" max="8" width="13" style="699" customWidth="1"/>
    <col min="9" max="9" width="4.42578125" style="699" customWidth="1"/>
    <col min="10" max="10" width="12.28515625" style="699" customWidth="1"/>
    <col min="11" max="16384" width="9.140625" style="699"/>
  </cols>
  <sheetData>
    <row r="1" spans="1:10" ht="15" customHeight="1" x14ac:dyDescent="0.2">
      <c r="A1" s="669" t="s">
        <v>135</v>
      </c>
      <c r="B1" s="745" t="s">
        <v>1029</v>
      </c>
      <c r="C1" s="1166" t="s">
        <v>136</v>
      </c>
      <c r="D1" s="1166"/>
      <c r="E1" s="1166"/>
      <c r="F1" s="1166"/>
      <c r="G1" s="1166"/>
      <c r="H1" s="1166"/>
      <c r="I1" s="668"/>
      <c r="J1" s="1228" t="s">
        <v>712</v>
      </c>
    </row>
    <row r="2" spans="1:10" ht="15" customHeight="1" x14ac:dyDescent="0.2">
      <c r="A2" s="669" t="s">
        <v>137</v>
      </c>
      <c r="B2" s="728">
        <v>40378341886</v>
      </c>
      <c r="C2" s="1166"/>
      <c r="D2" s="1166"/>
      <c r="E2" s="1166"/>
      <c r="F2" s="1166"/>
      <c r="G2" s="1166"/>
      <c r="H2" s="1166"/>
      <c r="I2" s="668"/>
      <c r="J2" s="1229"/>
    </row>
    <row r="3" spans="1:10" ht="15" customHeight="1" thickBot="1" x14ac:dyDescent="0.25">
      <c r="A3" s="669" t="s">
        <v>131</v>
      </c>
      <c r="B3" s="727" t="str">
        <f>'ANA SAYFA'!C124</f>
        <v>EKSKAVATÖR OPERATÖRÜ</v>
      </c>
      <c r="C3" s="1166"/>
      <c r="D3" s="1166"/>
      <c r="E3" s="1166"/>
      <c r="F3" s="1166"/>
      <c r="G3" s="1166"/>
      <c r="H3" s="1166"/>
      <c r="I3" s="668"/>
      <c r="J3" s="1230"/>
    </row>
    <row r="4" spans="1:10" ht="15" customHeight="1" x14ac:dyDescent="0.2">
      <c r="A4" s="669" t="s">
        <v>120</v>
      </c>
      <c r="B4" s="700">
        <f>'ANA SAYFA'!E124</f>
        <v>46120</v>
      </c>
      <c r="C4" s="1166"/>
      <c r="D4" s="1166"/>
      <c r="E4" s="1166"/>
      <c r="F4" s="1166"/>
      <c r="G4" s="1166"/>
      <c r="H4" s="1166"/>
      <c r="I4" s="668"/>
      <c r="J4" s="670"/>
    </row>
    <row r="5" spans="1:10" ht="15" customHeight="1" x14ac:dyDescent="0.2">
      <c r="A5" s="669" t="s">
        <v>130</v>
      </c>
      <c r="B5" s="700">
        <v>31797</v>
      </c>
      <c r="C5" s="1166"/>
      <c r="D5" s="1166"/>
      <c r="E5" s="1166"/>
      <c r="F5" s="1166"/>
      <c r="G5" s="1166"/>
      <c r="H5" s="1166"/>
      <c r="I5" s="668"/>
    </row>
    <row r="6" spans="1:10" ht="31.5" x14ac:dyDescent="0.2">
      <c r="A6" s="891" t="s">
        <v>0</v>
      </c>
      <c r="B6" s="694" t="s">
        <v>1</v>
      </c>
      <c r="C6" s="891" t="s">
        <v>2</v>
      </c>
      <c r="D6" s="695" t="s">
        <v>133</v>
      </c>
      <c r="E6" s="695" t="s">
        <v>4</v>
      </c>
      <c r="F6" s="695" t="s">
        <v>7</v>
      </c>
      <c r="G6" s="695" t="s">
        <v>6</v>
      </c>
      <c r="H6" s="695" t="s">
        <v>16</v>
      </c>
      <c r="I6" s="672"/>
    </row>
    <row r="7" spans="1:10" ht="14.25" customHeight="1" x14ac:dyDescent="0.2">
      <c r="A7" s="719"/>
      <c r="B7" s="729">
        <v>46166</v>
      </c>
      <c r="C7" s="732">
        <v>46174</v>
      </c>
      <c r="D7" s="733"/>
      <c r="E7" s="733"/>
      <c r="F7" s="723"/>
      <c r="G7" s="723"/>
      <c r="H7" s="756">
        <v>1</v>
      </c>
      <c r="I7" s="684"/>
      <c r="J7" s="670"/>
    </row>
    <row r="8" spans="1:10" ht="14.25" customHeight="1" x14ac:dyDescent="0.2">
      <c r="A8" s="719"/>
      <c r="B8" s="729"/>
      <c r="C8" s="732"/>
      <c r="D8" s="733"/>
      <c r="E8" s="733"/>
      <c r="F8" s="723"/>
      <c r="G8" s="723"/>
      <c r="H8" s="756"/>
      <c r="I8" s="684"/>
      <c r="J8" s="670"/>
    </row>
    <row r="9" spans="1:10" x14ac:dyDescent="0.2">
      <c r="A9" s="719"/>
      <c r="B9" s="945"/>
      <c r="C9" s="732"/>
      <c r="D9" s="733"/>
      <c r="E9" s="733"/>
      <c r="F9" s="723"/>
      <c r="G9" s="723"/>
      <c r="H9" s="756"/>
      <c r="I9" s="684"/>
      <c r="J9" s="670"/>
    </row>
    <row r="10" spans="1:10" ht="14.25" customHeight="1" x14ac:dyDescent="0.2">
      <c r="A10" s="719"/>
      <c r="B10" s="729"/>
      <c r="C10" s="732"/>
      <c r="D10" s="733"/>
      <c r="E10" s="733"/>
      <c r="F10" s="723"/>
      <c r="G10" s="723"/>
      <c r="H10" s="756"/>
      <c r="I10" s="684"/>
      <c r="J10" s="670"/>
    </row>
    <row r="11" spans="1:10" ht="14.25" customHeight="1" x14ac:dyDescent="0.2">
      <c r="A11" s="719"/>
      <c r="B11" s="729"/>
      <c r="C11" s="732"/>
      <c r="D11" s="733"/>
      <c r="E11" s="733"/>
      <c r="F11" s="723"/>
      <c r="G11" s="723"/>
      <c r="H11" s="756"/>
      <c r="I11" s="684"/>
      <c r="J11" s="670"/>
    </row>
    <row r="12" spans="1:10" ht="14.25" customHeight="1" x14ac:dyDescent="0.2">
      <c r="A12" s="719"/>
      <c r="B12" s="729"/>
      <c r="C12" s="732"/>
      <c r="D12" s="733"/>
      <c r="E12" s="733"/>
      <c r="F12" s="723"/>
      <c r="G12" s="723"/>
      <c r="H12" s="756"/>
      <c r="I12" s="684"/>
      <c r="J12" s="670"/>
    </row>
    <row r="13" spans="1:10" ht="14.25" customHeight="1" x14ac:dyDescent="0.2">
      <c r="A13" s="719"/>
      <c r="B13" s="729"/>
      <c r="C13" s="732"/>
      <c r="D13" s="733"/>
      <c r="E13" s="733"/>
      <c r="F13" s="723"/>
      <c r="G13" s="723"/>
      <c r="H13" s="756"/>
      <c r="I13" s="684"/>
      <c r="J13" s="670"/>
    </row>
    <row r="14" spans="1:10" ht="14.25" customHeight="1" x14ac:dyDescent="0.2">
      <c r="A14" s="719"/>
      <c r="B14" s="729"/>
      <c r="C14" s="732"/>
      <c r="D14" s="733"/>
      <c r="E14" s="733"/>
      <c r="F14" s="723"/>
      <c r="G14" s="723"/>
      <c r="H14" s="756"/>
      <c r="I14" s="684"/>
      <c r="J14" s="670"/>
    </row>
    <row r="15" spans="1:10" ht="14.25" customHeight="1" x14ac:dyDescent="0.2">
      <c r="A15" s="719"/>
      <c r="B15" s="729"/>
      <c r="C15" s="732"/>
      <c r="D15" s="733"/>
      <c r="E15" s="733"/>
      <c r="F15" s="723"/>
      <c r="G15" s="723"/>
      <c r="H15" s="756"/>
      <c r="I15" s="684"/>
      <c r="J15" s="670"/>
    </row>
    <row r="16" spans="1:10" ht="14.25" customHeight="1" x14ac:dyDescent="0.2">
      <c r="A16" s="719"/>
      <c r="B16" s="729"/>
      <c r="C16" s="732"/>
      <c r="D16" s="733"/>
      <c r="E16" s="733"/>
      <c r="F16" s="723"/>
      <c r="G16" s="723"/>
      <c r="H16" s="756"/>
      <c r="I16" s="684"/>
      <c r="J16" s="670"/>
    </row>
    <row r="17" spans="1:10" ht="14.25" customHeight="1" x14ac:dyDescent="0.2">
      <c r="A17" s="724"/>
      <c r="B17" s="729"/>
      <c r="C17" s="732"/>
      <c r="D17" s="733"/>
      <c r="E17" s="733"/>
      <c r="F17" s="723"/>
      <c r="G17" s="723"/>
      <c r="H17" s="756"/>
      <c r="I17" s="684"/>
      <c r="J17" s="670"/>
    </row>
    <row r="18" spans="1:10" ht="14.25" customHeight="1" x14ac:dyDescent="0.2">
      <c r="A18" s="724"/>
      <c r="B18" s="760"/>
      <c r="C18" s="761"/>
      <c r="D18" s="762"/>
      <c r="E18" s="762"/>
      <c r="F18" s="723"/>
      <c r="G18" s="723"/>
      <c r="H18" s="757"/>
      <c r="I18" s="684"/>
      <c r="J18" s="670"/>
    </row>
    <row r="19" spans="1:10" ht="14.25" customHeight="1" x14ac:dyDescent="0.2">
      <c r="A19" s="753"/>
      <c r="B19" s="760"/>
      <c r="C19" s="761"/>
      <c r="D19" s="762"/>
      <c r="E19" s="762"/>
      <c r="F19" s="723"/>
      <c r="G19" s="723"/>
      <c r="H19" s="756"/>
      <c r="I19" s="684"/>
      <c r="J19" s="670"/>
    </row>
    <row r="20" spans="1:10" ht="14.25" customHeight="1" x14ac:dyDescent="0.2">
      <c r="A20" s="753"/>
      <c r="B20" s="760"/>
      <c r="C20" s="761"/>
      <c r="D20" s="762"/>
      <c r="E20" s="762"/>
      <c r="F20" s="723"/>
      <c r="G20" s="723"/>
      <c r="H20" s="754"/>
      <c r="I20" s="684"/>
      <c r="J20" s="670"/>
    </row>
    <row r="21" spans="1:10" ht="14.25" customHeight="1" x14ac:dyDescent="0.2">
      <c r="A21" s="725"/>
      <c r="B21" s="760"/>
      <c r="C21" s="761"/>
      <c r="D21" s="762"/>
      <c r="E21" s="762"/>
      <c r="F21" s="723"/>
      <c r="G21" s="723"/>
      <c r="H21" s="756"/>
      <c r="I21" s="684"/>
      <c r="J21" s="670"/>
    </row>
    <row r="22" spans="1:10" ht="14.25" customHeight="1" x14ac:dyDescent="0.2">
      <c r="A22" s="685"/>
      <c r="B22" s="720"/>
      <c r="C22" s="721"/>
      <c r="D22" s="722"/>
      <c r="E22" s="722"/>
      <c r="F22" s="698"/>
      <c r="G22" s="890"/>
      <c r="H22" s="754"/>
    </row>
    <row r="23" spans="1:10" ht="14.25" customHeight="1" x14ac:dyDescent="0.2">
      <c r="A23" s="685"/>
      <c r="B23" s="720"/>
      <c r="C23" s="721"/>
      <c r="D23" s="722"/>
      <c r="E23" s="722"/>
      <c r="F23" s="698"/>
      <c r="G23" s="890"/>
      <c r="H23" s="754"/>
    </row>
    <row r="24" spans="1:10" ht="14.25" customHeight="1" x14ac:dyDescent="0.2">
      <c r="A24" s="725"/>
      <c r="B24" s="720"/>
      <c r="C24" s="721"/>
      <c r="D24" s="722"/>
      <c r="E24" s="722"/>
      <c r="F24" s="718"/>
      <c r="G24" s="723"/>
      <c r="H24" s="757"/>
    </row>
    <row r="25" spans="1:10" ht="14.25" customHeight="1" x14ac:dyDescent="0.2">
      <c r="A25" s="725"/>
      <c r="B25" s="720"/>
      <c r="C25" s="721"/>
      <c r="D25" s="722"/>
      <c r="E25" s="722"/>
      <c r="F25" s="683"/>
      <c r="G25" s="691"/>
      <c r="H25" s="757"/>
    </row>
    <row r="26" spans="1:10" ht="14.25" customHeight="1" x14ac:dyDescent="0.2">
      <c r="A26" s="725"/>
      <c r="B26" s="720"/>
      <c r="C26" s="721"/>
      <c r="D26" s="722"/>
      <c r="E26" s="722"/>
      <c r="F26" s="683"/>
      <c r="G26" s="691"/>
      <c r="H26" s="757"/>
    </row>
    <row r="27" spans="1:10" ht="14.25" customHeight="1" x14ac:dyDescent="0.2">
      <c r="A27" s="725"/>
      <c r="B27" s="720"/>
      <c r="C27" s="721"/>
      <c r="D27" s="722"/>
      <c r="E27" s="722"/>
      <c r="F27" s="683"/>
      <c r="G27" s="691"/>
      <c r="H27" s="757"/>
    </row>
    <row r="28" spans="1:10" ht="14.25" customHeight="1" x14ac:dyDescent="0.2">
      <c r="A28" s="725"/>
      <c r="B28" s="720"/>
      <c r="C28" s="721"/>
      <c r="D28" s="722"/>
      <c r="E28" s="722"/>
      <c r="F28" s="683"/>
      <c r="G28" s="691"/>
      <c r="H28" s="633"/>
    </row>
    <row r="29" spans="1:10" ht="14.25" customHeight="1" x14ac:dyDescent="0.2">
      <c r="A29" s="725"/>
      <c r="B29" s="720"/>
      <c r="C29" s="721"/>
      <c r="D29" s="722"/>
      <c r="E29" s="722"/>
      <c r="F29" s="683"/>
      <c r="G29" s="691"/>
      <c r="H29" s="633"/>
    </row>
    <row r="30" spans="1:10" ht="14.25" customHeight="1" x14ac:dyDescent="0.2">
      <c r="A30" s="725"/>
      <c r="B30" s="720"/>
      <c r="C30" s="721"/>
      <c r="D30" s="722"/>
      <c r="E30" s="722"/>
      <c r="F30" s="683"/>
      <c r="G30" s="691"/>
      <c r="H30" s="633"/>
    </row>
    <row r="31" spans="1:10" x14ac:dyDescent="0.2">
      <c r="F31" s="892" t="s">
        <v>123</v>
      </c>
      <c r="G31" s="697">
        <f>SUM(G7:G30)</f>
        <v>0</v>
      </c>
      <c r="H31" s="108">
        <f>SUM(H7:H30)</f>
        <v>1</v>
      </c>
    </row>
    <row r="32" spans="1:10" x14ac:dyDescent="0.2">
      <c r="F32" s="689"/>
      <c r="G32" s="690"/>
      <c r="H32" s="690"/>
    </row>
    <row r="33" spans="6:8" ht="14.25" x14ac:dyDescent="0.2">
      <c r="F33" s="1153" t="s">
        <v>8</v>
      </c>
      <c r="G33" s="1154"/>
      <c r="H33" s="109">
        <f>G31-H31</f>
        <v>-1</v>
      </c>
    </row>
  </sheetData>
  <mergeCells count="3">
    <mergeCell ref="C1:H5"/>
    <mergeCell ref="J1:J3"/>
    <mergeCell ref="F33:G33"/>
  </mergeCells>
  <hyperlinks>
    <hyperlink ref="J6" location="'ANA SAYFA'!A1" display="AnaSayfa"/>
    <hyperlink ref="J1:J3" location="'ANA SAYFA'!A1" display="ANA SAYFA"/>
  </hyperlinks>
  <pageMargins left="0.7" right="0.12" top="0.28000000000000003" bottom="0.75" header="0.3" footer="0.3"/>
  <pageSetup paperSize="9" scale="71" orientation="portrait" r:id="rId1"/>
  <colBreaks count="1" manualBreakCount="1">
    <brk id="8" max="1048575" man="1"/>
  </colBreaks>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zoomScaleNormal="100" workbookViewId="0">
      <selection activeCell="J1" sqref="J1:J3"/>
    </sheetView>
  </sheetViews>
  <sheetFormatPr defaultColWidth="9.140625" defaultRowHeight="12.75" x14ac:dyDescent="0.2"/>
  <cols>
    <col min="1" max="1" width="18.140625" style="699" bestFit="1" customWidth="1"/>
    <col min="2" max="2" width="25.7109375" style="699" bestFit="1" customWidth="1"/>
    <col min="3" max="3" width="25.5703125" style="699" bestFit="1" customWidth="1"/>
    <col min="4" max="5" width="9.28515625" style="699" bestFit="1" customWidth="1"/>
    <col min="6" max="6" width="26.28515625" style="699" bestFit="1" customWidth="1"/>
    <col min="7" max="8" width="13" style="699" customWidth="1"/>
    <col min="9" max="9" width="4.42578125" style="699" customWidth="1"/>
    <col min="10" max="10" width="12.28515625" style="699" customWidth="1"/>
    <col min="11" max="16384" width="9.140625" style="699"/>
  </cols>
  <sheetData>
    <row r="1" spans="1:10" ht="15" customHeight="1" x14ac:dyDescent="0.2">
      <c r="A1" s="669" t="s">
        <v>135</v>
      </c>
      <c r="B1" s="745" t="str">
        <f>'ANA SAYFA'!B125</f>
        <v>HAYDAR COŞKUN</v>
      </c>
      <c r="C1" s="1166" t="s">
        <v>136</v>
      </c>
      <c r="D1" s="1166"/>
      <c r="E1" s="1166"/>
      <c r="F1" s="1166"/>
      <c r="G1" s="1166"/>
      <c r="H1" s="1166"/>
      <c r="I1" s="668"/>
      <c r="J1" s="1228" t="s">
        <v>712</v>
      </c>
    </row>
    <row r="2" spans="1:10" ht="15" customHeight="1" x14ac:dyDescent="0.2">
      <c r="A2" s="669" t="s">
        <v>137</v>
      </c>
      <c r="B2" s="728">
        <f>'ANA SAYFA'!D125</f>
        <v>66652234880</v>
      </c>
      <c r="C2" s="1166"/>
      <c r="D2" s="1166"/>
      <c r="E2" s="1166"/>
      <c r="F2" s="1166"/>
      <c r="G2" s="1166"/>
      <c r="H2" s="1166"/>
      <c r="I2" s="668"/>
      <c r="J2" s="1229"/>
    </row>
    <row r="3" spans="1:10" ht="15" customHeight="1" thickBot="1" x14ac:dyDescent="0.25">
      <c r="A3" s="669" t="s">
        <v>131</v>
      </c>
      <c r="B3" s="727" t="str">
        <f>'ANA SAYFA'!C125</f>
        <v>İşaretçi/Sapancı</v>
      </c>
      <c r="C3" s="1166"/>
      <c r="D3" s="1166"/>
      <c r="E3" s="1166"/>
      <c r="F3" s="1166"/>
      <c r="G3" s="1166"/>
      <c r="H3" s="1166"/>
      <c r="I3" s="668"/>
      <c r="J3" s="1230"/>
    </row>
    <row r="4" spans="1:10" ht="15" customHeight="1" x14ac:dyDescent="0.2">
      <c r="A4" s="669" t="s">
        <v>120</v>
      </c>
      <c r="B4" s="700">
        <f>'ANA SAYFA'!E125</f>
        <v>45765</v>
      </c>
      <c r="C4" s="1166"/>
      <c r="D4" s="1166"/>
      <c r="E4" s="1166"/>
      <c r="F4" s="1166"/>
      <c r="G4" s="1166"/>
      <c r="H4" s="1166"/>
      <c r="I4" s="668"/>
      <c r="J4" s="670"/>
    </row>
    <row r="5" spans="1:10" ht="15" customHeight="1" x14ac:dyDescent="0.2">
      <c r="A5" s="669" t="s">
        <v>130</v>
      </c>
      <c r="B5" s="700">
        <f>'ANA SAYFA'!F125</f>
        <v>25832</v>
      </c>
      <c r="C5" s="1166"/>
      <c r="D5" s="1166"/>
      <c r="E5" s="1166"/>
      <c r="F5" s="1166"/>
      <c r="G5" s="1166"/>
      <c r="H5" s="1166"/>
      <c r="I5" s="668"/>
    </row>
    <row r="6" spans="1:10" ht="31.5" x14ac:dyDescent="0.2">
      <c r="A6" s="894" t="s">
        <v>0</v>
      </c>
      <c r="B6" s="694" t="s">
        <v>1</v>
      </c>
      <c r="C6" s="894" t="s">
        <v>2</v>
      </c>
      <c r="D6" s="695" t="s">
        <v>133</v>
      </c>
      <c r="E6" s="695" t="s">
        <v>4</v>
      </c>
      <c r="F6" s="695" t="s">
        <v>7</v>
      </c>
      <c r="G6" s="695" t="s">
        <v>6</v>
      </c>
      <c r="H6" s="695" t="s">
        <v>16</v>
      </c>
      <c r="I6" s="672"/>
    </row>
    <row r="7" spans="1:10" ht="14.25" customHeight="1" x14ac:dyDescent="0.2">
      <c r="A7" s="719"/>
      <c r="B7" s="729">
        <v>45772</v>
      </c>
      <c r="C7" s="732">
        <v>45772</v>
      </c>
      <c r="D7" s="733">
        <v>0.33333333333333331</v>
      </c>
      <c r="E7" s="733">
        <v>0.33333333333333331</v>
      </c>
      <c r="F7" s="1032" t="s">
        <v>1008</v>
      </c>
      <c r="G7" s="723">
        <v>20</v>
      </c>
      <c r="H7" s="756">
        <v>1</v>
      </c>
      <c r="I7" s="684"/>
      <c r="J7" s="670"/>
    </row>
    <row r="8" spans="1:10" ht="14.25" customHeight="1" x14ac:dyDescent="0.2">
      <c r="A8" s="719"/>
      <c r="B8" s="729">
        <v>45919</v>
      </c>
      <c r="C8" s="732">
        <v>45928</v>
      </c>
      <c r="D8" s="733">
        <v>0.33333333333333331</v>
      </c>
      <c r="E8" s="733">
        <v>0.33333333333333331</v>
      </c>
      <c r="F8" s="723"/>
      <c r="G8" s="723"/>
      <c r="H8" s="756">
        <v>8</v>
      </c>
      <c r="I8" s="684"/>
      <c r="J8" s="670"/>
    </row>
    <row r="9" spans="1:10" x14ac:dyDescent="0.2">
      <c r="A9" s="719"/>
      <c r="B9" s="729">
        <v>45996</v>
      </c>
      <c r="C9" s="732">
        <v>46003</v>
      </c>
      <c r="D9" s="733">
        <v>0.33333333333333331</v>
      </c>
      <c r="E9" s="733">
        <v>0.33333333333333331</v>
      </c>
      <c r="F9" s="723"/>
      <c r="G9" s="723"/>
      <c r="H9" s="756">
        <v>6</v>
      </c>
      <c r="I9" s="684"/>
      <c r="J9" s="670"/>
    </row>
    <row r="10" spans="1:10" ht="14.25" customHeight="1" x14ac:dyDescent="0.2">
      <c r="A10" s="719"/>
      <c r="B10" s="729"/>
      <c r="C10" s="732"/>
      <c r="D10" s="733"/>
      <c r="E10" s="733"/>
      <c r="F10" s="723"/>
      <c r="G10" s="723"/>
      <c r="H10" s="756"/>
      <c r="I10" s="684"/>
      <c r="J10" s="670"/>
    </row>
    <row r="11" spans="1:10" ht="14.25" customHeight="1" x14ac:dyDescent="0.2">
      <c r="A11" s="719"/>
      <c r="B11" s="729"/>
      <c r="C11" s="732"/>
      <c r="D11" s="733"/>
      <c r="E11" s="733"/>
      <c r="F11" s="723"/>
      <c r="G11" s="723"/>
      <c r="H11" s="756"/>
      <c r="I11" s="684"/>
      <c r="J11" s="670"/>
    </row>
    <row r="12" spans="1:10" ht="14.25" customHeight="1" x14ac:dyDescent="0.2">
      <c r="A12" s="719"/>
      <c r="B12" s="729"/>
      <c r="C12" s="732"/>
      <c r="D12" s="733"/>
      <c r="E12" s="733"/>
      <c r="F12" s="723"/>
      <c r="G12" s="723"/>
      <c r="H12" s="756"/>
      <c r="I12" s="684"/>
      <c r="J12" s="670"/>
    </row>
    <row r="13" spans="1:10" ht="14.25" customHeight="1" x14ac:dyDescent="0.2">
      <c r="A13" s="719"/>
      <c r="B13" s="729"/>
      <c r="C13" s="732"/>
      <c r="D13" s="733"/>
      <c r="E13" s="733"/>
      <c r="F13" s="723"/>
      <c r="G13" s="723"/>
      <c r="H13" s="756"/>
      <c r="I13" s="684"/>
      <c r="J13" s="670"/>
    </row>
    <row r="14" spans="1:10" ht="14.25" customHeight="1" x14ac:dyDescent="0.2">
      <c r="A14" s="719"/>
      <c r="B14" s="729"/>
      <c r="C14" s="732"/>
      <c r="D14" s="733"/>
      <c r="E14" s="733"/>
      <c r="F14" s="723"/>
      <c r="G14" s="723"/>
      <c r="H14" s="756"/>
      <c r="I14" s="684"/>
      <c r="J14" s="670"/>
    </row>
    <row r="15" spans="1:10" ht="14.25" customHeight="1" x14ac:dyDescent="0.2">
      <c r="A15" s="719"/>
      <c r="B15" s="729"/>
      <c r="C15" s="732"/>
      <c r="D15" s="733"/>
      <c r="E15" s="733"/>
      <c r="F15" s="723"/>
      <c r="G15" s="723"/>
      <c r="H15" s="756"/>
      <c r="I15" s="684"/>
      <c r="J15" s="670"/>
    </row>
    <row r="16" spans="1:10" ht="14.25" customHeight="1" x14ac:dyDescent="0.2">
      <c r="A16" s="719"/>
      <c r="B16" s="729"/>
      <c r="C16" s="732"/>
      <c r="D16" s="733"/>
      <c r="E16" s="733"/>
      <c r="F16" s="723"/>
      <c r="G16" s="723"/>
      <c r="H16" s="756"/>
      <c r="I16" s="684"/>
      <c r="J16" s="670"/>
    </row>
    <row r="17" spans="1:10" ht="14.25" customHeight="1" x14ac:dyDescent="0.2">
      <c r="A17" s="724"/>
      <c r="B17" s="729"/>
      <c r="C17" s="732"/>
      <c r="D17" s="733"/>
      <c r="E17" s="733"/>
      <c r="F17" s="723"/>
      <c r="G17" s="723"/>
      <c r="H17" s="756"/>
      <c r="I17" s="684"/>
      <c r="J17" s="670"/>
    </row>
    <row r="18" spans="1:10" ht="14.25" customHeight="1" x14ac:dyDescent="0.2">
      <c r="A18" s="724"/>
      <c r="B18" s="760"/>
      <c r="C18" s="761"/>
      <c r="D18" s="762"/>
      <c r="E18" s="762"/>
      <c r="F18" s="723"/>
      <c r="G18" s="723"/>
      <c r="H18" s="757"/>
      <c r="I18" s="684"/>
      <c r="J18" s="670"/>
    </row>
    <row r="19" spans="1:10" ht="14.25" customHeight="1" x14ac:dyDescent="0.2">
      <c r="A19" s="753"/>
      <c r="B19" s="760"/>
      <c r="C19" s="761"/>
      <c r="D19" s="762"/>
      <c r="E19" s="762"/>
      <c r="F19" s="723"/>
      <c r="G19" s="723"/>
      <c r="H19" s="756"/>
      <c r="I19" s="684"/>
      <c r="J19" s="670"/>
    </row>
    <row r="20" spans="1:10" ht="14.25" customHeight="1" x14ac:dyDescent="0.2">
      <c r="A20" s="753"/>
      <c r="B20" s="760"/>
      <c r="C20" s="761"/>
      <c r="D20" s="762"/>
      <c r="E20" s="762"/>
      <c r="F20" s="723"/>
      <c r="G20" s="723"/>
      <c r="H20" s="754"/>
      <c r="I20" s="684"/>
      <c r="J20" s="670"/>
    </row>
    <row r="21" spans="1:10" ht="14.25" customHeight="1" x14ac:dyDescent="0.2">
      <c r="A21" s="725"/>
      <c r="B21" s="760"/>
      <c r="C21" s="761"/>
      <c r="D21" s="762"/>
      <c r="E21" s="762"/>
      <c r="F21" s="723"/>
      <c r="G21" s="723"/>
      <c r="H21" s="756"/>
      <c r="I21" s="684"/>
      <c r="J21" s="670"/>
    </row>
    <row r="22" spans="1:10" ht="14.25" customHeight="1" x14ac:dyDescent="0.2">
      <c r="A22" s="685"/>
      <c r="B22" s="720"/>
      <c r="C22" s="721"/>
      <c r="D22" s="722"/>
      <c r="E22" s="722"/>
      <c r="F22" s="698"/>
      <c r="G22" s="893"/>
      <c r="H22" s="754"/>
    </row>
    <row r="23" spans="1:10" ht="14.25" customHeight="1" x14ac:dyDescent="0.2">
      <c r="A23" s="685"/>
      <c r="B23" s="720"/>
      <c r="C23" s="721"/>
      <c r="D23" s="722"/>
      <c r="E23" s="722"/>
      <c r="F23" s="698"/>
      <c r="G23" s="893"/>
      <c r="H23" s="754"/>
    </row>
    <row r="24" spans="1:10" ht="14.25" customHeight="1" x14ac:dyDescent="0.2">
      <c r="A24" s="725"/>
      <c r="B24" s="720"/>
      <c r="C24" s="721"/>
      <c r="D24" s="722"/>
      <c r="E24" s="722"/>
      <c r="F24" s="718"/>
      <c r="G24" s="723"/>
      <c r="H24" s="757"/>
    </row>
    <row r="25" spans="1:10" ht="14.25" customHeight="1" x14ac:dyDescent="0.2">
      <c r="A25" s="725"/>
      <c r="B25" s="720"/>
      <c r="C25" s="721"/>
      <c r="D25" s="722"/>
      <c r="E25" s="722"/>
      <c r="F25" s="683"/>
      <c r="G25" s="691"/>
      <c r="H25" s="757"/>
    </row>
    <row r="26" spans="1:10" ht="14.25" customHeight="1" x14ac:dyDescent="0.2">
      <c r="A26" s="725"/>
      <c r="B26" s="720"/>
      <c r="C26" s="721"/>
      <c r="D26" s="722"/>
      <c r="E26" s="722"/>
      <c r="F26" s="683"/>
      <c r="G26" s="691"/>
      <c r="H26" s="757"/>
    </row>
    <row r="27" spans="1:10" ht="14.25" customHeight="1" x14ac:dyDescent="0.2">
      <c r="A27" s="725"/>
      <c r="B27" s="720"/>
      <c r="C27" s="721"/>
      <c r="D27" s="722"/>
      <c r="E27" s="722"/>
      <c r="F27" s="683"/>
      <c r="G27" s="691"/>
      <c r="H27" s="757"/>
    </row>
    <row r="28" spans="1:10" ht="14.25" customHeight="1" x14ac:dyDescent="0.2">
      <c r="A28" s="725"/>
      <c r="B28" s="720"/>
      <c r="C28" s="721"/>
      <c r="D28" s="722"/>
      <c r="E28" s="722"/>
      <c r="F28" s="683"/>
      <c r="G28" s="691"/>
      <c r="H28" s="633"/>
    </row>
    <row r="29" spans="1:10" ht="14.25" customHeight="1" x14ac:dyDescent="0.2">
      <c r="A29" s="725"/>
      <c r="B29" s="720"/>
      <c r="C29" s="721"/>
      <c r="D29" s="722"/>
      <c r="E29" s="722"/>
      <c r="F29" s="683"/>
      <c r="G29" s="691"/>
      <c r="H29" s="633"/>
    </row>
    <row r="30" spans="1:10" ht="14.25" customHeight="1" x14ac:dyDescent="0.2">
      <c r="A30" s="725"/>
      <c r="B30" s="720"/>
      <c r="C30" s="721"/>
      <c r="D30" s="722"/>
      <c r="E30" s="722"/>
      <c r="F30" s="683"/>
      <c r="G30" s="691"/>
      <c r="H30" s="633"/>
    </row>
    <row r="31" spans="1:10" x14ac:dyDescent="0.2">
      <c r="F31" s="895" t="s">
        <v>123</v>
      </c>
      <c r="G31" s="697">
        <f>SUM(G7:G30)</f>
        <v>20</v>
      </c>
      <c r="H31" s="108">
        <f>SUM(H7:H30)</f>
        <v>15</v>
      </c>
    </row>
    <row r="32" spans="1:10" x14ac:dyDescent="0.2">
      <c r="F32" s="689"/>
      <c r="G32" s="690"/>
      <c r="H32" s="690"/>
    </row>
    <row r="33" spans="6:8" ht="14.25" x14ac:dyDescent="0.2">
      <c r="F33" s="1153" t="s">
        <v>8</v>
      </c>
      <c r="G33" s="1154"/>
      <c r="H33" s="109">
        <f>G31-H31</f>
        <v>5</v>
      </c>
    </row>
  </sheetData>
  <mergeCells count="3">
    <mergeCell ref="C1:H5"/>
    <mergeCell ref="J1:J3"/>
    <mergeCell ref="F33:G33"/>
  </mergeCells>
  <hyperlinks>
    <hyperlink ref="J6" location="'ANA SAYFA'!A1" display="AnaSayfa"/>
    <hyperlink ref="J1:J3" location="'ANA SAYFA'!A1" display="ANA SAYFA"/>
  </hyperlinks>
  <pageMargins left="0.7" right="0.12" top="0.28000000000000003" bottom="0.75" header="0.3" footer="0.3"/>
  <pageSetup paperSize="9" scale="73" orientation="portrait" r:id="rId1"/>
  <colBreaks count="1" manualBreakCount="1">
    <brk id="8" max="1048575" man="1"/>
  </colBreaks>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2"/>
  <sheetViews>
    <sheetView zoomScaleNormal="100" workbookViewId="0">
      <selection activeCell="J1" sqref="J1:J3"/>
    </sheetView>
  </sheetViews>
  <sheetFormatPr defaultColWidth="9.140625" defaultRowHeight="12.75" x14ac:dyDescent="0.2"/>
  <cols>
    <col min="1" max="1" width="18.140625" style="699" bestFit="1" customWidth="1"/>
    <col min="2" max="2" width="25.7109375" style="699" bestFit="1" customWidth="1"/>
    <col min="3" max="3" width="26.7109375" style="699" bestFit="1" customWidth="1"/>
    <col min="4" max="5" width="9.28515625" style="699" bestFit="1" customWidth="1"/>
    <col min="6" max="6" width="26.28515625" style="699" bestFit="1" customWidth="1"/>
    <col min="7" max="8" width="13" style="699" customWidth="1"/>
    <col min="9" max="9" width="4.42578125" style="699" customWidth="1"/>
    <col min="10" max="10" width="12.28515625" style="699" customWidth="1"/>
    <col min="11" max="16384" width="9.140625" style="699"/>
  </cols>
  <sheetData>
    <row r="1" spans="1:10" ht="15" customHeight="1" x14ac:dyDescent="0.2">
      <c r="A1" s="669" t="s">
        <v>135</v>
      </c>
      <c r="B1" s="745" t="str">
        <f>'ANA SAYFA'!B126</f>
        <v>SELAHATTİN ÇETİNKAYA</v>
      </c>
      <c r="C1" s="1166" t="s">
        <v>136</v>
      </c>
      <c r="D1" s="1166"/>
      <c r="E1" s="1166"/>
      <c r="F1" s="1166"/>
      <c r="G1" s="1166"/>
      <c r="H1" s="1166"/>
      <c r="I1" s="668"/>
      <c r="J1" s="1228" t="s">
        <v>712</v>
      </c>
    </row>
    <row r="2" spans="1:10" ht="15" customHeight="1" x14ac:dyDescent="0.2">
      <c r="A2" s="669" t="s">
        <v>137</v>
      </c>
      <c r="B2" s="728">
        <f>'ANA SAYFA'!D126</f>
        <v>11277017332</v>
      </c>
      <c r="C2" s="1166"/>
      <c r="D2" s="1166"/>
      <c r="E2" s="1166"/>
      <c r="F2" s="1166"/>
      <c r="G2" s="1166"/>
      <c r="H2" s="1166"/>
      <c r="I2" s="668"/>
      <c r="J2" s="1229"/>
    </row>
    <row r="3" spans="1:10" ht="15" customHeight="1" thickBot="1" x14ac:dyDescent="0.25">
      <c r="A3" s="669" t="s">
        <v>131</v>
      </c>
      <c r="B3" s="727" t="str">
        <f>'ANA SAYFA'!C126</f>
        <v>İŞARETÇİ/SAPANCI</v>
      </c>
      <c r="C3" s="1166"/>
      <c r="D3" s="1166"/>
      <c r="E3" s="1166"/>
      <c r="F3" s="1166"/>
      <c r="G3" s="1166"/>
      <c r="H3" s="1166"/>
      <c r="I3" s="668"/>
      <c r="J3" s="1230"/>
    </row>
    <row r="4" spans="1:10" ht="15" customHeight="1" x14ac:dyDescent="0.2">
      <c r="A4" s="669" t="s">
        <v>120</v>
      </c>
      <c r="B4" s="700">
        <f>'ANA SAYFA'!E126</f>
        <v>45807</v>
      </c>
      <c r="C4" s="1166"/>
      <c r="D4" s="1166"/>
      <c r="E4" s="1166"/>
      <c r="F4" s="1166"/>
      <c r="G4" s="1166"/>
      <c r="H4" s="1166"/>
      <c r="I4" s="668"/>
      <c r="J4" s="670"/>
    </row>
    <row r="5" spans="1:10" ht="15" customHeight="1" x14ac:dyDescent="0.2">
      <c r="A5" s="669" t="s">
        <v>130</v>
      </c>
      <c r="B5" s="700">
        <f>'ANA SAYFA'!F126</f>
        <v>26969</v>
      </c>
      <c r="C5" s="1166"/>
      <c r="D5" s="1166"/>
      <c r="E5" s="1166"/>
      <c r="F5" s="1166"/>
      <c r="G5" s="1166"/>
      <c r="H5" s="1166"/>
      <c r="I5" s="668"/>
    </row>
    <row r="6" spans="1:10" ht="31.5" x14ac:dyDescent="0.2">
      <c r="A6" s="894" t="s">
        <v>0</v>
      </c>
      <c r="B6" s="694" t="s">
        <v>1</v>
      </c>
      <c r="C6" s="894" t="s">
        <v>2</v>
      </c>
      <c r="D6" s="695" t="s">
        <v>133</v>
      </c>
      <c r="E6" s="695" t="s">
        <v>4</v>
      </c>
      <c r="F6" s="695" t="s">
        <v>7</v>
      </c>
      <c r="G6" s="695" t="s">
        <v>6</v>
      </c>
      <c r="H6" s="695" t="s">
        <v>16</v>
      </c>
      <c r="I6" s="672"/>
    </row>
    <row r="7" spans="1:10" ht="14.25" customHeight="1" x14ac:dyDescent="0.2">
      <c r="A7" s="719"/>
      <c r="B7" s="729">
        <v>46062</v>
      </c>
      <c r="C7" s="732">
        <v>46063</v>
      </c>
      <c r="D7" s="733"/>
      <c r="E7" s="733"/>
      <c r="F7" s="1032" t="s">
        <v>1010</v>
      </c>
      <c r="G7" s="723">
        <v>20</v>
      </c>
      <c r="H7" s="756">
        <v>1</v>
      </c>
      <c r="I7" s="684"/>
      <c r="J7" s="670"/>
    </row>
    <row r="8" spans="1:10" ht="14.25" customHeight="1" x14ac:dyDescent="0.2">
      <c r="A8" s="719"/>
      <c r="B8" s="729">
        <v>46076</v>
      </c>
      <c r="C8" s="732">
        <v>46077</v>
      </c>
      <c r="D8" s="733"/>
      <c r="E8" s="733"/>
      <c r="F8" s="723"/>
      <c r="G8" s="723"/>
      <c r="H8" s="756">
        <v>1</v>
      </c>
      <c r="I8" s="684"/>
      <c r="J8" s="670"/>
    </row>
    <row r="9" spans="1:10" ht="14.25" customHeight="1" x14ac:dyDescent="0.2">
      <c r="A9" s="719"/>
      <c r="B9" s="729">
        <v>46088</v>
      </c>
      <c r="C9" s="732">
        <v>46090</v>
      </c>
      <c r="D9" s="733"/>
      <c r="E9" s="733"/>
      <c r="F9" s="723"/>
      <c r="G9" s="723"/>
      <c r="H9" s="756">
        <v>1</v>
      </c>
      <c r="I9" s="684"/>
      <c r="J9" s="670"/>
    </row>
    <row r="10" spans="1:10" ht="14.25" customHeight="1" x14ac:dyDescent="0.2">
      <c r="A10" s="719"/>
      <c r="B10" s="729">
        <v>46109</v>
      </c>
      <c r="C10" s="732">
        <v>46111</v>
      </c>
      <c r="D10" s="733"/>
      <c r="E10" s="733"/>
      <c r="F10" s="723"/>
      <c r="G10" s="723"/>
      <c r="H10" s="756">
        <v>1</v>
      </c>
      <c r="I10" s="684"/>
      <c r="J10" s="670"/>
    </row>
    <row r="11" spans="1:10" ht="14.25" customHeight="1" x14ac:dyDescent="0.2">
      <c r="A11" s="719"/>
      <c r="B11" s="729">
        <v>46112</v>
      </c>
      <c r="C11" s="732">
        <v>46113</v>
      </c>
      <c r="D11" s="733"/>
      <c r="E11" s="733"/>
      <c r="F11" s="723"/>
      <c r="G11" s="723"/>
      <c r="H11" s="756">
        <v>1</v>
      </c>
      <c r="I11" s="684"/>
      <c r="J11" s="670"/>
    </row>
    <row r="12" spans="1:10" ht="14.25" customHeight="1" x14ac:dyDescent="0.2">
      <c r="A12" s="719"/>
      <c r="B12" s="729">
        <v>46113</v>
      </c>
      <c r="C12" s="732">
        <v>46118</v>
      </c>
      <c r="D12" s="733"/>
      <c r="E12" s="733"/>
      <c r="F12" s="723"/>
      <c r="G12" s="723"/>
      <c r="H12" s="756">
        <v>4</v>
      </c>
      <c r="I12" s="684"/>
      <c r="J12" s="670"/>
    </row>
    <row r="13" spans="1:10" ht="14.25" customHeight="1" x14ac:dyDescent="0.2">
      <c r="A13" s="719"/>
      <c r="B13" s="729"/>
      <c r="C13" s="732"/>
      <c r="D13" s="733"/>
      <c r="E13" s="733"/>
      <c r="F13" s="723"/>
      <c r="G13" s="723"/>
      <c r="H13" s="756"/>
      <c r="I13" s="684"/>
      <c r="J13" s="670"/>
    </row>
    <row r="14" spans="1:10" ht="14.25" customHeight="1" x14ac:dyDescent="0.2">
      <c r="A14" s="719"/>
      <c r="B14" s="729"/>
      <c r="C14" s="732"/>
      <c r="D14" s="733"/>
      <c r="E14" s="733"/>
      <c r="F14" s="723"/>
      <c r="G14" s="723"/>
      <c r="H14" s="756"/>
      <c r="I14" s="684"/>
      <c r="J14" s="670"/>
    </row>
    <row r="15" spans="1:10" ht="14.25" customHeight="1" x14ac:dyDescent="0.2">
      <c r="A15" s="719"/>
      <c r="B15" s="729"/>
      <c r="C15" s="732"/>
      <c r="D15" s="733"/>
      <c r="E15" s="733"/>
      <c r="F15" s="723"/>
      <c r="G15" s="723"/>
      <c r="H15" s="756"/>
      <c r="I15" s="684"/>
      <c r="J15" s="670"/>
    </row>
    <row r="16" spans="1:10" ht="14.25" customHeight="1" x14ac:dyDescent="0.2">
      <c r="A16" s="724"/>
      <c r="B16" s="729"/>
      <c r="C16" s="732"/>
      <c r="D16" s="733"/>
      <c r="E16" s="733"/>
      <c r="F16" s="723"/>
      <c r="G16" s="723"/>
      <c r="H16" s="756"/>
      <c r="I16" s="684"/>
      <c r="J16" s="670"/>
    </row>
    <row r="17" spans="1:10" ht="14.25" customHeight="1" x14ac:dyDescent="0.2">
      <c r="A17" s="724"/>
      <c r="B17" s="760"/>
      <c r="C17" s="761"/>
      <c r="D17" s="762"/>
      <c r="E17" s="762"/>
      <c r="F17" s="723"/>
      <c r="G17" s="723"/>
      <c r="H17" s="757"/>
      <c r="I17" s="684"/>
      <c r="J17" s="670"/>
    </row>
    <row r="18" spans="1:10" ht="14.25" customHeight="1" x14ac:dyDescent="0.2">
      <c r="A18" s="753"/>
      <c r="B18" s="760"/>
      <c r="C18" s="761"/>
      <c r="D18" s="762"/>
      <c r="E18" s="762"/>
      <c r="F18" s="723"/>
      <c r="G18" s="723"/>
      <c r="H18" s="756"/>
      <c r="I18" s="684"/>
      <c r="J18" s="670"/>
    </row>
    <row r="19" spans="1:10" ht="14.25" customHeight="1" x14ac:dyDescent="0.2">
      <c r="A19" s="753"/>
      <c r="B19" s="760"/>
      <c r="C19" s="761"/>
      <c r="D19" s="762"/>
      <c r="E19" s="762"/>
      <c r="F19" s="723"/>
      <c r="G19" s="723"/>
      <c r="H19" s="754"/>
      <c r="I19" s="684"/>
      <c r="J19" s="670"/>
    </row>
    <row r="20" spans="1:10" ht="14.25" customHeight="1" x14ac:dyDescent="0.2">
      <c r="A20" s="725"/>
      <c r="B20" s="760"/>
      <c r="C20" s="761"/>
      <c r="D20" s="762"/>
      <c r="E20" s="762"/>
      <c r="F20" s="723"/>
      <c r="G20" s="723"/>
      <c r="H20" s="756"/>
      <c r="I20" s="684"/>
      <c r="J20" s="670"/>
    </row>
    <row r="21" spans="1:10" ht="14.25" customHeight="1" x14ac:dyDescent="0.2">
      <c r="A21" s="685"/>
      <c r="B21" s="720"/>
      <c r="C21" s="721"/>
      <c r="D21" s="722"/>
      <c r="E21" s="722"/>
      <c r="F21" s="698"/>
      <c r="G21" s="893"/>
      <c r="H21" s="754"/>
    </row>
    <row r="22" spans="1:10" ht="14.25" customHeight="1" x14ac:dyDescent="0.2">
      <c r="A22" s="685"/>
      <c r="B22" s="720"/>
      <c r="C22" s="721"/>
      <c r="D22" s="722"/>
      <c r="E22" s="722"/>
      <c r="F22" s="698"/>
      <c r="G22" s="893"/>
      <c r="H22" s="754"/>
    </row>
    <row r="23" spans="1:10" ht="14.25" customHeight="1" x14ac:dyDescent="0.2">
      <c r="A23" s="725"/>
      <c r="B23" s="720"/>
      <c r="C23" s="721"/>
      <c r="D23" s="722"/>
      <c r="E23" s="722"/>
      <c r="F23" s="718"/>
      <c r="G23" s="723"/>
      <c r="H23" s="757"/>
    </row>
    <row r="24" spans="1:10" ht="14.25" customHeight="1" x14ac:dyDescent="0.2">
      <c r="A24" s="725"/>
      <c r="B24" s="720"/>
      <c r="C24" s="721"/>
      <c r="D24" s="722"/>
      <c r="E24" s="722"/>
      <c r="F24" s="683"/>
      <c r="G24" s="691"/>
      <c r="H24" s="757"/>
    </row>
    <row r="25" spans="1:10" ht="14.25" customHeight="1" x14ac:dyDescent="0.2">
      <c r="A25" s="725"/>
      <c r="B25" s="720"/>
      <c r="C25" s="721"/>
      <c r="D25" s="722"/>
      <c r="E25" s="722"/>
      <c r="F25" s="683"/>
      <c r="G25" s="691"/>
      <c r="H25" s="757"/>
    </row>
    <row r="26" spans="1:10" ht="14.25" customHeight="1" x14ac:dyDescent="0.2">
      <c r="A26" s="725"/>
      <c r="B26" s="720"/>
      <c r="C26" s="721"/>
      <c r="D26" s="722"/>
      <c r="E26" s="722"/>
      <c r="F26" s="683"/>
      <c r="G26" s="691"/>
      <c r="H26" s="757"/>
    </row>
    <row r="27" spans="1:10" ht="14.25" customHeight="1" x14ac:dyDescent="0.2">
      <c r="A27" s="725"/>
      <c r="B27" s="720"/>
      <c r="C27" s="721"/>
      <c r="D27" s="722"/>
      <c r="E27" s="722"/>
      <c r="F27" s="683"/>
      <c r="G27" s="691"/>
      <c r="H27" s="633"/>
    </row>
    <row r="28" spans="1:10" ht="14.25" customHeight="1" x14ac:dyDescent="0.2">
      <c r="A28" s="725"/>
      <c r="B28" s="720"/>
      <c r="C28" s="721"/>
      <c r="D28" s="722"/>
      <c r="E28" s="722"/>
      <c r="F28" s="683"/>
      <c r="G28" s="691"/>
      <c r="H28" s="633"/>
    </row>
    <row r="29" spans="1:10" ht="14.25" customHeight="1" x14ac:dyDescent="0.2">
      <c r="A29" s="725"/>
      <c r="B29" s="720"/>
      <c r="C29" s="721"/>
      <c r="D29" s="722"/>
      <c r="E29" s="722"/>
      <c r="F29" s="683"/>
      <c r="G29" s="691"/>
      <c r="H29" s="633"/>
    </row>
    <row r="30" spans="1:10" x14ac:dyDescent="0.2">
      <c r="F30" s="895" t="s">
        <v>123</v>
      </c>
      <c r="G30" s="697">
        <f>SUM(G7:G29)</f>
        <v>20</v>
      </c>
      <c r="H30" s="697">
        <f>SUM(H7:H29)</f>
        <v>9</v>
      </c>
    </row>
    <row r="31" spans="1:10" x14ac:dyDescent="0.2">
      <c r="F31" s="689"/>
      <c r="G31" s="690"/>
      <c r="H31" s="690"/>
    </row>
    <row r="32" spans="1:10" ht="14.25" x14ac:dyDescent="0.2">
      <c r="F32" s="1153" t="s">
        <v>8</v>
      </c>
      <c r="G32" s="1154"/>
      <c r="H32" s="109">
        <f>G30-H30</f>
        <v>11</v>
      </c>
    </row>
  </sheetData>
  <mergeCells count="3">
    <mergeCell ref="C1:H5"/>
    <mergeCell ref="J1:J3"/>
    <mergeCell ref="F32:G32"/>
  </mergeCells>
  <hyperlinks>
    <hyperlink ref="J6" location="'ANA SAYFA'!A1" display="AnaSayfa"/>
    <hyperlink ref="J1:J3" location="'ANA SAYFA'!A1" display="ANA SAYFA"/>
  </hyperlinks>
  <pageMargins left="0.7" right="0.12" top="0.28000000000000003" bottom="0.75" header="0.3" footer="0.3"/>
  <pageSetup paperSize="9" scale="71" orientation="portrait" r:id="rId1"/>
  <colBreaks count="1" manualBreakCount="1">
    <brk id="8" max="1048575" man="1"/>
  </colBreaks>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zoomScaleNormal="100" workbookViewId="0">
      <selection activeCell="J1" sqref="J1:J3"/>
    </sheetView>
  </sheetViews>
  <sheetFormatPr defaultColWidth="9.140625" defaultRowHeight="12.75" x14ac:dyDescent="0.2"/>
  <cols>
    <col min="1" max="1" width="18.140625" style="699" bestFit="1" customWidth="1"/>
    <col min="2" max="2" width="26.85546875" style="699" bestFit="1" customWidth="1"/>
    <col min="3" max="3" width="25.85546875" style="699" bestFit="1" customWidth="1"/>
    <col min="4" max="5" width="9.28515625" style="699" bestFit="1" customWidth="1"/>
    <col min="6" max="6" width="20.85546875" style="699" bestFit="1" customWidth="1"/>
    <col min="7" max="7" width="13" style="699" customWidth="1"/>
    <col min="8" max="8" width="14.28515625" style="699" customWidth="1"/>
    <col min="9" max="9" width="4.42578125" style="699" customWidth="1"/>
    <col min="10" max="10" width="12.28515625" style="699" customWidth="1"/>
    <col min="11" max="16384" width="9.140625" style="699"/>
  </cols>
  <sheetData>
    <row r="1" spans="1:10" ht="15" customHeight="1" x14ac:dyDescent="0.2">
      <c r="A1" s="669" t="s">
        <v>135</v>
      </c>
      <c r="B1" s="745" t="str">
        <f>'ANA SAYFA'!B127</f>
        <v>EMRAH MAYAR</v>
      </c>
      <c r="C1" s="1166" t="s">
        <v>136</v>
      </c>
      <c r="D1" s="1166"/>
      <c r="E1" s="1166"/>
      <c r="F1" s="1166"/>
      <c r="G1" s="1166"/>
      <c r="H1" s="1166"/>
      <c r="I1" s="668"/>
      <c r="J1" s="1228" t="s">
        <v>712</v>
      </c>
    </row>
    <row r="2" spans="1:10" ht="15" customHeight="1" x14ac:dyDescent="0.2">
      <c r="A2" s="669" t="s">
        <v>137</v>
      </c>
      <c r="B2" s="728">
        <f>'ANA SAYFA'!D127</f>
        <v>23906504830</v>
      </c>
      <c r="C2" s="1166"/>
      <c r="D2" s="1166"/>
      <c r="E2" s="1166"/>
      <c r="F2" s="1166"/>
      <c r="G2" s="1166"/>
      <c r="H2" s="1166"/>
      <c r="I2" s="668"/>
      <c r="J2" s="1229"/>
    </row>
    <row r="3" spans="1:10" ht="15" customHeight="1" thickBot="1" x14ac:dyDescent="0.25">
      <c r="A3" s="669" t="s">
        <v>131</v>
      </c>
      <c r="B3" s="727" t="str">
        <f>'ANA SAYFA'!C127</f>
        <v>TIR ŞOFÖRÜ</v>
      </c>
      <c r="C3" s="1166"/>
      <c r="D3" s="1166"/>
      <c r="E3" s="1166"/>
      <c r="F3" s="1166"/>
      <c r="G3" s="1166"/>
      <c r="H3" s="1166"/>
      <c r="I3" s="668"/>
      <c r="J3" s="1230"/>
    </row>
    <row r="4" spans="1:10" ht="15" customHeight="1" x14ac:dyDescent="0.2">
      <c r="A4" s="669" t="s">
        <v>120</v>
      </c>
      <c r="B4" s="700">
        <f>'ANA SAYFA'!E127</f>
        <v>45566</v>
      </c>
      <c r="C4" s="1166"/>
      <c r="D4" s="1166"/>
      <c r="E4" s="1166"/>
      <c r="F4" s="1166"/>
      <c r="G4" s="1166"/>
      <c r="H4" s="1166"/>
      <c r="I4" s="668"/>
      <c r="J4" s="670"/>
    </row>
    <row r="5" spans="1:10" ht="15" customHeight="1" x14ac:dyDescent="0.2">
      <c r="A5" s="669" t="s">
        <v>130</v>
      </c>
      <c r="B5" s="700">
        <f>'ANA SAYFA'!F127</f>
        <v>32679</v>
      </c>
      <c r="C5" s="1166"/>
      <c r="D5" s="1166"/>
      <c r="E5" s="1166"/>
      <c r="F5" s="1166"/>
      <c r="G5" s="1166"/>
      <c r="H5" s="1166"/>
      <c r="I5" s="668"/>
    </row>
    <row r="6" spans="1:10" ht="31.5" x14ac:dyDescent="0.2">
      <c r="A6" s="894" t="s">
        <v>0</v>
      </c>
      <c r="B6" s="694" t="s">
        <v>1</v>
      </c>
      <c r="C6" s="894" t="s">
        <v>2</v>
      </c>
      <c r="D6" s="695" t="s">
        <v>133</v>
      </c>
      <c r="E6" s="695" t="s">
        <v>4</v>
      </c>
      <c r="F6" s="695" t="s">
        <v>7</v>
      </c>
      <c r="G6" s="695" t="s">
        <v>6</v>
      </c>
      <c r="H6" s="695" t="s">
        <v>16</v>
      </c>
      <c r="I6" s="672"/>
    </row>
    <row r="7" spans="1:10" ht="14.25" customHeight="1" x14ac:dyDescent="0.2">
      <c r="A7" s="719"/>
      <c r="B7" s="729">
        <v>45794</v>
      </c>
      <c r="C7" s="732">
        <v>45794</v>
      </c>
      <c r="D7" s="733">
        <v>0.33333333333333331</v>
      </c>
      <c r="E7" s="733" t="s">
        <v>17</v>
      </c>
      <c r="F7" s="723" t="s">
        <v>908</v>
      </c>
      <c r="G7" s="723">
        <v>14</v>
      </c>
      <c r="H7" s="756">
        <v>1</v>
      </c>
      <c r="I7" s="684"/>
      <c r="J7" s="670"/>
    </row>
    <row r="8" spans="1:10" ht="14.25" customHeight="1" x14ac:dyDescent="0.2">
      <c r="A8" s="719"/>
      <c r="B8" s="729">
        <v>45839</v>
      </c>
      <c r="C8" s="732">
        <v>45839</v>
      </c>
      <c r="D8" s="733">
        <v>0.33333333333333331</v>
      </c>
      <c r="E8" s="733" t="s">
        <v>17</v>
      </c>
      <c r="F8" s="723"/>
      <c r="G8" s="723"/>
      <c r="H8" s="756">
        <v>1</v>
      </c>
      <c r="I8" s="684"/>
      <c r="J8" s="670"/>
    </row>
    <row r="9" spans="1:10" x14ac:dyDescent="0.2">
      <c r="A9" s="719"/>
      <c r="B9" s="729">
        <v>45866</v>
      </c>
      <c r="C9" s="732">
        <v>45867</v>
      </c>
      <c r="D9" s="733">
        <v>0.33333333333333331</v>
      </c>
      <c r="E9" s="733">
        <v>0.33333333333333331</v>
      </c>
      <c r="F9" s="723"/>
      <c r="G9" s="723"/>
      <c r="H9" s="756">
        <v>1</v>
      </c>
      <c r="I9" s="684"/>
      <c r="J9" s="670"/>
    </row>
    <row r="10" spans="1:10" ht="14.25" customHeight="1" x14ac:dyDescent="0.2">
      <c r="A10" s="719"/>
      <c r="B10" s="729">
        <v>45903</v>
      </c>
      <c r="C10" s="732">
        <v>45904</v>
      </c>
      <c r="D10" s="733">
        <v>0.33333333333333331</v>
      </c>
      <c r="E10" s="733">
        <v>0.33333333333333331</v>
      </c>
      <c r="F10" s="723"/>
      <c r="G10" s="723"/>
      <c r="H10" s="756">
        <v>1</v>
      </c>
      <c r="I10" s="684"/>
      <c r="J10" s="670"/>
    </row>
    <row r="11" spans="1:10" ht="14.25" customHeight="1" x14ac:dyDescent="0.2">
      <c r="A11" s="719"/>
      <c r="B11" s="729">
        <v>45936</v>
      </c>
      <c r="C11" s="732">
        <v>45944</v>
      </c>
      <c r="D11" s="733">
        <v>0.33333333333333331</v>
      </c>
      <c r="E11" s="733">
        <v>0.33333333333333331</v>
      </c>
      <c r="F11" s="723"/>
      <c r="G11" s="723"/>
      <c r="H11" s="756">
        <v>7</v>
      </c>
      <c r="I11" s="684"/>
      <c r="J11" s="670"/>
    </row>
    <row r="12" spans="1:10" ht="14.25" customHeight="1" x14ac:dyDescent="0.2">
      <c r="A12" s="719"/>
      <c r="B12" s="729">
        <v>45944</v>
      </c>
      <c r="C12" s="732">
        <v>45950</v>
      </c>
      <c r="D12" s="733">
        <v>0.33333333333333331</v>
      </c>
      <c r="E12" s="733">
        <v>0.33333333333333331</v>
      </c>
      <c r="F12" s="723"/>
      <c r="G12" s="723"/>
      <c r="H12" s="756">
        <v>5</v>
      </c>
      <c r="I12" s="684"/>
      <c r="J12" s="670"/>
    </row>
    <row r="13" spans="1:10" ht="14.25" customHeight="1" x14ac:dyDescent="0.2">
      <c r="A13" s="719"/>
      <c r="B13" s="729">
        <v>46001</v>
      </c>
      <c r="C13" s="732">
        <v>46002</v>
      </c>
      <c r="D13" s="733">
        <v>0.33333333333333331</v>
      </c>
      <c r="E13" s="733">
        <v>0.33333333333333331</v>
      </c>
      <c r="F13" s="723"/>
      <c r="G13" s="723"/>
      <c r="H13" s="756">
        <v>1</v>
      </c>
      <c r="I13" s="684"/>
      <c r="J13" s="670"/>
    </row>
    <row r="14" spans="1:10" ht="14.25" customHeight="1" x14ac:dyDescent="0.2">
      <c r="A14" s="719"/>
      <c r="B14" s="729">
        <v>46011</v>
      </c>
      <c r="C14" s="732">
        <v>46013</v>
      </c>
      <c r="D14" s="733">
        <v>0.33333333333333331</v>
      </c>
      <c r="E14" s="733">
        <v>0.33333333333333331</v>
      </c>
      <c r="F14" s="723"/>
      <c r="G14" s="723"/>
      <c r="H14" s="756">
        <v>1</v>
      </c>
      <c r="I14" s="684"/>
      <c r="J14" s="670"/>
    </row>
    <row r="15" spans="1:10" ht="14.25" customHeight="1" x14ac:dyDescent="0.2">
      <c r="A15" s="719"/>
      <c r="B15" s="729">
        <v>46049</v>
      </c>
      <c r="C15" s="732">
        <v>46050</v>
      </c>
      <c r="D15" s="733">
        <v>0.33333333333333331</v>
      </c>
      <c r="E15" s="733">
        <v>0.33333333333333331</v>
      </c>
      <c r="F15" s="723"/>
      <c r="G15" s="723"/>
      <c r="H15" s="756">
        <v>1</v>
      </c>
      <c r="I15" s="684"/>
      <c r="J15" s="670"/>
    </row>
    <row r="16" spans="1:10" ht="14.25" customHeight="1" x14ac:dyDescent="0.2">
      <c r="A16" s="719"/>
      <c r="B16" s="729">
        <v>46076</v>
      </c>
      <c r="C16" s="732">
        <v>46076</v>
      </c>
      <c r="D16" s="978">
        <v>0.33333333333333331</v>
      </c>
      <c r="E16" s="978">
        <v>0.5</v>
      </c>
      <c r="F16" s="723"/>
      <c r="G16" s="723"/>
      <c r="H16" s="756">
        <v>0.5</v>
      </c>
      <c r="I16" s="684"/>
      <c r="J16" s="670"/>
    </row>
    <row r="17" spans="1:10" ht="14.25" customHeight="1" x14ac:dyDescent="0.2">
      <c r="A17" s="724"/>
      <c r="B17" s="729">
        <v>46093</v>
      </c>
      <c r="C17" s="732">
        <v>46093</v>
      </c>
      <c r="D17" s="978">
        <v>0.54166666666666663</v>
      </c>
      <c r="E17" s="978">
        <v>0.75</v>
      </c>
      <c r="F17" s="723"/>
      <c r="G17" s="723"/>
      <c r="H17" s="756">
        <v>0.5</v>
      </c>
      <c r="I17" s="684"/>
      <c r="J17" s="670"/>
    </row>
    <row r="18" spans="1:10" ht="14.25" customHeight="1" x14ac:dyDescent="0.2">
      <c r="A18" s="724"/>
      <c r="B18" s="760">
        <v>46098</v>
      </c>
      <c r="C18" s="761">
        <v>46098</v>
      </c>
      <c r="D18" s="978">
        <v>0.54166666666666663</v>
      </c>
      <c r="E18" s="978">
        <v>0.75</v>
      </c>
      <c r="F18" s="723"/>
      <c r="G18" s="723"/>
      <c r="H18" s="757">
        <v>0.5</v>
      </c>
      <c r="I18" s="684"/>
      <c r="J18" s="670"/>
    </row>
    <row r="19" spans="1:10" s="759" customFormat="1" ht="14.25" customHeight="1" x14ac:dyDescent="0.2">
      <c r="A19" s="753"/>
      <c r="B19" s="760">
        <v>46099</v>
      </c>
      <c r="C19" s="761">
        <v>46104</v>
      </c>
      <c r="D19" s="762">
        <v>0.33333333333333331</v>
      </c>
      <c r="E19" s="762">
        <v>0.33333333333333331</v>
      </c>
      <c r="F19" s="723"/>
      <c r="G19" s="723"/>
      <c r="H19" s="756">
        <v>1</v>
      </c>
      <c r="I19" s="684"/>
      <c r="J19" s="670"/>
    </row>
    <row r="20" spans="1:10" s="759" customFormat="1" ht="14.25" customHeight="1" x14ac:dyDescent="0.2">
      <c r="A20" s="753"/>
      <c r="B20" s="760">
        <v>46104</v>
      </c>
      <c r="C20" s="761">
        <v>46104</v>
      </c>
      <c r="D20" s="1039">
        <v>0.33333333333333331</v>
      </c>
      <c r="E20" s="1039">
        <v>0.64583333333333337</v>
      </c>
      <c r="F20" s="723"/>
      <c r="G20" s="723"/>
      <c r="H20" s="756">
        <v>0.5</v>
      </c>
      <c r="I20" s="684"/>
      <c r="J20" s="670"/>
    </row>
    <row r="21" spans="1:10" ht="14.25" customHeight="1" x14ac:dyDescent="0.2">
      <c r="A21" s="753"/>
      <c r="B21" s="760">
        <v>46105</v>
      </c>
      <c r="C21" s="761">
        <v>46106</v>
      </c>
      <c r="D21" s="733">
        <v>0.33333333333333331</v>
      </c>
      <c r="E21" s="733">
        <v>0.33333333333333331</v>
      </c>
      <c r="F21" s="723"/>
      <c r="G21" s="723"/>
      <c r="H21" s="754">
        <v>1</v>
      </c>
      <c r="I21" s="684"/>
      <c r="J21" s="670"/>
    </row>
    <row r="22" spans="1:10" ht="14.25" customHeight="1" x14ac:dyDescent="0.2">
      <c r="A22" s="725"/>
      <c r="B22" s="760">
        <v>46108</v>
      </c>
      <c r="C22" s="761">
        <v>46108</v>
      </c>
      <c r="D22" s="1039">
        <v>0.64583333333333337</v>
      </c>
      <c r="E22" s="1039">
        <v>0.75</v>
      </c>
      <c r="F22" s="723"/>
      <c r="G22" s="723"/>
      <c r="H22" s="756">
        <v>0.5</v>
      </c>
      <c r="I22" s="684"/>
      <c r="J22" s="670"/>
    </row>
    <row r="23" spans="1:10" ht="14.25" customHeight="1" x14ac:dyDescent="0.2">
      <c r="A23" s="509"/>
      <c r="B23" s="990" t="s">
        <v>986</v>
      </c>
      <c r="C23" s="995"/>
      <c r="D23" s="996"/>
      <c r="E23" s="996"/>
      <c r="F23" s="1040"/>
      <c r="G23" s="1041"/>
      <c r="H23" s="1042">
        <v>-3</v>
      </c>
    </row>
    <row r="24" spans="1:10" ht="14.25" customHeight="1" x14ac:dyDescent="0.2">
      <c r="A24" s="685"/>
      <c r="B24" s="720">
        <v>46119</v>
      </c>
      <c r="C24" s="721">
        <v>46120</v>
      </c>
      <c r="D24" s="722"/>
      <c r="E24" s="722"/>
      <c r="F24" s="698"/>
      <c r="G24" s="893"/>
      <c r="H24" s="754">
        <v>1</v>
      </c>
    </row>
    <row r="25" spans="1:10" ht="14.25" customHeight="1" x14ac:dyDescent="0.2">
      <c r="A25" s="509"/>
      <c r="B25" s="990" t="s">
        <v>1017</v>
      </c>
      <c r="C25" s="995"/>
      <c r="D25" s="996"/>
      <c r="E25" s="996"/>
      <c r="F25" s="1040"/>
      <c r="G25" s="1041"/>
      <c r="H25" s="1042">
        <v>-3</v>
      </c>
    </row>
    <row r="26" spans="1:10" ht="14.25" customHeight="1" x14ac:dyDescent="0.2">
      <c r="A26" s="725"/>
      <c r="B26" s="720">
        <v>46154</v>
      </c>
      <c r="C26" s="721">
        <v>46155</v>
      </c>
      <c r="D26" s="722"/>
      <c r="E26" s="722"/>
      <c r="F26" s="683"/>
      <c r="G26" s="691"/>
      <c r="H26" s="757">
        <v>1</v>
      </c>
    </row>
    <row r="27" spans="1:10" ht="14.25" customHeight="1" x14ac:dyDescent="0.2">
      <c r="A27" s="725"/>
      <c r="B27" s="720"/>
      <c r="C27" s="721"/>
      <c r="D27" s="722"/>
      <c r="E27" s="722"/>
      <c r="F27" s="683"/>
      <c r="G27" s="691"/>
      <c r="H27" s="757"/>
    </row>
    <row r="28" spans="1:10" ht="14.25" customHeight="1" x14ac:dyDescent="0.2">
      <c r="A28" s="725"/>
      <c r="B28" s="720"/>
      <c r="C28" s="721"/>
      <c r="D28" s="722"/>
      <c r="E28" s="722"/>
      <c r="F28" s="683"/>
      <c r="G28" s="691"/>
      <c r="H28" s="757"/>
    </row>
    <row r="29" spans="1:10" ht="14.25" customHeight="1" x14ac:dyDescent="0.2">
      <c r="A29" s="725"/>
      <c r="B29" s="720"/>
      <c r="C29" s="721"/>
      <c r="D29" s="722"/>
      <c r="E29" s="722"/>
      <c r="F29" s="683"/>
      <c r="G29" s="691"/>
      <c r="H29" s="633"/>
    </row>
    <row r="30" spans="1:10" ht="14.25" customHeight="1" x14ac:dyDescent="0.2">
      <c r="A30" s="725"/>
      <c r="B30" s="720"/>
      <c r="C30" s="721"/>
      <c r="D30" s="722"/>
      <c r="E30" s="722"/>
      <c r="F30" s="683"/>
      <c r="G30" s="691"/>
      <c r="H30" s="633"/>
    </row>
    <row r="31" spans="1:10" ht="14.25" customHeight="1" x14ac:dyDescent="0.2">
      <c r="A31" s="725"/>
      <c r="B31" s="720"/>
      <c r="C31" s="721"/>
      <c r="D31" s="722"/>
      <c r="E31" s="722"/>
      <c r="F31" s="683"/>
      <c r="G31" s="691"/>
      <c r="H31" s="633"/>
    </row>
    <row r="32" spans="1:10" x14ac:dyDescent="0.2">
      <c r="F32" s="895" t="s">
        <v>123</v>
      </c>
      <c r="G32" s="697">
        <f>SUM(G7:G31)</f>
        <v>14</v>
      </c>
      <c r="H32" s="108">
        <f>SUM(H7:H31)</f>
        <v>19.5</v>
      </c>
    </row>
    <row r="33" spans="6:8" x14ac:dyDescent="0.2">
      <c r="F33" s="689"/>
      <c r="G33" s="690"/>
      <c r="H33" s="690"/>
    </row>
    <row r="34" spans="6:8" ht="14.25" x14ac:dyDescent="0.2">
      <c r="F34" s="1153" t="s">
        <v>8</v>
      </c>
      <c r="G34" s="1154"/>
      <c r="H34" s="701">
        <f>G32-H32</f>
        <v>-5.5</v>
      </c>
    </row>
  </sheetData>
  <mergeCells count="3">
    <mergeCell ref="C1:H5"/>
    <mergeCell ref="J1:J3"/>
    <mergeCell ref="F34:G34"/>
  </mergeCells>
  <hyperlinks>
    <hyperlink ref="J6" location="'ANA SAYFA'!A1" display="AnaSayfa"/>
    <hyperlink ref="J1:J3" location="'ANA SAYFA'!A1" display="ANA SAYFA"/>
  </hyperlinks>
  <pageMargins left="0.7" right="0.12" top="0.28000000000000003" bottom="0.75" header="0.3" footer="0.3"/>
  <pageSetup paperSize="9" scale="68" orientation="portrait"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zoomScaleNormal="100" workbookViewId="0">
      <selection activeCell="J1" sqref="J1:J3"/>
    </sheetView>
  </sheetViews>
  <sheetFormatPr defaultColWidth="9.140625" defaultRowHeight="12.75" x14ac:dyDescent="0.2"/>
  <cols>
    <col min="1" max="1" width="18.140625" style="699" bestFit="1" customWidth="1"/>
    <col min="2" max="3" width="28.5703125" style="699" customWidth="1"/>
    <col min="4" max="5" width="9.28515625" style="699" bestFit="1" customWidth="1"/>
    <col min="6" max="6" width="20.85546875" style="699" bestFit="1" customWidth="1"/>
    <col min="7" max="8" width="13" style="699" customWidth="1"/>
    <col min="9" max="9" width="4.42578125" style="699" customWidth="1"/>
    <col min="10" max="10" width="12.28515625" style="699" customWidth="1"/>
    <col min="11" max="16384" width="9.140625" style="699"/>
  </cols>
  <sheetData>
    <row r="1" spans="1:10" ht="15" customHeight="1" x14ac:dyDescent="0.2">
      <c r="A1" s="669" t="s">
        <v>135</v>
      </c>
      <c r="B1" s="745" t="str">
        <f>'ANA SAYFA'!B128</f>
        <v>EMRAH TAŞAR</v>
      </c>
      <c r="C1" s="1166" t="s">
        <v>136</v>
      </c>
      <c r="D1" s="1166"/>
      <c r="E1" s="1166"/>
      <c r="F1" s="1166"/>
      <c r="G1" s="1166"/>
      <c r="H1" s="1166"/>
      <c r="I1" s="668"/>
      <c r="J1" s="1228" t="s">
        <v>712</v>
      </c>
    </row>
    <row r="2" spans="1:10" ht="15" customHeight="1" x14ac:dyDescent="0.2">
      <c r="A2" s="669" t="s">
        <v>137</v>
      </c>
      <c r="B2" s="728">
        <f>'ANA SAYFA'!D128</f>
        <v>23906504831</v>
      </c>
      <c r="C2" s="1166"/>
      <c r="D2" s="1166"/>
      <c r="E2" s="1166"/>
      <c r="F2" s="1166"/>
      <c r="G2" s="1166"/>
      <c r="H2" s="1166"/>
      <c r="I2" s="668"/>
      <c r="J2" s="1229"/>
    </row>
    <row r="3" spans="1:10" ht="15" customHeight="1" thickBot="1" x14ac:dyDescent="0.25">
      <c r="A3" s="669" t="s">
        <v>131</v>
      </c>
      <c r="B3" s="727" t="str">
        <f>'ANA SAYFA'!C128</f>
        <v>HARİTA MÜHENDİSİ</v>
      </c>
      <c r="C3" s="1166"/>
      <c r="D3" s="1166"/>
      <c r="E3" s="1166"/>
      <c r="F3" s="1166"/>
      <c r="G3" s="1166"/>
      <c r="H3" s="1166"/>
      <c r="I3" s="668"/>
      <c r="J3" s="1230"/>
    </row>
    <row r="4" spans="1:10" ht="15" customHeight="1" x14ac:dyDescent="0.2">
      <c r="A4" s="669" t="s">
        <v>120</v>
      </c>
      <c r="B4" s="700">
        <f>'ANA SAYFA'!E128</f>
        <v>45667</v>
      </c>
      <c r="C4" s="1166"/>
      <c r="D4" s="1166"/>
      <c r="E4" s="1166"/>
      <c r="F4" s="1166"/>
      <c r="G4" s="1166"/>
      <c r="H4" s="1166"/>
      <c r="I4" s="668"/>
      <c r="J4" s="670"/>
    </row>
    <row r="5" spans="1:10" ht="15" customHeight="1" x14ac:dyDescent="0.2">
      <c r="A5" s="669" t="s">
        <v>130</v>
      </c>
      <c r="B5" s="700">
        <f>'ANA SAYFA'!F128</f>
        <v>35910</v>
      </c>
      <c r="C5" s="1166"/>
      <c r="D5" s="1166"/>
      <c r="E5" s="1166"/>
      <c r="F5" s="1166"/>
      <c r="G5" s="1166"/>
      <c r="H5" s="1166"/>
      <c r="I5" s="668"/>
    </row>
    <row r="6" spans="1:10" ht="31.5" x14ac:dyDescent="0.2">
      <c r="A6" s="904" t="s">
        <v>0</v>
      </c>
      <c r="B6" s="694" t="s">
        <v>1</v>
      </c>
      <c r="C6" s="904" t="s">
        <v>2</v>
      </c>
      <c r="D6" s="695" t="s">
        <v>133</v>
      </c>
      <c r="E6" s="695" t="s">
        <v>4</v>
      </c>
      <c r="F6" s="695" t="s">
        <v>7</v>
      </c>
      <c r="G6" s="695" t="s">
        <v>6</v>
      </c>
      <c r="H6" s="695" t="s">
        <v>16</v>
      </c>
      <c r="I6" s="672"/>
    </row>
    <row r="7" spans="1:10" ht="14.25" customHeight="1" x14ac:dyDescent="0.2">
      <c r="A7" s="719"/>
      <c r="B7" s="729">
        <v>45794</v>
      </c>
      <c r="C7" s="732">
        <v>45794</v>
      </c>
      <c r="D7" s="733">
        <v>0.33333333333333331</v>
      </c>
      <c r="E7" s="733">
        <v>0.33333333333333331</v>
      </c>
      <c r="F7" s="723" t="s">
        <v>943</v>
      </c>
      <c r="G7" s="723">
        <v>14</v>
      </c>
      <c r="H7" s="756">
        <v>1</v>
      </c>
      <c r="I7" s="684"/>
      <c r="J7" s="670"/>
    </row>
    <row r="8" spans="1:10" ht="14.25" customHeight="1" x14ac:dyDescent="0.2">
      <c r="A8" s="719" t="s">
        <v>791</v>
      </c>
      <c r="B8" s="729">
        <v>45822</v>
      </c>
      <c r="C8" s="732">
        <v>45822</v>
      </c>
      <c r="D8" s="733">
        <v>0.33333333333333331</v>
      </c>
      <c r="E8" s="733">
        <v>0.75</v>
      </c>
      <c r="F8" s="723"/>
      <c r="G8" s="723"/>
      <c r="H8" s="756">
        <v>1</v>
      </c>
      <c r="I8" s="684"/>
      <c r="J8" s="670"/>
    </row>
    <row r="9" spans="1:10" x14ac:dyDescent="0.2">
      <c r="A9" s="719"/>
      <c r="B9" s="729">
        <v>45908</v>
      </c>
      <c r="C9" s="732">
        <v>45915</v>
      </c>
      <c r="D9" s="733"/>
      <c r="E9" s="733"/>
      <c r="F9" s="723"/>
      <c r="G9" s="723"/>
      <c r="H9" s="756">
        <v>6</v>
      </c>
      <c r="I9" s="684"/>
      <c r="J9" s="670"/>
    </row>
    <row r="10" spans="1:10" ht="14.25" customHeight="1" x14ac:dyDescent="0.2">
      <c r="A10" s="719"/>
      <c r="B10" s="729">
        <v>46039</v>
      </c>
      <c r="C10" s="732">
        <v>46041</v>
      </c>
      <c r="D10" s="733"/>
      <c r="E10" s="733"/>
      <c r="F10" s="723"/>
      <c r="G10" s="723"/>
      <c r="H10" s="756">
        <v>1</v>
      </c>
      <c r="I10" s="684"/>
      <c r="J10" s="670"/>
    </row>
    <row r="11" spans="1:10" ht="14.25" customHeight="1" x14ac:dyDescent="0.2">
      <c r="A11" s="719"/>
      <c r="B11" s="729">
        <v>46130</v>
      </c>
      <c r="C11" s="732">
        <v>46139</v>
      </c>
      <c r="D11" s="733"/>
      <c r="E11" s="733"/>
      <c r="F11" s="723"/>
      <c r="G11" s="723"/>
      <c r="H11" s="756">
        <v>7</v>
      </c>
      <c r="I11" s="684"/>
      <c r="J11" s="670"/>
    </row>
    <row r="12" spans="1:10" ht="14.25" customHeight="1" x14ac:dyDescent="0.2">
      <c r="A12" s="719"/>
      <c r="B12" s="729">
        <v>46160</v>
      </c>
      <c r="C12" s="732">
        <v>46162</v>
      </c>
      <c r="D12" s="733"/>
      <c r="E12" s="733"/>
      <c r="F12" s="723"/>
      <c r="G12" s="723"/>
      <c r="H12" s="756">
        <v>1</v>
      </c>
      <c r="I12" s="684"/>
      <c r="J12" s="670"/>
    </row>
    <row r="13" spans="1:10" ht="14.25" customHeight="1" x14ac:dyDescent="0.2">
      <c r="A13" s="719"/>
      <c r="B13" s="729">
        <v>46203</v>
      </c>
      <c r="C13" s="732">
        <v>46204</v>
      </c>
      <c r="D13" s="733"/>
      <c r="E13" s="733"/>
      <c r="F13" s="723"/>
      <c r="G13" s="723"/>
      <c r="H13" s="756">
        <v>1</v>
      </c>
      <c r="I13" s="684"/>
      <c r="J13" s="670"/>
    </row>
    <row r="14" spans="1:10" ht="14.25" customHeight="1" x14ac:dyDescent="0.2">
      <c r="A14" s="719"/>
      <c r="B14" s="729"/>
      <c r="C14" s="732"/>
      <c r="D14" s="733"/>
      <c r="E14" s="733"/>
      <c r="F14" s="723"/>
      <c r="G14" s="723"/>
      <c r="H14" s="756"/>
      <c r="I14" s="684"/>
      <c r="J14" s="670"/>
    </row>
    <row r="15" spans="1:10" ht="14.25" customHeight="1" x14ac:dyDescent="0.2">
      <c r="A15" s="719"/>
      <c r="B15" s="729"/>
      <c r="C15" s="732"/>
      <c r="D15" s="733"/>
      <c r="E15" s="733"/>
      <c r="F15" s="723"/>
      <c r="G15" s="723"/>
      <c r="H15" s="756"/>
      <c r="I15" s="684"/>
      <c r="J15" s="670"/>
    </row>
    <row r="16" spans="1:10" ht="14.25" customHeight="1" x14ac:dyDescent="0.2">
      <c r="A16" s="719"/>
      <c r="B16" s="729"/>
      <c r="C16" s="732"/>
      <c r="D16" s="733"/>
      <c r="E16" s="733"/>
      <c r="F16" s="723"/>
      <c r="G16" s="723"/>
      <c r="H16" s="756"/>
      <c r="I16" s="684"/>
      <c r="J16" s="670"/>
    </row>
    <row r="17" spans="1:10" ht="14.25" customHeight="1" x14ac:dyDescent="0.2">
      <c r="A17" s="724"/>
      <c r="B17" s="729"/>
      <c r="C17" s="732"/>
      <c r="D17" s="733"/>
      <c r="E17" s="733"/>
      <c r="F17" s="723"/>
      <c r="G17" s="723"/>
      <c r="H17" s="756"/>
      <c r="I17" s="684"/>
      <c r="J17" s="670"/>
    </row>
    <row r="18" spans="1:10" ht="14.25" customHeight="1" x14ac:dyDescent="0.2">
      <c r="A18" s="724"/>
      <c r="B18" s="760"/>
      <c r="C18" s="761"/>
      <c r="D18" s="762"/>
      <c r="E18" s="762"/>
      <c r="F18" s="723"/>
      <c r="G18" s="723"/>
      <c r="H18" s="757"/>
      <c r="I18" s="684"/>
      <c r="J18" s="670"/>
    </row>
    <row r="19" spans="1:10" ht="14.25" customHeight="1" x14ac:dyDescent="0.2">
      <c r="A19" s="753"/>
      <c r="B19" s="760"/>
      <c r="C19" s="761"/>
      <c r="D19" s="762"/>
      <c r="E19" s="762"/>
      <c r="F19" s="723"/>
      <c r="G19" s="723"/>
      <c r="H19" s="756"/>
      <c r="I19" s="684"/>
      <c r="J19" s="670"/>
    </row>
    <row r="20" spans="1:10" ht="14.25" customHeight="1" x14ac:dyDescent="0.2">
      <c r="A20" s="753"/>
      <c r="B20" s="760"/>
      <c r="C20" s="761"/>
      <c r="D20" s="762"/>
      <c r="E20" s="762"/>
      <c r="F20" s="723"/>
      <c r="G20" s="723"/>
      <c r="H20" s="754"/>
      <c r="I20" s="684"/>
      <c r="J20" s="670"/>
    </row>
    <row r="21" spans="1:10" ht="14.25" customHeight="1" x14ac:dyDescent="0.2">
      <c r="A21" s="725"/>
      <c r="B21" s="760"/>
      <c r="C21" s="761"/>
      <c r="D21" s="762"/>
      <c r="E21" s="762"/>
      <c r="F21" s="723"/>
      <c r="G21" s="723"/>
      <c r="H21" s="756"/>
      <c r="I21" s="684"/>
      <c r="J21" s="670"/>
    </row>
    <row r="22" spans="1:10" ht="14.25" customHeight="1" x14ac:dyDescent="0.2">
      <c r="A22" s="685"/>
      <c r="B22" s="720"/>
      <c r="C22" s="721"/>
      <c r="D22" s="722"/>
      <c r="E22" s="722"/>
      <c r="F22" s="698"/>
      <c r="G22" s="903"/>
      <c r="H22" s="754"/>
    </row>
    <row r="23" spans="1:10" ht="14.25" customHeight="1" x14ac:dyDescent="0.2">
      <c r="A23" s="685"/>
      <c r="B23" s="720"/>
      <c r="C23" s="721"/>
      <c r="D23" s="722"/>
      <c r="E23" s="722"/>
      <c r="F23" s="698"/>
      <c r="G23" s="903"/>
      <c r="H23" s="754"/>
    </row>
    <row r="24" spans="1:10" ht="14.25" customHeight="1" x14ac:dyDescent="0.2">
      <c r="A24" s="725"/>
      <c r="B24" s="720"/>
      <c r="C24" s="721"/>
      <c r="D24" s="722"/>
      <c r="E24" s="722"/>
      <c r="F24" s="718"/>
      <c r="G24" s="723"/>
      <c r="H24" s="757"/>
    </row>
    <row r="25" spans="1:10" ht="14.25" customHeight="1" x14ac:dyDescent="0.2">
      <c r="A25" s="725"/>
      <c r="B25" s="720"/>
      <c r="C25" s="721"/>
      <c r="D25" s="722"/>
      <c r="E25" s="722"/>
      <c r="F25" s="683"/>
      <c r="G25" s="691"/>
      <c r="H25" s="757"/>
    </row>
    <row r="26" spans="1:10" ht="14.25" customHeight="1" x14ac:dyDescent="0.2">
      <c r="A26" s="725"/>
      <c r="B26" s="720"/>
      <c r="C26" s="721"/>
      <c r="D26" s="722"/>
      <c r="E26" s="722"/>
      <c r="F26" s="683"/>
      <c r="G26" s="691"/>
      <c r="H26" s="757"/>
    </row>
    <row r="27" spans="1:10" ht="14.25" customHeight="1" x14ac:dyDescent="0.2">
      <c r="A27" s="725"/>
      <c r="B27" s="720"/>
      <c r="C27" s="721"/>
      <c r="D27" s="722"/>
      <c r="E27" s="722"/>
      <c r="F27" s="683"/>
      <c r="G27" s="691"/>
      <c r="H27" s="757"/>
    </row>
    <row r="28" spans="1:10" ht="14.25" customHeight="1" x14ac:dyDescent="0.2">
      <c r="A28" s="725"/>
      <c r="B28" s="720"/>
      <c r="C28" s="721"/>
      <c r="D28" s="722"/>
      <c r="E28" s="722"/>
      <c r="F28" s="683"/>
      <c r="G28" s="691"/>
      <c r="H28" s="633"/>
    </row>
    <row r="29" spans="1:10" ht="14.25" customHeight="1" x14ac:dyDescent="0.2">
      <c r="A29" s="725"/>
      <c r="B29" s="720"/>
      <c r="C29" s="721"/>
      <c r="D29" s="722"/>
      <c r="E29" s="722"/>
      <c r="F29" s="683"/>
      <c r="G29" s="691"/>
      <c r="H29" s="633"/>
    </row>
    <row r="30" spans="1:10" ht="14.25" customHeight="1" x14ac:dyDescent="0.2">
      <c r="A30" s="725"/>
      <c r="B30" s="720"/>
      <c r="C30" s="721"/>
      <c r="D30" s="722"/>
      <c r="E30" s="722"/>
      <c r="F30" s="683"/>
      <c r="G30" s="691"/>
      <c r="H30" s="633"/>
    </row>
    <row r="31" spans="1:10" x14ac:dyDescent="0.2">
      <c r="F31" s="905" t="s">
        <v>123</v>
      </c>
      <c r="G31" s="697">
        <f>SUM(G7:G30)</f>
        <v>14</v>
      </c>
      <c r="H31" s="108">
        <f>SUM(H7:H30)</f>
        <v>18</v>
      </c>
    </row>
    <row r="32" spans="1:10" x14ac:dyDescent="0.2">
      <c r="F32" s="689"/>
      <c r="G32" s="690"/>
      <c r="H32" s="690"/>
    </row>
    <row r="33" spans="6:8" ht="14.25" x14ac:dyDescent="0.2">
      <c r="F33" s="1153" t="s">
        <v>8</v>
      </c>
      <c r="G33" s="1154"/>
      <c r="H33" s="109">
        <f>G31-H31</f>
        <v>-4</v>
      </c>
    </row>
  </sheetData>
  <mergeCells count="3">
    <mergeCell ref="C1:H5"/>
    <mergeCell ref="J1:J3"/>
    <mergeCell ref="F33:G33"/>
  </mergeCells>
  <hyperlinks>
    <hyperlink ref="J6" location="'ANA SAYFA'!A1" display="AnaSayfa"/>
    <hyperlink ref="J1:J3" location="'ANA SAYFA'!A1" display="ANA SAYFA"/>
  </hyperlinks>
  <pageMargins left="0.7" right="0.12" top="0.28000000000000003" bottom="0.75" header="0.3" footer="0.3"/>
  <pageSetup paperSize="9" scale="73" orientation="portrait" r:id="rId1"/>
  <colBreaks count="1" manualBreakCount="1">
    <brk id="8" max="1048575" man="1"/>
  </colBreaks>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3"/>
  <sheetViews>
    <sheetView zoomScaleNormal="100" workbookViewId="0">
      <selection activeCell="J1" sqref="J1:J3"/>
    </sheetView>
  </sheetViews>
  <sheetFormatPr defaultColWidth="9.140625" defaultRowHeight="12.75" x14ac:dyDescent="0.2"/>
  <cols>
    <col min="1" max="1" width="18.140625" style="699" bestFit="1" customWidth="1"/>
    <col min="2" max="2" width="27" style="699" bestFit="1" customWidth="1"/>
    <col min="3" max="3" width="25.5703125" style="699" bestFit="1" customWidth="1"/>
    <col min="4" max="5" width="9.28515625" style="699" bestFit="1" customWidth="1"/>
    <col min="6" max="6" width="20.85546875" style="699" bestFit="1" customWidth="1"/>
    <col min="7" max="8" width="13" style="699" customWidth="1"/>
    <col min="9" max="9" width="4.42578125" style="699" customWidth="1"/>
    <col min="10" max="10" width="12.28515625" style="699" customWidth="1"/>
    <col min="11" max="16384" width="9.140625" style="699"/>
  </cols>
  <sheetData>
    <row r="1" spans="1:10" ht="15" customHeight="1" x14ac:dyDescent="0.2">
      <c r="A1" s="669" t="s">
        <v>135</v>
      </c>
      <c r="B1" s="745" t="str">
        <f>'ANA SAYFA'!B129</f>
        <v>ADEM TÜRK</v>
      </c>
      <c r="C1" s="1166" t="s">
        <v>136</v>
      </c>
      <c r="D1" s="1166"/>
      <c r="E1" s="1166"/>
      <c r="F1" s="1166"/>
      <c r="G1" s="1166"/>
      <c r="H1" s="1166"/>
      <c r="I1" s="668"/>
      <c r="J1" s="1228" t="s">
        <v>712</v>
      </c>
    </row>
    <row r="2" spans="1:10" ht="15" customHeight="1" x14ac:dyDescent="0.2">
      <c r="A2" s="669" t="s">
        <v>137</v>
      </c>
      <c r="B2" s="728">
        <f>'ANA SAYFA'!D129</f>
        <v>62059409050</v>
      </c>
      <c r="C2" s="1166"/>
      <c r="D2" s="1166"/>
      <c r="E2" s="1166"/>
      <c r="F2" s="1166"/>
      <c r="G2" s="1166"/>
      <c r="H2" s="1166"/>
      <c r="I2" s="668"/>
      <c r="J2" s="1229"/>
    </row>
    <row r="3" spans="1:10" ht="15" customHeight="1" thickBot="1" x14ac:dyDescent="0.25">
      <c r="A3" s="669" t="s">
        <v>131</v>
      </c>
      <c r="B3" s="727" t="str">
        <f>'ANA SAYFA'!C129</f>
        <v>TIR ÇEKİCİ ŞOFÖRÜ</v>
      </c>
      <c r="C3" s="1166"/>
      <c r="D3" s="1166"/>
      <c r="E3" s="1166"/>
      <c r="F3" s="1166"/>
      <c r="G3" s="1166"/>
      <c r="H3" s="1166"/>
      <c r="I3" s="668"/>
      <c r="J3" s="1230"/>
    </row>
    <row r="4" spans="1:10" ht="15" customHeight="1" x14ac:dyDescent="0.2">
      <c r="A4" s="669" t="s">
        <v>120</v>
      </c>
      <c r="B4" s="700">
        <f>'ANA SAYFA'!E129</f>
        <v>45841</v>
      </c>
      <c r="C4" s="1166"/>
      <c r="D4" s="1166"/>
      <c r="E4" s="1166"/>
      <c r="F4" s="1166"/>
      <c r="G4" s="1166"/>
      <c r="H4" s="1166"/>
      <c r="I4" s="668"/>
      <c r="J4" s="670"/>
    </row>
    <row r="5" spans="1:10" ht="15" customHeight="1" x14ac:dyDescent="0.2">
      <c r="A5" s="669" t="s">
        <v>130</v>
      </c>
      <c r="B5" s="700">
        <f>'ANA SAYFA'!F129</f>
        <v>31301</v>
      </c>
      <c r="C5" s="1166"/>
      <c r="D5" s="1166"/>
      <c r="E5" s="1166"/>
      <c r="F5" s="1166"/>
      <c r="G5" s="1166"/>
      <c r="H5" s="1166"/>
      <c r="I5" s="668"/>
    </row>
    <row r="6" spans="1:10" ht="31.5" x14ac:dyDescent="0.2">
      <c r="A6" s="910" t="s">
        <v>0</v>
      </c>
      <c r="B6" s="694" t="s">
        <v>1</v>
      </c>
      <c r="C6" s="910" t="s">
        <v>2</v>
      </c>
      <c r="D6" s="695" t="s">
        <v>133</v>
      </c>
      <c r="E6" s="695" t="s">
        <v>4</v>
      </c>
      <c r="F6" s="695" t="s">
        <v>7</v>
      </c>
      <c r="G6" s="695" t="s">
        <v>6</v>
      </c>
      <c r="H6" s="695" t="s">
        <v>16</v>
      </c>
      <c r="I6" s="672"/>
    </row>
    <row r="7" spans="1:10" ht="14.25" customHeight="1" x14ac:dyDescent="0.2">
      <c r="A7" s="719"/>
      <c r="B7" s="729">
        <v>46122</v>
      </c>
      <c r="C7" s="732">
        <v>46123</v>
      </c>
      <c r="D7" s="733"/>
      <c r="E7" s="733"/>
      <c r="F7" s="723"/>
      <c r="G7" s="723"/>
      <c r="H7" s="756">
        <v>1</v>
      </c>
      <c r="I7" s="684"/>
      <c r="J7" s="670"/>
    </row>
    <row r="8" spans="1:10" ht="14.25" customHeight="1" x14ac:dyDescent="0.2">
      <c r="A8" s="719"/>
      <c r="B8" s="729">
        <v>46136</v>
      </c>
      <c r="C8" s="732">
        <v>46137</v>
      </c>
      <c r="D8" s="733"/>
      <c r="E8" s="733"/>
      <c r="F8" s="723"/>
      <c r="G8" s="723"/>
      <c r="H8" s="436">
        <v>1</v>
      </c>
      <c r="I8" s="684"/>
      <c r="J8" s="670" t="s">
        <v>830</v>
      </c>
    </row>
    <row r="9" spans="1:10" x14ac:dyDescent="0.2">
      <c r="A9" s="719"/>
      <c r="B9" s="729">
        <v>46209</v>
      </c>
      <c r="C9" s="732">
        <v>46210</v>
      </c>
      <c r="D9" s="733"/>
      <c r="E9" s="733"/>
      <c r="F9" s="971"/>
      <c r="G9" s="723"/>
      <c r="H9" s="756">
        <v>1</v>
      </c>
      <c r="I9" s="684"/>
      <c r="J9" s="670"/>
    </row>
    <row r="10" spans="1:10" ht="14.25" customHeight="1" x14ac:dyDescent="0.2">
      <c r="A10" s="719"/>
      <c r="B10" s="729"/>
      <c r="C10" s="732"/>
      <c r="D10" s="733"/>
      <c r="E10" s="733"/>
      <c r="F10" s="723"/>
      <c r="G10" s="723"/>
      <c r="H10" s="756"/>
      <c r="I10" s="684"/>
      <c r="J10" s="670"/>
    </row>
    <row r="11" spans="1:10" ht="14.25" customHeight="1" x14ac:dyDescent="0.2">
      <c r="A11" s="719"/>
      <c r="B11" s="729"/>
      <c r="C11" s="732"/>
      <c r="D11" s="733"/>
      <c r="E11" s="733"/>
      <c r="F11" s="723"/>
      <c r="G11" s="723"/>
      <c r="H11" s="756"/>
      <c r="I11" s="684"/>
      <c r="J11" s="670"/>
    </row>
    <row r="12" spans="1:10" ht="14.25" customHeight="1" x14ac:dyDescent="0.2">
      <c r="A12" s="719"/>
      <c r="B12" s="729"/>
      <c r="C12" s="732"/>
      <c r="D12" s="733"/>
      <c r="E12" s="733"/>
      <c r="F12" s="723"/>
      <c r="G12" s="723"/>
      <c r="H12" s="756"/>
      <c r="I12" s="684"/>
      <c r="J12" s="670"/>
    </row>
    <row r="13" spans="1:10" ht="14.25" customHeight="1" x14ac:dyDescent="0.2">
      <c r="A13" s="719"/>
      <c r="B13" s="729"/>
      <c r="C13" s="732"/>
      <c r="D13" s="733"/>
      <c r="E13" s="733"/>
      <c r="F13" s="723"/>
      <c r="G13" s="723"/>
      <c r="H13" s="756"/>
      <c r="I13" s="684"/>
      <c r="J13" s="670"/>
    </row>
    <row r="14" spans="1:10" ht="14.25" customHeight="1" x14ac:dyDescent="0.2">
      <c r="A14" s="719"/>
      <c r="B14" s="729"/>
      <c r="C14" s="732"/>
      <c r="D14" s="733"/>
      <c r="E14" s="733"/>
      <c r="F14" s="723"/>
      <c r="G14" s="723"/>
      <c r="H14" s="756"/>
      <c r="I14" s="684"/>
      <c r="J14" s="670"/>
    </row>
    <row r="15" spans="1:10" ht="14.25" customHeight="1" x14ac:dyDescent="0.2">
      <c r="A15" s="719"/>
      <c r="B15" s="729"/>
      <c r="C15" s="732"/>
      <c r="D15" s="733"/>
      <c r="E15" s="733"/>
      <c r="F15" s="723"/>
      <c r="G15" s="723"/>
      <c r="H15" s="756"/>
      <c r="I15" s="684"/>
      <c r="J15" s="670"/>
    </row>
    <row r="16" spans="1:10" ht="14.25" customHeight="1" x14ac:dyDescent="0.2">
      <c r="A16" s="719"/>
      <c r="B16" s="729"/>
      <c r="C16" s="732"/>
      <c r="D16" s="733"/>
      <c r="E16" s="733"/>
      <c r="F16" s="723"/>
      <c r="G16" s="723"/>
      <c r="H16" s="756"/>
      <c r="I16" s="684"/>
      <c r="J16" s="670"/>
    </row>
    <row r="17" spans="1:10" ht="14.25" customHeight="1" x14ac:dyDescent="0.2">
      <c r="A17" s="724"/>
      <c r="B17" s="729"/>
      <c r="C17" s="732"/>
      <c r="D17" s="733"/>
      <c r="E17" s="733"/>
      <c r="F17" s="723"/>
      <c r="G17" s="723"/>
      <c r="H17" s="756"/>
      <c r="I17" s="684"/>
      <c r="J17" s="670"/>
    </row>
    <row r="18" spans="1:10" ht="14.25" customHeight="1" x14ac:dyDescent="0.2">
      <c r="A18" s="724"/>
      <c r="B18" s="760"/>
      <c r="C18" s="761"/>
      <c r="D18" s="762"/>
      <c r="E18" s="762"/>
      <c r="F18" s="723"/>
      <c r="G18" s="723"/>
      <c r="H18" s="757"/>
      <c r="I18" s="684"/>
      <c r="J18" s="670"/>
    </row>
    <row r="19" spans="1:10" ht="14.25" customHeight="1" x14ac:dyDescent="0.2">
      <c r="A19" s="753"/>
      <c r="B19" s="760"/>
      <c r="C19" s="761"/>
      <c r="D19" s="762"/>
      <c r="E19" s="762"/>
      <c r="F19" s="723"/>
      <c r="G19" s="723"/>
      <c r="H19" s="756"/>
      <c r="I19" s="684"/>
      <c r="J19" s="670"/>
    </row>
    <row r="20" spans="1:10" ht="14.25" customHeight="1" x14ac:dyDescent="0.2">
      <c r="A20" s="753"/>
      <c r="B20" s="760"/>
      <c r="C20" s="761"/>
      <c r="D20" s="762"/>
      <c r="E20" s="762"/>
      <c r="F20" s="723"/>
      <c r="G20" s="723"/>
      <c r="H20" s="754"/>
      <c r="I20" s="684"/>
      <c r="J20" s="670"/>
    </row>
    <row r="21" spans="1:10" ht="14.25" customHeight="1" x14ac:dyDescent="0.2">
      <c r="A21" s="725"/>
      <c r="B21" s="760"/>
      <c r="C21" s="761"/>
      <c r="D21" s="762"/>
      <c r="E21" s="762"/>
      <c r="F21" s="723"/>
      <c r="G21" s="723"/>
      <c r="H21" s="756"/>
      <c r="I21" s="684"/>
      <c r="J21" s="670"/>
    </row>
    <row r="22" spans="1:10" ht="14.25" customHeight="1" x14ac:dyDescent="0.2">
      <c r="A22" s="685"/>
      <c r="B22" s="720"/>
      <c r="C22" s="721"/>
      <c r="D22" s="722"/>
      <c r="E22" s="722"/>
      <c r="F22" s="698"/>
      <c r="G22" s="909"/>
      <c r="H22" s="754"/>
    </row>
    <row r="23" spans="1:10" ht="14.25" customHeight="1" x14ac:dyDescent="0.2">
      <c r="A23" s="685"/>
      <c r="B23" s="720"/>
      <c r="C23" s="721"/>
      <c r="D23" s="722"/>
      <c r="E23" s="722"/>
      <c r="F23" s="698"/>
      <c r="G23" s="909"/>
      <c r="H23" s="754"/>
    </row>
    <row r="24" spans="1:10" ht="14.25" customHeight="1" x14ac:dyDescent="0.2">
      <c r="A24" s="725"/>
      <c r="B24" s="720"/>
      <c r="C24" s="721"/>
      <c r="D24" s="722"/>
      <c r="E24" s="722"/>
      <c r="F24" s="718"/>
      <c r="G24" s="723"/>
      <c r="H24" s="757"/>
    </row>
    <row r="25" spans="1:10" ht="14.25" customHeight="1" x14ac:dyDescent="0.2">
      <c r="A25" s="725"/>
      <c r="B25" s="720"/>
      <c r="C25" s="721"/>
      <c r="D25" s="722"/>
      <c r="E25" s="722"/>
      <c r="F25" s="683"/>
      <c r="G25" s="691"/>
      <c r="H25" s="757"/>
    </row>
    <row r="26" spans="1:10" ht="14.25" customHeight="1" x14ac:dyDescent="0.2">
      <c r="A26" s="725"/>
      <c r="B26" s="720"/>
      <c r="C26" s="721"/>
      <c r="D26" s="722"/>
      <c r="E26" s="722"/>
      <c r="F26" s="683"/>
      <c r="G26" s="691"/>
      <c r="H26" s="757"/>
    </row>
    <row r="27" spans="1:10" ht="14.25" customHeight="1" x14ac:dyDescent="0.2">
      <c r="A27" s="725"/>
      <c r="B27" s="720"/>
      <c r="C27" s="721"/>
      <c r="D27" s="722"/>
      <c r="E27" s="722"/>
      <c r="F27" s="683"/>
      <c r="G27" s="691"/>
      <c r="H27" s="757"/>
    </row>
    <row r="28" spans="1:10" ht="14.25" customHeight="1" x14ac:dyDescent="0.2">
      <c r="A28" s="725"/>
      <c r="B28" s="720"/>
      <c r="C28" s="721"/>
      <c r="D28" s="722"/>
      <c r="E28" s="722"/>
      <c r="F28" s="683"/>
      <c r="G28" s="691"/>
      <c r="H28" s="633"/>
    </row>
    <row r="29" spans="1:10" ht="14.25" customHeight="1" x14ac:dyDescent="0.2">
      <c r="A29" s="725"/>
      <c r="B29" s="720"/>
      <c r="C29" s="721"/>
      <c r="D29" s="722"/>
      <c r="E29" s="722"/>
      <c r="F29" s="683"/>
      <c r="G29" s="691"/>
      <c r="H29" s="633"/>
    </row>
    <row r="30" spans="1:10" ht="14.25" customHeight="1" x14ac:dyDescent="0.2">
      <c r="A30" s="725"/>
      <c r="B30" s="720"/>
      <c r="C30" s="721"/>
      <c r="D30" s="722"/>
      <c r="E30" s="722"/>
      <c r="F30" s="683"/>
      <c r="G30" s="691"/>
      <c r="H30" s="633"/>
    </row>
    <row r="31" spans="1:10" x14ac:dyDescent="0.2">
      <c r="F31" s="911" t="s">
        <v>123</v>
      </c>
      <c r="G31" s="697">
        <f>SUM(G7:G30)</f>
        <v>0</v>
      </c>
      <c r="H31" s="697">
        <f>SUM(H7:H30)</f>
        <v>3</v>
      </c>
    </row>
    <row r="32" spans="1:10" x14ac:dyDescent="0.2">
      <c r="F32" s="689"/>
      <c r="G32" s="690"/>
      <c r="H32" s="912"/>
    </row>
    <row r="33" spans="6:8" ht="14.25" x14ac:dyDescent="0.2">
      <c r="F33" s="1153" t="s">
        <v>8</v>
      </c>
      <c r="G33" s="1154"/>
      <c r="H33" s="701">
        <f>G31-H31</f>
        <v>-3</v>
      </c>
    </row>
  </sheetData>
  <mergeCells count="3">
    <mergeCell ref="C1:H5"/>
    <mergeCell ref="J1:J3"/>
    <mergeCell ref="F33:G33"/>
  </mergeCells>
  <hyperlinks>
    <hyperlink ref="J6" location="'ANA SAYFA'!A1" display="AnaSayfa"/>
    <hyperlink ref="J1:J3" location="'ANA SAYFA'!A1" display="ANA SAYFA"/>
  </hyperlinks>
  <pageMargins left="0.7" right="0.12" top="0.28000000000000003" bottom="0.75" header="0.3" footer="0.3"/>
  <pageSetup paperSize="9" scale="70" orientation="portrait" r:id="rId1"/>
  <colBreaks count="1" manualBreakCount="1">
    <brk id="8" max="1048575" man="1"/>
  </colBreaks>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zoomScaleNormal="100" workbookViewId="0">
      <selection activeCell="J1" sqref="J1:J3"/>
    </sheetView>
  </sheetViews>
  <sheetFormatPr defaultColWidth="9.140625" defaultRowHeight="12.75" x14ac:dyDescent="0.2"/>
  <cols>
    <col min="1" max="1" width="18.140625" style="699" bestFit="1" customWidth="1"/>
    <col min="2" max="3" width="27.5703125" style="699" bestFit="1" customWidth="1"/>
    <col min="4" max="5" width="9.28515625" style="699" bestFit="1" customWidth="1"/>
    <col min="6" max="6" width="18.28515625" style="699" bestFit="1" customWidth="1"/>
    <col min="7" max="8" width="13" style="699" customWidth="1"/>
    <col min="9" max="9" width="4.42578125" style="699" customWidth="1"/>
    <col min="10" max="10" width="12.28515625" style="699" customWidth="1"/>
    <col min="11" max="16384" width="9.140625" style="699"/>
  </cols>
  <sheetData>
    <row r="1" spans="1:10" ht="15" customHeight="1" x14ac:dyDescent="0.2">
      <c r="A1" s="669" t="s">
        <v>135</v>
      </c>
      <c r="B1" s="745" t="str">
        <f>'ANA SAYFA'!B130</f>
        <v>MUHAMMET HANİFİ ÖZÇELİK</v>
      </c>
      <c r="C1" s="1166" t="s">
        <v>136</v>
      </c>
      <c r="D1" s="1166"/>
      <c r="E1" s="1166"/>
      <c r="F1" s="1166"/>
      <c r="G1" s="1166"/>
      <c r="H1" s="1166"/>
      <c r="I1" s="668"/>
      <c r="J1" s="1228" t="s">
        <v>712</v>
      </c>
    </row>
    <row r="2" spans="1:10" ht="15" customHeight="1" x14ac:dyDescent="0.2">
      <c r="A2" s="669" t="s">
        <v>137</v>
      </c>
      <c r="B2" s="728">
        <f>'ANA SAYFA'!D130</f>
        <v>37249333576</v>
      </c>
      <c r="C2" s="1166"/>
      <c r="D2" s="1166"/>
      <c r="E2" s="1166"/>
      <c r="F2" s="1166"/>
      <c r="G2" s="1166"/>
      <c r="H2" s="1166"/>
      <c r="I2" s="668"/>
      <c r="J2" s="1229"/>
    </row>
    <row r="3" spans="1:10" ht="15" customHeight="1" thickBot="1" x14ac:dyDescent="0.25">
      <c r="A3" s="669" t="s">
        <v>131</v>
      </c>
      <c r="B3" s="727" t="str">
        <f>'ANA SAYFA'!C130</f>
        <v>TOPOĞRAF</v>
      </c>
      <c r="C3" s="1166"/>
      <c r="D3" s="1166"/>
      <c r="E3" s="1166"/>
      <c r="F3" s="1166"/>
      <c r="G3" s="1166"/>
      <c r="H3" s="1166"/>
      <c r="I3" s="668"/>
      <c r="J3" s="1230"/>
    </row>
    <row r="4" spans="1:10" ht="15" customHeight="1" x14ac:dyDescent="0.2">
      <c r="A4" s="669" t="s">
        <v>120</v>
      </c>
      <c r="B4" s="700">
        <f>'ANA SAYFA'!E130</f>
        <v>45958</v>
      </c>
      <c r="C4" s="1166"/>
      <c r="D4" s="1166"/>
      <c r="E4" s="1166"/>
      <c r="F4" s="1166"/>
      <c r="G4" s="1166"/>
      <c r="H4" s="1166"/>
      <c r="I4" s="668"/>
      <c r="J4" s="670"/>
    </row>
    <row r="5" spans="1:10" ht="15" customHeight="1" x14ac:dyDescent="0.2">
      <c r="A5" s="669" t="s">
        <v>130</v>
      </c>
      <c r="B5" s="700">
        <f>'ANA SAYFA'!F130</f>
        <v>33919</v>
      </c>
      <c r="C5" s="1166"/>
      <c r="D5" s="1166"/>
      <c r="E5" s="1166"/>
      <c r="F5" s="1166"/>
      <c r="G5" s="1166"/>
      <c r="H5" s="1166"/>
      <c r="I5" s="668"/>
    </row>
    <row r="6" spans="1:10" ht="31.5" x14ac:dyDescent="0.2">
      <c r="A6" s="910" t="s">
        <v>0</v>
      </c>
      <c r="B6" s="694" t="s">
        <v>1</v>
      </c>
      <c r="C6" s="910" t="s">
        <v>2</v>
      </c>
      <c r="D6" s="695" t="s">
        <v>133</v>
      </c>
      <c r="E6" s="695" t="s">
        <v>4</v>
      </c>
      <c r="F6" s="695" t="s">
        <v>7</v>
      </c>
      <c r="G6" s="695" t="s">
        <v>6</v>
      </c>
      <c r="H6" s="695" t="s">
        <v>16</v>
      </c>
      <c r="I6" s="672"/>
    </row>
    <row r="7" spans="1:10" ht="14.25" customHeight="1" x14ac:dyDescent="0.2">
      <c r="A7" s="719"/>
      <c r="B7" s="729">
        <v>45961</v>
      </c>
      <c r="C7" s="732">
        <v>45961</v>
      </c>
      <c r="D7" s="733">
        <v>0.33333333333333331</v>
      </c>
      <c r="E7" s="733">
        <v>0.75</v>
      </c>
      <c r="F7" s="723"/>
      <c r="G7" s="723"/>
      <c r="H7" s="436">
        <v>1</v>
      </c>
      <c r="I7" s="684"/>
      <c r="J7" s="670"/>
    </row>
    <row r="8" spans="1:10" ht="14.25" customHeight="1" x14ac:dyDescent="0.2">
      <c r="A8" s="719"/>
      <c r="B8" s="729">
        <v>45987</v>
      </c>
      <c r="C8" s="732">
        <v>45987</v>
      </c>
      <c r="D8" s="733">
        <v>0.33333333333333331</v>
      </c>
      <c r="E8" s="733">
        <v>0.75</v>
      </c>
      <c r="F8" s="723"/>
      <c r="G8" s="723"/>
      <c r="H8" s="436">
        <v>1</v>
      </c>
      <c r="I8" s="684"/>
      <c r="J8" s="670"/>
    </row>
    <row r="9" spans="1:10" x14ac:dyDescent="0.2">
      <c r="A9" s="719"/>
      <c r="B9" s="729">
        <v>46002</v>
      </c>
      <c r="C9" s="732">
        <v>46003</v>
      </c>
      <c r="D9" s="733"/>
      <c r="E9" s="733"/>
      <c r="F9" s="723"/>
      <c r="G9" s="723"/>
      <c r="H9" s="436">
        <v>1</v>
      </c>
      <c r="I9" s="684"/>
      <c r="J9" s="670"/>
    </row>
    <row r="10" spans="1:10" ht="14.25" customHeight="1" x14ac:dyDescent="0.2">
      <c r="A10" s="719"/>
      <c r="B10" s="729">
        <v>46021</v>
      </c>
      <c r="C10" s="732">
        <v>46022</v>
      </c>
      <c r="D10" s="733"/>
      <c r="E10" s="733"/>
      <c r="F10" s="723"/>
      <c r="G10" s="723"/>
      <c r="H10" s="436">
        <v>1</v>
      </c>
      <c r="I10" s="684"/>
      <c r="J10" s="670" t="s">
        <v>830</v>
      </c>
    </row>
    <row r="11" spans="1:10" ht="14.25" customHeight="1" x14ac:dyDescent="0.2">
      <c r="A11" s="719"/>
      <c r="B11" s="729">
        <v>46046</v>
      </c>
      <c r="C11" s="732">
        <v>46048</v>
      </c>
      <c r="D11" s="733"/>
      <c r="E11" s="733"/>
      <c r="F11" s="723"/>
      <c r="G11" s="723"/>
      <c r="H11" s="756">
        <v>1</v>
      </c>
      <c r="I11" s="684"/>
      <c r="J11" s="670" t="s">
        <v>830</v>
      </c>
    </row>
    <row r="12" spans="1:10" ht="14.25" customHeight="1" x14ac:dyDescent="0.2">
      <c r="A12" s="719"/>
      <c r="B12" s="729">
        <v>46073</v>
      </c>
      <c r="C12" s="732">
        <v>46074</v>
      </c>
      <c r="D12" s="733"/>
      <c r="E12" s="733"/>
      <c r="F12" s="723"/>
      <c r="G12" s="723"/>
      <c r="H12" s="756">
        <v>1</v>
      </c>
      <c r="I12" s="684"/>
      <c r="J12" s="670" t="s">
        <v>830</v>
      </c>
    </row>
    <row r="13" spans="1:10" ht="14.25" customHeight="1" x14ac:dyDescent="0.2">
      <c r="A13" s="719"/>
      <c r="B13" s="729">
        <v>46083</v>
      </c>
      <c r="C13" s="732">
        <v>46084</v>
      </c>
      <c r="D13" s="733"/>
      <c r="E13" s="733"/>
      <c r="F13" s="723"/>
      <c r="G13" s="723"/>
      <c r="H13" s="756">
        <v>1</v>
      </c>
      <c r="I13" s="684"/>
      <c r="J13" s="670" t="s">
        <v>830</v>
      </c>
    </row>
    <row r="14" spans="1:10" ht="14.25" customHeight="1" x14ac:dyDescent="0.2">
      <c r="A14" s="719"/>
      <c r="B14" s="729">
        <v>46127</v>
      </c>
      <c r="C14" s="732">
        <v>46128</v>
      </c>
      <c r="D14" s="733"/>
      <c r="E14" s="733"/>
      <c r="F14" s="723"/>
      <c r="G14" s="723"/>
      <c r="H14" s="756">
        <v>1</v>
      </c>
      <c r="I14" s="684"/>
      <c r="J14" s="670" t="s">
        <v>830</v>
      </c>
    </row>
    <row r="15" spans="1:10" ht="14.25" customHeight="1" x14ac:dyDescent="0.2">
      <c r="A15" s="719"/>
      <c r="B15" s="729">
        <v>46178</v>
      </c>
      <c r="C15" s="732">
        <v>46179</v>
      </c>
      <c r="D15" s="733"/>
      <c r="E15" s="733"/>
      <c r="F15" s="723"/>
      <c r="G15" s="723"/>
      <c r="H15" s="756">
        <v>1</v>
      </c>
      <c r="I15" s="684"/>
      <c r="J15" s="670"/>
    </row>
    <row r="16" spans="1:10" ht="14.25" customHeight="1" x14ac:dyDescent="0.2">
      <c r="A16" s="719"/>
      <c r="B16" s="729">
        <v>46186</v>
      </c>
      <c r="C16" s="732">
        <v>46187</v>
      </c>
      <c r="D16" s="733"/>
      <c r="E16" s="733"/>
      <c r="F16" s="723"/>
      <c r="G16" s="723"/>
      <c r="H16" s="756">
        <v>1</v>
      </c>
      <c r="I16" s="684"/>
      <c r="J16" s="670"/>
    </row>
    <row r="17" spans="1:10" ht="14.25" customHeight="1" x14ac:dyDescent="0.2">
      <c r="A17" s="724"/>
      <c r="B17" s="729"/>
      <c r="C17" s="732"/>
      <c r="D17" s="733"/>
      <c r="E17" s="733"/>
      <c r="F17" s="723"/>
      <c r="G17" s="723"/>
      <c r="H17" s="756"/>
      <c r="I17" s="684"/>
      <c r="J17" s="670"/>
    </row>
    <row r="18" spans="1:10" ht="14.25" customHeight="1" x14ac:dyDescent="0.2">
      <c r="A18" s="724"/>
      <c r="B18" s="760"/>
      <c r="C18" s="761"/>
      <c r="D18" s="762"/>
      <c r="E18" s="762"/>
      <c r="F18" s="723"/>
      <c r="G18" s="723"/>
      <c r="H18" s="757"/>
      <c r="I18" s="684"/>
      <c r="J18" s="670"/>
    </row>
    <row r="19" spans="1:10" ht="14.25" customHeight="1" x14ac:dyDescent="0.2">
      <c r="A19" s="753"/>
      <c r="B19" s="760"/>
      <c r="C19" s="761"/>
      <c r="D19" s="762"/>
      <c r="E19" s="762"/>
      <c r="F19" s="723"/>
      <c r="G19" s="723"/>
      <c r="H19" s="756"/>
      <c r="I19" s="684"/>
      <c r="J19" s="670"/>
    </row>
    <row r="20" spans="1:10" ht="14.25" customHeight="1" x14ac:dyDescent="0.2">
      <c r="A20" s="753"/>
      <c r="B20" s="760"/>
      <c r="C20" s="761"/>
      <c r="D20" s="762"/>
      <c r="E20" s="762"/>
      <c r="F20" s="723"/>
      <c r="G20" s="723"/>
      <c r="H20" s="754"/>
      <c r="I20" s="684"/>
      <c r="J20" s="670"/>
    </row>
    <row r="21" spans="1:10" ht="14.25" customHeight="1" x14ac:dyDescent="0.2">
      <c r="A21" s="725"/>
      <c r="B21" s="760"/>
      <c r="C21" s="761"/>
      <c r="D21" s="762"/>
      <c r="E21" s="762"/>
      <c r="F21" s="723"/>
      <c r="G21" s="723"/>
      <c r="H21" s="756"/>
      <c r="I21" s="684"/>
      <c r="J21" s="670"/>
    </row>
    <row r="22" spans="1:10" ht="14.25" customHeight="1" x14ac:dyDescent="0.2">
      <c r="A22" s="685"/>
      <c r="B22" s="720"/>
      <c r="C22" s="721"/>
      <c r="D22" s="722"/>
      <c r="E22" s="722"/>
      <c r="F22" s="698"/>
      <c r="G22" s="909"/>
      <c r="H22" s="754"/>
    </row>
    <row r="23" spans="1:10" ht="14.25" customHeight="1" x14ac:dyDescent="0.2">
      <c r="A23" s="685"/>
      <c r="B23" s="720"/>
      <c r="C23" s="721"/>
      <c r="D23" s="722"/>
      <c r="E23" s="722"/>
      <c r="F23" s="698"/>
      <c r="G23" s="909"/>
      <c r="H23" s="754"/>
    </row>
    <row r="24" spans="1:10" ht="14.25" customHeight="1" x14ac:dyDescent="0.2">
      <c r="A24" s="725"/>
      <c r="B24" s="720"/>
      <c r="C24" s="721"/>
      <c r="D24" s="722"/>
      <c r="E24" s="722"/>
      <c r="F24" s="718"/>
      <c r="G24" s="723"/>
      <c r="H24" s="757"/>
    </row>
    <row r="25" spans="1:10" ht="14.25" customHeight="1" x14ac:dyDescent="0.2">
      <c r="A25" s="725"/>
      <c r="B25" s="720"/>
      <c r="C25" s="721"/>
      <c r="D25" s="722"/>
      <c r="E25" s="722"/>
      <c r="F25" s="683"/>
      <c r="G25" s="691"/>
      <c r="H25" s="757"/>
    </row>
    <row r="26" spans="1:10" ht="14.25" customHeight="1" x14ac:dyDescent="0.2">
      <c r="A26" s="725"/>
      <c r="B26" s="720"/>
      <c r="C26" s="721"/>
      <c r="D26" s="722"/>
      <c r="E26" s="722"/>
      <c r="F26" s="683"/>
      <c r="G26" s="691"/>
      <c r="H26" s="757"/>
    </row>
    <row r="27" spans="1:10" ht="14.25" customHeight="1" x14ac:dyDescent="0.2">
      <c r="A27" s="725"/>
      <c r="B27" s="720"/>
      <c r="C27" s="721"/>
      <c r="D27" s="722"/>
      <c r="E27" s="722"/>
      <c r="F27" s="683"/>
      <c r="G27" s="691"/>
      <c r="H27" s="757"/>
    </row>
    <row r="28" spans="1:10" ht="14.25" customHeight="1" x14ac:dyDescent="0.2">
      <c r="A28" s="725"/>
      <c r="B28" s="720"/>
      <c r="C28" s="721"/>
      <c r="D28" s="722"/>
      <c r="E28" s="722"/>
      <c r="F28" s="683"/>
      <c r="G28" s="691"/>
      <c r="H28" s="633"/>
    </row>
    <row r="29" spans="1:10" ht="14.25" customHeight="1" x14ac:dyDescent="0.2">
      <c r="A29" s="725"/>
      <c r="B29" s="720"/>
      <c r="C29" s="721"/>
      <c r="D29" s="722"/>
      <c r="E29" s="722"/>
      <c r="F29" s="683"/>
      <c r="G29" s="691"/>
      <c r="H29" s="633"/>
    </row>
    <row r="30" spans="1:10" ht="14.25" customHeight="1" x14ac:dyDescent="0.2">
      <c r="A30" s="725"/>
      <c r="B30" s="720"/>
      <c r="C30" s="721"/>
      <c r="D30" s="722"/>
      <c r="E30" s="722"/>
      <c r="F30" s="683"/>
      <c r="G30" s="691"/>
      <c r="H30" s="633"/>
    </row>
    <row r="31" spans="1:10" x14ac:dyDescent="0.2">
      <c r="F31" s="911" t="s">
        <v>123</v>
      </c>
      <c r="G31" s="697">
        <f>SUM(G7:G30)</f>
        <v>0</v>
      </c>
      <c r="H31" s="697">
        <f>SUM(H7:H30)</f>
        <v>10</v>
      </c>
    </row>
    <row r="32" spans="1:10" x14ac:dyDescent="0.2">
      <c r="F32" s="689"/>
      <c r="G32" s="690"/>
      <c r="H32" s="912"/>
    </row>
    <row r="33" spans="6:8" ht="14.25" x14ac:dyDescent="0.2">
      <c r="F33" s="1153" t="s">
        <v>8</v>
      </c>
      <c r="G33" s="1154"/>
      <c r="H33" s="701">
        <f>G31-H31</f>
        <v>-10</v>
      </c>
    </row>
  </sheetData>
  <mergeCells count="3">
    <mergeCell ref="C1:H5"/>
    <mergeCell ref="J1:J3"/>
    <mergeCell ref="F33:G33"/>
  </mergeCells>
  <hyperlinks>
    <hyperlink ref="J6" location="'ANA SAYFA'!A1" display="AnaSayfa"/>
    <hyperlink ref="J1:J3" location="'ANA SAYFA'!A1" display="ANA SAYFA"/>
  </hyperlinks>
  <pageMargins left="0.7" right="0.12" top="0.28000000000000003" bottom="0.75" header="0.3" footer="0.3"/>
  <pageSetup paperSize="9" scale="68" orientation="portrait"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zoomScaleNormal="100" workbookViewId="0">
      <selection activeCell="J1" sqref="J1:J3"/>
    </sheetView>
  </sheetViews>
  <sheetFormatPr defaultColWidth="9.140625" defaultRowHeight="12.75" x14ac:dyDescent="0.2"/>
  <cols>
    <col min="1" max="1" width="18.140625" style="699" bestFit="1" customWidth="1"/>
    <col min="2" max="3" width="26.5703125" style="699" bestFit="1" customWidth="1"/>
    <col min="4" max="5" width="9.28515625" style="699" bestFit="1" customWidth="1"/>
    <col min="6" max="6" width="18.28515625" style="699" bestFit="1" customWidth="1"/>
    <col min="7" max="8" width="13" style="699" customWidth="1"/>
    <col min="9" max="9" width="4.42578125" style="699" customWidth="1"/>
    <col min="10" max="10" width="12.28515625" style="699" customWidth="1"/>
    <col min="11" max="16384" width="9.140625" style="699"/>
  </cols>
  <sheetData>
    <row r="1" spans="1:10" ht="15" customHeight="1" x14ac:dyDescent="0.2">
      <c r="A1" s="669" t="s">
        <v>135</v>
      </c>
      <c r="B1" s="745" t="str">
        <f>'ANA SAYFA'!B131</f>
        <v>METİN KÖKCÜ</v>
      </c>
      <c r="C1" s="1166" t="s">
        <v>136</v>
      </c>
      <c r="D1" s="1166"/>
      <c r="E1" s="1166"/>
      <c r="F1" s="1166"/>
      <c r="G1" s="1166"/>
      <c r="H1" s="1166"/>
      <c r="I1" s="668"/>
      <c r="J1" s="1228" t="s">
        <v>712</v>
      </c>
    </row>
    <row r="2" spans="1:10" ht="15" customHeight="1" x14ac:dyDescent="0.2">
      <c r="A2" s="669" t="s">
        <v>137</v>
      </c>
      <c r="B2" s="728">
        <f>'ANA SAYFA'!D131</f>
        <v>43529026304</v>
      </c>
      <c r="C2" s="1166"/>
      <c r="D2" s="1166"/>
      <c r="E2" s="1166"/>
      <c r="F2" s="1166"/>
      <c r="G2" s="1166"/>
      <c r="H2" s="1166"/>
      <c r="I2" s="668"/>
      <c r="J2" s="1229"/>
    </row>
    <row r="3" spans="1:10" ht="15" customHeight="1" thickBot="1" x14ac:dyDescent="0.25">
      <c r="A3" s="669" t="s">
        <v>131</v>
      </c>
      <c r="B3" s="727" t="str">
        <f>'ANA SAYFA'!C131</f>
        <v>KAMYON ŞOFÖRÜ</v>
      </c>
      <c r="C3" s="1166"/>
      <c r="D3" s="1166"/>
      <c r="E3" s="1166"/>
      <c r="F3" s="1166"/>
      <c r="G3" s="1166"/>
      <c r="H3" s="1166"/>
      <c r="I3" s="668"/>
      <c r="J3" s="1230"/>
    </row>
    <row r="4" spans="1:10" ht="15" customHeight="1" x14ac:dyDescent="0.2">
      <c r="A4" s="669" t="s">
        <v>120</v>
      </c>
      <c r="B4" s="700">
        <f>'ANA SAYFA'!E131</f>
        <v>45759</v>
      </c>
      <c r="C4" s="1166"/>
      <c r="D4" s="1166"/>
      <c r="E4" s="1166"/>
      <c r="F4" s="1166"/>
      <c r="G4" s="1166"/>
      <c r="H4" s="1166"/>
      <c r="I4" s="668"/>
      <c r="J4" s="670"/>
    </row>
    <row r="5" spans="1:10" ht="15" customHeight="1" x14ac:dyDescent="0.2">
      <c r="A5" s="669" t="s">
        <v>130</v>
      </c>
      <c r="B5" s="700">
        <f>'ANA SAYFA'!F131</f>
        <v>27454</v>
      </c>
      <c r="C5" s="1166"/>
      <c r="D5" s="1166"/>
      <c r="E5" s="1166"/>
      <c r="F5" s="1166"/>
      <c r="G5" s="1166"/>
      <c r="H5" s="1166"/>
      <c r="I5" s="668"/>
    </row>
    <row r="6" spans="1:10" ht="31.5" x14ac:dyDescent="0.2">
      <c r="A6" s="916" t="s">
        <v>0</v>
      </c>
      <c r="B6" s="694" t="s">
        <v>1</v>
      </c>
      <c r="C6" s="916" t="s">
        <v>2</v>
      </c>
      <c r="D6" s="695" t="s">
        <v>133</v>
      </c>
      <c r="E6" s="695" t="s">
        <v>4</v>
      </c>
      <c r="F6" s="695" t="s">
        <v>7</v>
      </c>
      <c r="G6" s="695" t="s">
        <v>6</v>
      </c>
      <c r="H6" s="695" t="s">
        <v>16</v>
      </c>
      <c r="I6" s="672"/>
    </row>
    <row r="7" spans="1:10" ht="14.25" customHeight="1" x14ac:dyDescent="0.2">
      <c r="A7" s="719"/>
      <c r="B7" s="729">
        <v>45771</v>
      </c>
      <c r="C7" s="732">
        <v>45771</v>
      </c>
      <c r="D7" s="733">
        <v>0.33333333333333331</v>
      </c>
      <c r="E7" s="733">
        <v>0.33333333333333331</v>
      </c>
      <c r="F7" s="723" t="s">
        <v>982</v>
      </c>
      <c r="G7" s="723">
        <v>20</v>
      </c>
      <c r="H7" s="436">
        <v>1</v>
      </c>
      <c r="I7" s="684"/>
      <c r="J7" s="670"/>
    </row>
    <row r="8" spans="1:10" ht="14.25" customHeight="1" x14ac:dyDescent="0.2">
      <c r="A8" s="719"/>
      <c r="B8" s="729">
        <v>45839</v>
      </c>
      <c r="C8" s="732">
        <v>45839</v>
      </c>
      <c r="D8" s="733"/>
      <c r="E8" s="733"/>
      <c r="F8" s="723" t="s">
        <v>828</v>
      </c>
      <c r="G8" s="723"/>
      <c r="H8" s="436">
        <v>1</v>
      </c>
      <c r="I8" s="684"/>
      <c r="J8" s="670"/>
    </row>
    <row r="9" spans="1:10" ht="14.25" customHeight="1" x14ac:dyDescent="0.2">
      <c r="A9" s="719"/>
      <c r="B9" s="729">
        <v>45842</v>
      </c>
      <c r="C9" s="732">
        <v>45842</v>
      </c>
      <c r="D9" s="733">
        <v>0.33333333333333331</v>
      </c>
      <c r="E9" s="733">
        <v>0.33333333333333331</v>
      </c>
      <c r="F9" s="723"/>
      <c r="G9" s="723"/>
      <c r="H9" s="436">
        <v>1</v>
      </c>
      <c r="I9" s="684"/>
      <c r="J9" s="670"/>
    </row>
    <row r="10" spans="1:10" x14ac:dyDescent="0.2">
      <c r="A10" s="719"/>
      <c r="B10" s="729">
        <v>45849</v>
      </c>
      <c r="C10" s="732">
        <v>45849</v>
      </c>
      <c r="D10" s="733">
        <v>0.33333333333333331</v>
      </c>
      <c r="E10" s="733">
        <v>0.33333333333333331</v>
      </c>
      <c r="F10" s="723"/>
      <c r="G10" s="723"/>
      <c r="H10" s="436">
        <v>1</v>
      </c>
      <c r="I10" s="684"/>
      <c r="J10" s="670"/>
    </row>
    <row r="11" spans="1:10" ht="14.25" customHeight="1" x14ac:dyDescent="0.2">
      <c r="A11" s="719"/>
      <c r="B11" s="1206" t="s">
        <v>827</v>
      </c>
      <c r="C11" s="1207"/>
      <c r="D11" s="733"/>
      <c r="E11" s="733"/>
      <c r="F11" s="723"/>
      <c r="G11" s="723"/>
      <c r="H11" s="756">
        <v>-3</v>
      </c>
      <c r="I11" s="684"/>
      <c r="J11" s="670"/>
    </row>
    <row r="12" spans="1:10" ht="14.25" customHeight="1" x14ac:dyDescent="0.2">
      <c r="A12" s="719"/>
      <c r="B12" s="729">
        <v>45981</v>
      </c>
      <c r="C12" s="732">
        <v>45985</v>
      </c>
      <c r="D12" s="733">
        <v>0.33333333333333331</v>
      </c>
      <c r="E12" s="733">
        <v>0.33333333333333331</v>
      </c>
      <c r="F12" s="723"/>
      <c r="G12" s="723"/>
      <c r="H12" s="756">
        <v>3</v>
      </c>
      <c r="I12" s="684"/>
      <c r="J12" s="670"/>
    </row>
    <row r="13" spans="1:10" ht="14.25" customHeight="1" x14ac:dyDescent="0.2">
      <c r="A13" s="719"/>
      <c r="B13" s="729">
        <v>45987</v>
      </c>
      <c r="C13" s="732">
        <v>45989</v>
      </c>
      <c r="D13" s="733"/>
      <c r="E13" s="733"/>
      <c r="F13" s="723"/>
      <c r="G13" s="723"/>
      <c r="H13" s="756">
        <v>2</v>
      </c>
      <c r="I13" s="684"/>
      <c r="J13" s="670"/>
    </row>
    <row r="14" spans="1:10" ht="14.25" customHeight="1" x14ac:dyDescent="0.2">
      <c r="A14" s="719"/>
      <c r="B14" s="729">
        <v>45997</v>
      </c>
      <c r="C14" s="732">
        <v>45999</v>
      </c>
      <c r="D14" s="733"/>
      <c r="E14" s="733"/>
      <c r="F14" s="723"/>
      <c r="G14" s="723"/>
      <c r="H14" s="756">
        <v>1</v>
      </c>
      <c r="I14" s="684"/>
      <c r="J14" s="670"/>
    </row>
    <row r="15" spans="1:10" ht="14.25" customHeight="1" x14ac:dyDescent="0.2">
      <c r="A15" s="719"/>
      <c r="B15" s="729">
        <v>46028</v>
      </c>
      <c r="C15" s="732">
        <v>46034</v>
      </c>
      <c r="D15" s="733"/>
      <c r="E15" s="733"/>
      <c r="F15" s="723"/>
      <c r="G15" s="723"/>
      <c r="H15" s="756">
        <v>5</v>
      </c>
      <c r="I15" s="684"/>
      <c r="J15" s="670"/>
    </row>
    <row r="16" spans="1:10" ht="14.25" customHeight="1" x14ac:dyDescent="0.2">
      <c r="A16" s="719"/>
      <c r="B16" s="729">
        <v>46090</v>
      </c>
      <c r="C16" s="732">
        <v>46097</v>
      </c>
      <c r="D16" s="733"/>
      <c r="E16" s="733"/>
      <c r="F16" s="723"/>
      <c r="G16" s="723"/>
      <c r="H16" s="756">
        <v>6</v>
      </c>
      <c r="I16" s="684"/>
      <c r="J16" s="670"/>
    </row>
    <row r="17" spans="1:10" ht="14.25" customHeight="1" x14ac:dyDescent="0.2">
      <c r="A17" s="719"/>
      <c r="B17" s="729">
        <v>46121</v>
      </c>
      <c r="C17" s="732">
        <v>46122</v>
      </c>
      <c r="D17" s="733"/>
      <c r="E17" s="733"/>
      <c r="F17" s="723"/>
      <c r="G17" s="723"/>
      <c r="H17" s="756">
        <v>1</v>
      </c>
      <c r="I17" s="684"/>
      <c r="J17" s="670"/>
    </row>
    <row r="18" spans="1:10" ht="14.25" customHeight="1" x14ac:dyDescent="0.2">
      <c r="A18" s="724"/>
      <c r="B18" s="729">
        <v>46202</v>
      </c>
      <c r="C18" s="732">
        <v>46202</v>
      </c>
      <c r="D18" s="733"/>
      <c r="E18" s="733"/>
      <c r="F18" s="723"/>
      <c r="G18" s="723"/>
      <c r="H18" s="756">
        <v>1</v>
      </c>
      <c r="I18" s="684"/>
      <c r="J18" s="670"/>
    </row>
    <row r="19" spans="1:10" ht="14.25" customHeight="1" x14ac:dyDescent="0.2">
      <c r="A19" s="724"/>
      <c r="B19" s="760"/>
      <c r="C19" s="761"/>
      <c r="D19" s="762"/>
      <c r="E19" s="762"/>
      <c r="F19" s="723"/>
      <c r="G19" s="723"/>
      <c r="H19" s="757"/>
      <c r="I19" s="684"/>
      <c r="J19" s="670"/>
    </row>
    <row r="20" spans="1:10" ht="14.25" customHeight="1" x14ac:dyDescent="0.2">
      <c r="A20" s="753"/>
      <c r="B20" s="760"/>
      <c r="C20" s="761"/>
      <c r="D20" s="762"/>
      <c r="E20" s="762"/>
      <c r="F20" s="723"/>
      <c r="G20" s="723"/>
      <c r="H20" s="756"/>
      <c r="I20" s="684"/>
      <c r="J20" s="670"/>
    </row>
    <row r="21" spans="1:10" ht="14.25" customHeight="1" x14ac:dyDescent="0.2">
      <c r="A21" s="753"/>
      <c r="B21" s="760"/>
      <c r="C21" s="761"/>
      <c r="D21" s="762"/>
      <c r="E21" s="762"/>
      <c r="F21" s="723"/>
      <c r="G21" s="723"/>
      <c r="H21" s="754"/>
      <c r="I21" s="684"/>
      <c r="J21" s="670"/>
    </row>
    <row r="22" spans="1:10" ht="14.25" customHeight="1" x14ac:dyDescent="0.2">
      <c r="A22" s="725"/>
      <c r="B22" s="760"/>
      <c r="C22" s="761"/>
      <c r="D22" s="762"/>
      <c r="E22" s="762"/>
      <c r="F22" s="723"/>
      <c r="G22" s="723"/>
      <c r="H22" s="756"/>
      <c r="I22" s="684"/>
      <c r="J22" s="670"/>
    </row>
    <row r="23" spans="1:10" ht="14.25" customHeight="1" x14ac:dyDescent="0.2">
      <c r="A23" s="685"/>
      <c r="B23" s="720"/>
      <c r="C23" s="721"/>
      <c r="D23" s="722"/>
      <c r="E23" s="722"/>
      <c r="F23" s="698"/>
      <c r="G23" s="915"/>
      <c r="H23" s="754"/>
    </row>
    <row r="24" spans="1:10" ht="14.25" customHeight="1" x14ac:dyDescent="0.2">
      <c r="A24" s="685"/>
      <c r="B24" s="720"/>
      <c r="C24" s="721"/>
      <c r="D24" s="722"/>
      <c r="E24" s="722"/>
      <c r="F24" s="698"/>
      <c r="G24" s="915"/>
      <c r="H24" s="754"/>
    </row>
    <row r="25" spans="1:10" ht="14.25" customHeight="1" x14ac:dyDescent="0.2">
      <c r="A25" s="725"/>
      <c r="B25" s="720"/>
      <c r="C25" s="721"/>
      <c r="D25" s="722"/>
      <c r="E25" s="722"/>
      <c r="F25" s="718"/>
      <c r="G25" s="723"/>
      <c r="H25" s="757"/>
    </row>
    <row r="26" spans="1:10" ht="14.25" customHeight="1" x14ac:dyDescent="0.2">
      <c r="A26" s="725"/>
      <c r="B26" s="720"/>
      <c r="C26" s="721"/>
      <c r="D26" s="722"/>
      <c r="E26" s="722"/>
      <c r="F26" s="683"/>
      <c r="G26" s="691"/>
      <c r="H26" s="757"/>
    </row>
    <row r="27" spans="1:10" ht="14.25" customHeight="1" x14ac:dyDescent="0.2">
      <c r="A27" s="725"/>
      <c r="B27" s="720"/>
      <c r="C27" s="721"/>
      <c r="D27" s="722"/>
      <c r="E27" s="722"/>
      <c r="F27" s="683"/>
      <c r="G27" s="691"/>
      <c r="H27" s="757"/>
    </row>
    <row r="28" spans="1:10" ht="14.25" customHeight="1" x14ac:dyDescent="0.2">
      <c r="A28" s="725"/>
      <c r="B28" s="720"/>
      <c r="C28" s="721"/>
      <c r="D28" s="722"/>
      <c r="E28" s="722"/>
      <c r="F28" s="683"/>
      <c r="G28" s="691"/>
      <c r="H28" s="757"/>
    </row>
    <row r="29" spans="1:10" ht="14.25" customHeight="1" x14ac:dyDescent="0.2">
      <c r="A29" s="725"/>
      <c r="B29" s="720"/>
      <c r="C29" s="721"/>
      <c r="D29" s="722"/>
      <c r="E29" s="722"/>
      <c r="F29" s="683"/>
      <c r="G29" s="691"/>
      <c r="H29" s="633"/>
    </row>
    <row r="30" spans="1:10" ht="14.25" customHeight="1" x14ac:dyDescent="0.2">
      <c r="A30" s="725"/>
      <c r="B30" s="720"/>
      <c r="C30" s="721"/>
      <c r="D30" s="722"/>
      <c r="E30" s="722"/>
      <c r="F30" s="683"/>
      <c r="G30" s="691"/>
      <c r="H30" s="633"/>
    </row>
    <row r="31" spans="1:10" ht="14.25" customHeight="1" x14ac:dyDescent="0.2">
      <c r="A31" s="725"/>
      <c r="B31" s="720"/>
      <c r="C31" s="721"/>
      <c r="D31" s="722"/>
      <c r="E31" s="722"/>
      <c r="F31" s="683"/>
      <c r="G31" s="691"/>
      <c r="H31" s="633"/>
    </row>
    <row r="32" spans="1:10" x14ac:dyDescent="0.2">
      <c r="F32" s="917" t="s">
        <v>123</v>
      </c>
      <c r="G32" s="697">
        <f>SUM(G7:G31)</f>
        <v>20</v>
      </c>
      <c r="H32" s="697">
        <f>SUM(H7:H31)</f>
        <v>20</v>
      </c>
    </row>
    <row r="33" spans="6:8" x14ac:dyDescent="0.2">
      <c r="F33" s="689"/>
      <c r="G33" s="690"/>
      <c r="H33" s="912"/>
    </row>
    <row r="34" spans="6:8" ht="14.25" x14ac:dyDescent="0.2">
      <c r="F34" s="1153" t="s">
        <v>8</v>
      </c>
      <c r="G34" s="1154"/>
      <c r="H34" s="701">
        <f>G32-H32</f>
        <v>0</v>
      </c>
    </row>
  </sheetData>
  <mergeCells count="4">
    <mergeCell ref="C1:H5"/>
    <mergeCell ref="J1:J3"/>
    <mergeCell ref="F34:G34"/>
    <mergeCell ref="B11:C11"/>
  </mergeCells>
  <hyperlinks>
    <hyperlink ref="J6" location="'ANA SAYFA'!A1" display="AnaSayfa"/>
    <hyperlink ref="J1:J3" location="'ANA SAYFA'!A1" display="ANA SAYFA"/>
  </hyperlinks>
  <pageMargins left="0.7" right="0.12" top="0.28000000000000003" bottom="0.75" header="0.3" footer="0.3"/>
  <pageSetup paperSize="9" scale="73" orientation="portrait" r:id="rId1"/>
  <colBreaks count="1" manualBreakCount="1">
    <brk id="8" max="1048575" man="1"/>
  </colBreaks>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4"/>
  <sheetViews>
    <sheetView zoomScaleNormal="100" workbookViewId="0">
      <selection activeCell="J1" sqref="J1:J3"/>
    </sheetView>
  </sheetViews>
  <sheetFormatPr defaultColWidth="9.140625" defaultRowHeight="12.75" x14ac:dyDescent="0.2"/>
  <cols>
    <col min="1" max="1" width="18.140625" style="699" bestFit="1" customWidth="1"/>
    <col min="2" max="3" width="27.7109375" style="699" bestFit="1" customWidth="1"/>
    <col min="4" max="5" width="9.28515625" style="699" bestFit="1" customWidth="1"/>
    <col min="6" max="6" width="22.85546875" style="699" bestFit="1" customWidth="1"/>
    <col min="7" max="8" width="13" style="699" customWidth="1"/>
    <col min="9" max="9" width="4.42578125" style="699" customWidth="1"/>
    <col min="10" max="10" width="12.28515625" style="699" customWidth="1"/>
    <col min="11" max="16384" width="9.140625" style="699"/>
  </cols>
  <sheetData>
    <row r="1" spans="1:10" ht="15" customHeight="1" x14ac:dyDescent="0.2">
      <c r="A1" s="669" t="s">
        <v>135</v>
      </c>
      <c r="B1" s="745" t="str">
        <f>'ANA SAYFA'!B132</f>
        <v>MEHMET KAYA</v>
      </c>
      <c r="C1" s="1166" t="s">
        <v>136</v>
      </c>
      <c r="D1" s="1166"/>
      <c r="E1" s="1166"/>
      <c r="F1" s="1166"/>
      <c r="G1" s="1166"/>
      <c r="H1" s="1166"/>
      <c r="I1" s="668"/>
      <c r="J1" s="1228" t="s">
        <v>712</v>
      </c>
    </row>
    <row r="2" spans="1:10" ht="15" customHeight="1" x14ac:dyDescent="0.2">
      <c r="A2" s="669" t="s">
        <v>137</v>
      </c>
      <c r="B2" s="728">
        <f>'ANA SAYFA'!D132</f>
        <v>68995018264</v>
      </c>
      <c r="C2" s="1166"/>
      <c r="D2" s="1166"/>
      <c r="E2" s="1166"/>
      <c r="F2" s="1166"/>
      <c r="G2" s="1166"/>
      <c r="H2" s="1166"/>
      <c r="I2" s="668"/>
      <c r="J2" s="1229"/>
    </row>
    <row r="3" spans="1:10" ht="15" customHeight="1" thickBot="1" x14ac:dyDescent="0.25">
      <c r="A3" s="669" t="s">
        <v>131</v>
      </c>
      <c r="B3" s="727" t="str">
        <f>'ANA SAYFA'!C132</f>
        <v>TIR ÇEKİCİ ŞOFÖRÜ</v>
      </c>
      <c r="C3" s="1166"/>
      <c r="D3" s="1166"/>
      <c r="E3" s="1166"/>
      <c r="F3" s="1166"/>
      <c r="G3" s="1166"/>
      <c r="H3" s="1166"/>
      <c r="I3" s="668"/>
      <c r="J3" s="1230"/>
    </row>
    <row r="4" spans="1:10" ht="15" customHeight="1" x14ac:dyDescent="0.2">
      <c r="A4" s="669" t="s">
        <v>120</v>
      </c>
      <c r="B4" s="700">
        <f>'ANA SAYFA'!E132</f>
        <v>46060</v>
      </c>
      <c r="C4" s="1166"/>
      <c r="D4" s="1166"/>
      <c r="E4" s="1166"/>
      <c r="F4" s="1166"/>
      <c r="G4" s="1166"/>
      <c r="H4" s="1166"/>
      <c r="I4" s="668"/>
      <c r="J4" s="670"/>
    </row>
    <row r="5" spans="1:10" ht="15" customHeight="1" x14ac:dyDescent="0.2">
      <c r="A5" s="669" t="s">
        <v>130</v>
      </c>
      <c r="B5" s="700">
        <f>'ANA SAYFA'!F132</f>
        <v>34243</v>
      </c>
      <c r="C5" s="1166"/>
      <c r="D5" s="1166"/>
      <c r="E5" s="1166"/>
      <c r="F5" s="1166"/>
      <c r="G5" s="1166"/>
      <c r="H5" s="1166"/>
      <c r="I5" s="668"/>
    </row>
    <row r="6" spans="1:10" ht="31.5" x14ac:dyDescent="0.2">
      <c r="A6" s="916" t="s">
        <v>0</v>
      </c>
      <c r="B6" s="694" t="s">
        <v>1</v>
      </c>
      <c r="C6" s="916" t="s">
        <v>2</v>
      </c>
      <c r="D6" s="695" t="s">
        <v>133</v>
      </c>
      <c r="E6" s="695" t="s">
        <v>4</v>
      </c>
      <c r="F6" s="695" t="s">
        <v>7</v>
      </c>
      <c r="G6" s="695" t="s">
        <v>6</v>
      </c>
      <c r="H6" s="695" t="s">
        <v>16</v>
      </c>
      <c r="I6" s="672"/>
    </row>
    <row r="7" spans="1:10" ht="14.25" customHeight="1" x14ac:dyDescent="0.2">
      <c r="A7" s="719"/>
      <c r="B7" s="729">
        <v>46086</v>
      </c>
      <c r="C7" s="732">
        <v>46087</v>
      </c>
      <c r="D7" s="733"/>
      <c r="E7" s="733"/>
      <c r="F7" s="723"/>
      <c r="G7" s="723"/>
      <c r="H7" s="436">
        <v>1</v>
      </c>
      <c r="I7" s="684"/>
      <c r="J7" s="670" t="s">
        <v>830</v>
      </c>
    </row>
    <row r="8" spans="1:10" s="706" customFormat="1" ht="13.5" customHeight="1" x14ac:dyDescent="0.2">
      <c r="A8" s="707"/>
      <c r="B8" s="729">
        <v>46123</v>
      </c>
      <c r="C8" s="732">
        <v>46126</v>
      </c>
      <c r="D8" s="733"/>
      <c r="E8" s="733"/>
      <c r="F8" s="836"/>
      <c r="G8" s="709"/>
      <c r="H8" s="709">
        <v>2</v>
      </c>
      <c r="J8" s="706" t="s">
        <v>830</v>
      </c>
    </row>
    <row r="9" spans="1:10" s="961" customFormat="1" x14ac:dyDescent="0.2">
      <c r="A9" s="1076"/>
      <c r="B9" s="1077" t="s">
        <v>1004</v>
      </c>
      <c r="C9" s="1078"/>
      <c r="D9" s="1079"/>
      <c r="E9" s="1079"/>
      <c r="F9" s="1080"/>
      <c r="G9" s="1080"/>
      <c r="H9" s="1081">
        <v>-3</v>
      </c>
      <c r="I9" s="1082"/>
      <c r="J9" s="1083"/>
    </row>
    <row r="10" spans="1:10" x14ac:dyDescent="0.2">
      <c r="A10" s="719"/>
      <c r="B10" s="729">
        <v>46174</v>
      </c>
      <c r="C10" s="732">
        <v>46175</v>
      </c>
      <c r="D10" s="733"/>
      <c r="E10" s="733"/>
      <c r="F10" s="723"/>
      <c r="G10" s="723"/>
      <c r="H10" s="756">
        <v>1</v>
      </c>
      <c r="I10" s="684"/>
      <c r="J10" s="670"/>
    </row>
    <row r="11" spans="1:10" ht="14.25" customHeight="1" x14ac:dyDescent="0.2">
      <c r="A11" s="719"/>
      <c r="B11" s="729">
        <v>46199</v>
      </c>
      <c r="C11" s="732">
        <v>46200</v>
      </c>
      <c r="D11" s="733"/>
      <c r="E11" s="733"/>
      <c r="F11" s="723"/>
      <c r="G11" s="723"/>
      <c r="H11" s="756">
        <v>1</v>
      </c>
      <c r="I11" s="684"/>
      <c r="J11" s="670"/>
    </row>
    <row r="12" spans="1:10" ht="14.25" customHeight="1" x14ac:dyDescent="0.2">
      <c r="A12" s="719"/>
      <c r="B12" s="729"/>
      <c r="C12" s="732"/>
      <c r="D12" s="733"/>
      <c r="E12" s="733"/>
      <c r="F12" s="723"/>
      <c r="G12" s="723"/>
      <c r="H12" s="756"/>
      <c r="I12" s="684"/>
      <c r="J12" s="670"/>
    </row>
    <row r="13" spans="1:10" ht="14.25" customHeight="1" x14ac:dyDescent="0.2">
      <c r="A13" s="719"/>
      <c r="B13" s="729"/>
      <c r="C13" s="732"/>
      <c r="D13" s="733"/>
      <c r="E13" s="733"/>
      <c r="F13" s="723"/>
      <c r="G13" s="723"/>
      <c r="H13" s="756"/>
      <c r="I13" s="684"/>
      <c r="J13" s="670"/>
    </row>
    <row r="14" spans="1:10" ht="14.25" customHeight="1" x14ac:dyDescent="0.2">
      <c r="A14" s="719"/>
      <c r="B14" s="729"/>
      <c r="C14" s="732"/>
      <c r="D14" s="733"/>
      <c r="E14" s="733"/>
      <c r="F14" s="723"/>
      <c r="G14" s="723"/>
      <c r="H14" s="756"/>
      <c r="I14" s="684"/>
      <c r="J14" s="670"/>
    </row>
    <row r="15" spans="1:10" ht="14.25" customHeight="1" x14ac:dyDescent="0.2">
      <c r="A15" s="719"/>
      <c r="B15" s="729"/>
      <c r="C15" s="732"/>
      <c r="D15" s="733"/>
      <c r="E15" s="733"/>
      <c r="F15" s="723"/>
      <c r="G15" s="723"/>
      <c r="H15" s="756"/>
      <c r="I15" s="684"/>
      <c r="J15" s="670"/>
    </row>
    <row r="16" spans="1:10" ht="14.25" customHeight="1" x14ac:dyDescent="0.2">
      <c r="A16" s="719"/>
      <c r="B16" s="729"/>
      <c r="C16" s="732"/>
      <c r="D16" s="733"/>
      <c r="E16" s="733"/>
      <c r="F16" s="723"/>
      <c r="G16" s="723"/>
      <c r="H16" s="756"/>
      <c r="I16" s="684"/>
      <c r="J16" s="670"/>
    </row>
    <row r="17" spans="1:10" ht="14.25" customHeight="1" x14ac:dyDescent="0.2">
      <c r="A17" s="719"/>
      <c r="B17" s="729"/>
      <c r="C17" s="732"/>
      <c r="D17" s="733"/>
      <c r="E17" s="733"/>
      <c r="F17" s="723"/>
      <c r="G17" s="723"/>
      <c r="H17" s="756"/>
      <c r="I17" s="684"/>
      <c r="J17" s="670"/>
    </row>
    <row r="18" spans="1:10" ht="14.25" customHeight="1" x14ac:dyDescent="0.2">
      <c r="A18" s="724"/>
      <c r="B18" s="729"/>
      <c r="C18" s="732"/>
      <c r="D18" s="733"/>
      <c r="E18" s="733"/>
      <c r="F18" s="723"/>
      <c r="G18" s="723"/>
      <c r="H18" s="756"/>
      <c r="I18" s="684"/>
      <c r="J18" s="670"/>
    </row>
    <row r="19" spans="1:10" ht="14.25" customHeight="1" x14ac:dyDescent="0.2">
      <c r="A19" s="724"/>
      <c r="B19" s="760"/>
      <c r="C19" s="761"/>
      <c r="D19" s="762"/>
      <c r="E19" s="762"/>
      <c r="F19" s="723"/>
      <c r="G19" s="723"/>
      <c r="H19" s="757"/>
      <c r="I19" s="684"/>
      <c r="J19" s="670"/>
    </row>
    <row r="20" spans="1:10" ht="14.25" customHeight="1" x14ac:dyDescent="0.2">
      <c r="A20" s="753"/>
      <c r="B20" s="760"/>
      <c r="C20" s="761"/>
      <c r="D20" s="762"/>
      <c r="E20" s="762"/>
      <c r="F20" s="723"/>
      <c r="G20" s="723"/>
      <c r="H20" s="756"/>
      <c r="I20" s="684"/>
      <c r="J20" s="670"/>
    </row>
    <row r="21" spans="1:10" ht="14.25" customHeight="1" x14ac:dyDescent="0.2">
      <c r="A21" s="753"/>
      <c r="B21" s="760"/>
      <c r="C21" s="761"/>
      <c r="D21" s="762"/>
      <c r="E21" s="762"/>
      <c r="F21" s="723"/>
      <c r="G21" s="723"/>
      <c r="H21" s="754"/>
      <c r="I21" s="684"/>
      <c r="J21" s="670"/>
    </row>
    <row r="22" spans="1:10" ht="14.25" customHeight="1" x14ac:dyDescent="0.2">
      <c r="A22" s="725"/>
      <c r="B22" s="760"/>
      <c r="C22" s="761"/>
      <c r="D22" s="762"/>
      <c r="E22" s="762"/>
      <c r="F22" s="723"/>
      <c r="G22" s="723"/>
      <c r="H22" s="756"/>
      <c r="I22" s="684"/>
      <c r="J22" s="670"/>
    </row>
    <row r="23" spans="1:10" ht="14.25" customHeight="1" x14ac:dyDescent="0.2">
      <c r="A23" s="685"/>
      <c r="B23" s="720"/>
      <c r="C23" s="721"/>
      <c r="D23" s="722"/>
      <c r="E23" s="722"/>
      <c r="F23" s="698"/>
      <c r="G23" s="915"/>
      <c r="H23" s="754"/>
    </row>
    <row r="24" spans="1:10" ht="14.25" customHeight="1" x14ac:dyDescent="0.2">
      <c r="A24" s="685"/>
      <c r="B24" s="720"/>
      <c r="C24" s="721"/>
      <c r="D24" s="722"/>
      <c r="E24" s="722"/>
      <c r="F24" s="698"/>
      <c r="G24" s="915"/>
      <c r="H24" s="754"/>
    </row>
    <row r="25" spans="1:10" ht="14.25" customHeight="1" x14ac:dyDescent="0.2">
      <c r="A25" s="725"/>
      <c r="B25" s="720"/>
      <c r="C25" s="721"/>
      <c r="D25" s="722"/>
      <c r="E25" s="722"/>
      <c r="F25" s="718"/>
      <c r="G25" s="723"/>
      <c r="H25" s="757"/>
    </row>
    <row r="26" spans="1:10" ht="14.25" customHeight="1" x14ac:dyDescent="0.2">
      <c r="A26" s="725"/>
      <c r="B26" s="720"/>
      <c r="C26" s="721"/>
      <c r="D26" s="722"/>
      <c r="E26" s="722"/>
      <c r="F26" s="683"/>
      <c r="G26" s="691"/>
      <c r="H26" s="757"/>
    </row>
    <row r="27" spans="1:10" ht="14.25" customHeight="1" x14ac:dyDescent="0.2">
      <c r="A27" s="725"/>
      <c r="B27" s="720"/>
      <c r="C27" s="721"/>
      <c r="D27" s="722"/>
      <c r="E27" s="722"/>
      <c r="F27" s="683"/>
      <c r="G27" s="691"/>
      <c r="H27" s="757"/>
    </row>
    <row r="28" spans="1:10" ht="14.25" customHeight="1" x14ac:dyDescent="0.2">
      <c r="A28" s="725"/>
      <c r="B28" s="720"/>
      <c r="C28" s="721"/>
      <c r="D28" s="722"/>
      <c r="E28" s="722"/>
      <c r="F28" s="683"/>
      <c r="G28" s="691"/>
      <c r="H28" s="757"/>
    </row>
    <row r="29" spans="1:10" ht="14.25" customHeight="1" x14ac:dyDescent="0.2">
      <c r="A29" s="725"/>
      <c r="B29" s="720"/>
      <c r="C29" s="721"/>
      <c r="D29" s="722"/>
      <c r="E29" s="722"/>
      <c r="F29" s="683"/>
      <c r="G29" s="691"/>
      <c r="H29" s="633"/>
    </row>
    <row r="30" spans="1:10" ht="14.25" customHeight="1" x14ac:dyDescent="0.2">
      <c r="A30" s="725"/>
      <c r="B30" s="720"/>
      <c r="C30" s="721"/>
      <c r="D30" s="722"/>
      <c r="E30" s="722"/>
      <c r="F30" s="683"/>
      <c r="G30" s="691"/>
      <c r="H30" s="633"/>
    </row>
    <row r="31" spans="1:10" ht="14.25" customHeight="1" x14ac:dyDescent="0.2">
      <c r="A31" s="725"/>
      <c r="B31" s="720"/>
      <c r="C31" s="721"/>
      <c r="D31" s="722"/>
      <c r="E31" s="722"/>
      <c r="F31" s="683"/>
      <c r="G31" s="691"/>
      <c r="H31" s="633"/>
    </row>
    <row r="32" spans="1:10" x14ac:dyDescent="0.2">
      <c r="F32" s="917" t="s">
        <v>123</v>
      </c>
      <c r="G32" s="697">
        <f>SUM(G7:G31)</f>
        <v>0</v>
      </c>
      <c r="H32" s="697">
        <f>SUM(H7:H31)</f>
        <v>2</v>
      </c>
    </row>
    <row r="33" spans="6:8" x14ac:dyDescent="0.2">
      <c r="F33" s="689"/>
      <c r="G33" s="690"/>
      <c r="H33" s="912"/>
    </row>
    <row r="34" spans="6:8" ht="14.25" x14ac:dyDescent="0.2">
      <c r="F34" s="1153" t="s">
        <v>8</v>
      </c>
      <c r="G34" s="1154"/>
      <c r="H34" s="701">
        <f>G32-H32</f>
        <v>-2</v>
      </c>
    </row>
  </sheetData>
  <mergeCells count="3">
    <mergeCell ref="C1:H5"/>
    <mergeCell ref="J1:J3"/>
    <mergeCell ref="F34:G34"/>
  </mergeCells>
  <hyperlinks>
    <hyperlink ref="J6" location="'ANA SAYFA'!A1" display="AnaSayfa"/>
    <hyperlink ref="J1:J3" location="'ANA SAYFA'!A1" display="ANA SAYFA"/>
  </hyperlinks>
  <pageMargins left="0.7" right="0.12" top="0.28000000000000003" bottom="0.75" header="0.3" footer="0.3"/>
  <pageSetup paperSize="9" scale="68" orientation="portrait" horizontalDpi="300" verticalDpi="300" r:id="rId1"/>
  <colBreaks count="1" manualBreakCount="1">
    <brk id="8" max="1048575" man="1"/>
  </colBreaks>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zoomScaleNormal="100" workbookViewId="0">
      <selection activeCell="J1" sqref="J1:J3"/>
    </sheetView>
  </sheetViews>
  <sheetFormatPr defaultColWidth="9.140625" defaultRowHeight="12.75" x14ac:dyDescent="0.2"/>
  <cols>
    <col min="1" max="1" width="18.140625" style="699" bestFit="1" customWidth="1"/>
    <col min="2" max="3" width="27.7109375" style="699" bestFit="1" customWidth="1"/>
    <col min="4" max="5" width="9.28515625" style="699" bestFit="1" customWidth="1"/>
    <col min="6" max="6" width="26.28515625" style="699" bestFit="1" customWidth="1"/>
    <col min="7" max="8" width="13" style="699" customWidth="1"/>
    <col min="9" max="9" width="4.42578125" style="699" customWidth="1"/>
    <col min="10" max="10" width="12.28515625" style="699" customWidth="1"/>
    <col min="11" max="16384" width="9.140625" style="699"/>
  </cols>
  <sheetData>
    <row r="1" spans="1:10" ht="15" customHeight="1" x14ac:dyDescent="0.2">
      <c r="A1" s="669" t="s">
        <v>135</v>
      </c>
      <c r="B1" s="745" t="str">
        <f>'ANA SAYFA'!B133</f>
        <v>ÖMER TELLİ</v>
      </c>
      <c r="C1" s="1166" t="s">
        <v>136</v>
      </c>
      <c r="D1" s="1166"/>
      <c r="E1" s="1166"/>
      <c r="F1" s="1166"/>
      <c r="G1" s="1166"/>
      <c r="H1" s="1166"/>
      <c r="I1" s="668"/>
      <c r="J1" s="1228" t="s">
        <v>712</v>
      </c>
    </row>
    <row r="2" spans="1:10" ht="15" customHeight="1" x14ac:dyDescent="0.2">
      <c r="A2" s="669" t="s">
        <v>137</v>
      </c>
      <c r="B2" s="728">
        <f>'ANA SAYFA'!D133</f>
        <v>14906032140</v>
      </c>
      <c r="C2" s="1166"/>
      <c r="D2" s="1166"/>
      <c r="E2" s="1166"/>
      <c r="F2" s="1166"/>
      <c r="G2" s="1166"/>
      <c r="H2" s="1166"/>
      <c r="I2" s="668"/>
      <c r="J2" s="1229"/>
    </row>
    <row r="3" spans="1:10" ht="15" customHeight="1" thickBot="1" x14ac:dyDescent="0.25">
      <c r="A3" s="669" t="s">
        <v>131</v>
      </c>
      <c r="B3" s="727" t="str">
        <f>'ANA SAYFA'!C133</f>
        <v>İŞARETÇİ/SAPANCI</v>
      </c>
      <c r="C3" s="1166"/>
      <c r="D3" s="1166"/>
      <c r="E3" s="1166"/>
      <c r="F3" s="1166"/>
      <c r="G3" s="1166"/>
      <c r="H3" s="1166"/>
      <c r="I3" s="668"/>
      <c r="J3" s="1230"/>
    </row>
    <row r="4" spans="1:10" ht="15" customHeight="1" x14ac:dyDescent="0.2">
      <c r="A4" s="669" t="s">
        <v>120</v>
      </c>
      <c r="B4" s="700">
        <f>'ANA SAYFA'!E133</f>
        <v>45752</v>
      </c>
      <c r="C4" s="1166"/>
      <c r="D4" s="1166"/>
      <c r="E4" s="1166"/>
      <c r="F4" s="1166"/>
      <c r="G4" s="1166"/>
      <c r="H4" s="1166"/>
      <c r="I4" s="668"/>
      <c r="J4" s="670"/>
    </row>
    <row r="5" spans="1:10" ht="15" customHeight="1" x14ac:dyDescent="0.2">
      <c r="A5" s="669" t="s">
        <v>130</v>
      </c>
      <c r="B5" s="700">
        <f>'ANA SAYFA'!F133</f>
        <v>35312</v>
      </c>
      <c r="C5" s="1166"/>
      <c r="D5" s="1166"/>
      <c r="E5" s="1166"/>
      <c r="F5" s="1166"/>
      <c r="G5" s="1166"/>
      <c r="H5" s="1166"/>
      <c r="I5" s="668"/>
    </row>
    <row r="6" spans="1:10" ht="31.5" x14ac:dyDescent="0.2">
      <c r="A6" s="919" t="s">
        <v>0</v>
      </c>
      <c r="B6" s="694" t="s">
        <v>1</v>
      </c>
      <c r="C6" s="919" t="s">
        <v>2</v>
      </c>
      <c r="D6" s="695" t="s">
        <v>133</v>
      </c>
      <c r="E6" s="695" t="s">
        <v>4</v>
      </c>
      <c r="F6" s="695" t="s">
        <v>7</v>
      </c>
      <c r="G6" s="695" t="s">
        <v>6</v>
      </c>
      <c r="H6" s="695" t="s">
        <v>16</v>
      </c>
      <c r="I6" s="672"/>
    </row>
    <row r="7" spans="1:10" ht="14.25" customHeight="1" x14ac:dyDescent="0.2">
      <c r="A7" s="719"/>
      <c r="B7" s="729">
        <v>45867</v>
      </c>
      <c r="C7" s="732">
        <v>45869</v>
      </c>
      <c r="D7" s="733">
        <v>0.33333333333333331</v>
      </c>
      <c r="E7" s="733">
        <v>0.33333333333333331</v>
      </c>
      <c r="F7" s="723" t="s">
        <v>994</v>
      </c>
      <c r="G7" s="723">
        <v>14</v>
      </c>
      <c r="H7" s="436">
        <v>3</v>
      </c>
      <c r="I7" s="684"/>
      <c r="J7" s="670" t="s">
        <v>830</v>
      </c>
    </row>
    <row r="8" spans="1:10" ht="14.25" customHeight="1" x14ac:dyDescent="0.2">
      <c r="A8" s="719"/>
      <c r="B8" s="928" t="s">
        <v>827</v>
      </c>
      <c r="C8" s="931"/>
      <c r="D8" s="733"/>
      <c r="E8" s="733"/>
      <c r="F8" s="723"/>
      <c r="G8" s="723"/>
      <c r="H8" s="942">
        <v>-3</v>
      </c>
      <c r="I8" s="684"/>
      <c r="J8" s="670"/>
    </row>
    <row r="9" spans="1:10" x14ac:dyDescent="0.2">
      <c r="A9" s="719"/>
      <c r="B9" s="729">
        <v>45968</v>
      </c>
      <c r="C9" s="732">
        <v>45969</v>
      </c>
      <c r="D9" s="733"/>
      <c r="E9" s="733"/>
      <c r="F9" s="723"/>
      <c r="G9" s="723"/>
      <c r="H9" s="756">
        <v>1</v>
      </c>
      <c r="I9" s="684"/>
      <c r="J9" s="670" t="s">
        <v>830</v>
      </c>
    </row>
    <row r="10" spans="1:10" ht="14.25" customHeight="1" x14ac:dyDescent="0.2">
      <c r="A10" s="719"/>
      <c r="B10" s="729">
        <v>46088</v>
      </c>
      <c r="C10" s="732">
        <v>46090</v>
      </c>
      <c r="D10" s="733"/>
      <c r="E10" s="733"/>
      <c r="F10" s="723"/>
      <c r="G10" s="723"/>
      <c r="H10" s="756">
        <v>1</v>
      </c>
      <c r="I10" s="684"/>
      <c r="J10" s="670" t="s">
        <v>830</v>
      </c>
    </row>
    <row r="11" spans="1:10" ht="14.25" customHeight="1" x14ac:dyDescent="0.2">
      <c r="A11" s="719"/>
      <c r="B11" s="729">
        <v>46119</v>
      </c>
      <c r="C11" s="732">
        <v>46120</v>
      </c>
      <c r="D11" s="733"/>
      <c r="E11" s="733"/>
      <c r="F11" s="723"/>
      <c r="G11" s="723"/>
      <c r="H11" s="756">
        <v>1</v>
      </c>
      <c r="I11" s="684"/>
      <c r="J11" s="670" t="s">
        <v>830</v>
      </c>
    </row>
    <row r="12" spans="1:10" ht="14.25" customHeight="1" x14ac:dyDescent="0.2">
      <c r="A12" s="719"/>
      <c r="B12" s="729">
        <v>46151</v>
      </c>
      <c r="C12" s="732">
        <v>46153</v>
      </c>
      <c r="D12" s="733"/>
      <c r="E12" s="733"/>
      <c r="F12" s="723"/>
      <c r="G12" s="723"/>
      <c r="H12" s="756">
        <v>1</v>
      </c>
      <c r="I12" s="684"/>
      <c r="J12" s="670" t="s">
        <v>830</v>
      </c>
    </row>
    <row r="13" spans="1:10" ht="14.25" customHeight="1" x14ac:dyDescent="0.2">
      <c r="A13" s="719"/>
      <c r="B13" s="729">
        <v>46202</v>
      </c>
      <c r="C13" s="732">
        <v>46203</v>
      </c>
      <c r="D13" s="733"/>
      <c r="E13" s="733"/>
      <c r="F13" s="723"/>
      <c r="G13" s="723"/>
      <c r="H13" s="756">
        <v>1</v>
      </c>
      <c r="I13" s="684"/>
      <c r="J13" s="670"/>
    </row>
    <row r="14" spans="1:10" ht="14.25" customHeight="1" x14ac:dyDescent="0.2">
      <c r="A14" s="719"/>
      <c r="B14" s="729"/>
      <c r="C14" s="732"/>
      <c r="D14" s="733"/>
      <c r="E14" s="733"/>
      <c r="F14" s="723"/>
      <c r="G14" s="723"/>
      <c r="H14" s="756"/>
      <c r="I14" s="684"/>
      <c r="J14" s="670"/>
    </row>
    <row r="15" spans="1:10" ht="14.25" customHeight="1" x14ac:dyDescent="0.2">
      <c r="A15" s="719"/>
      <c r="B15" s="729"/>
      <c r="C15" s="732"/>
      <c r="D15" s="733"/>
      <c r="E15" s="733"/>
      <c r="F15" s="723"/>
      <c r="G15" s="723"/>
      <c r="H15" s="756"/>
      <c r="I15" s="684"/>
      <c r="J15" s="670"/>
    </row>
    <row r="16" spans="1:10" ht="14.25" customHeight="1" x14ac:dyDescent="0.2">
      <c r="A16" s="719"/>
      <c r="B16" s="729"/>
      <c r="C16" s="732"/>
      <c r="D16" s="733"/>
      <c r="E16" s="733"/>
      <c r="F16" s="723"/>
      <c r="G16" s="723"/>
      <c r="H16" s="756"/>
      <c r="I16" s="684"/>
      <c r="J16" s="670"/>
    </row>
    <row r="17" spans="1:10" ht="14.25" customHeight="1" x14ac:dyDescent="0.2">
      <c r="A17" s="724"/>
      <c r="B17" s="729"/>
      <c r="C17" s="732"/>
      <c r="D17" s="733"/>
      <c r="E17" s="733"/>
      <c r="F17" s="723"/>
      <c r="G17" s="723"/>
      <c r="H17" s="756"/>
      <c r="I17" s="684"/>
      <c r="J17" s="670"/>
    </row>
    <row r="18" spans="1:10" ht="14.25" customHeight="1" x14ac:dyDescent="0.2">
      <c r="A18" s="724"/>
      <c r="B18" s="760"/>
      <c r="C18" s="761"/>
      <c r="D18" s="762"/>
      <c r="E18" s="762"/>
      <c r="F18" s="723"/>
      <c r="G18" s="723"/>
      <c r="H18" s="757"/>
      <c r="I18" s="684"/>
      <c r="J18" s="670"/>
    </row>
    <row r="19" spans="1:10" ht="14.25" customHeight="1" x14ac:dyDescent="0.2">
      <c r="A19" s="753"/>
      <c r="B19" s="760"/>
      <c r="C19" s="761"/>
      <c r="D19" s="762"/>
      <c r="E19" s="762"/>
      <c r="F19" s="723"/>
      <c r="G19" s="723"/>
      <c r="H19" s="756"/>
      <c r="I19" s="684"/>
      <c r="J19" s="670"/>
    </row>
    <row r="20" spans="1:10" ht="14.25" customHeight="1" x14ac:dyDescent="0.2">
      <c r="A20" s="753"/>
      <c r="B20" s="760"/>
      <c r="C20" s="761"/>
      <c r="D20" s="762"/>
      <c r="E20" s="762"/>
      <c r="F20" s="723"/>
      <c r="G20" s="723"/>
      <c r="H20" s="754"/>
      <c r="I20" s="684"/>
      <c r="J20" s="670"/>
    </row>
    <row r="21" spans="1:10" ht="14.25" customHeight="1" x14ac:dyDescent="0.2">
      <c r="A21" s="725"/>
      <c r="B21" s="760"/>
      <c r="C21" s="761"/>
      <c r="D21" s="762"/>
      <c r="E21" s="762"/>
      <c r="F21" s="723"/>
      <c r="G21" s="723"/>
      <c r="H21" s="756"/>
      <c r="I21" s="684"/>
      <c r="J21" s="670"/>
    </row>
    <row r="22" spans="1:10" ht="14.25" customHeight="1" x14ac:dyDescent="0.2">
      <c r="A22" s="685"/>
      <c r="B22" s="720"/>
      <c r="C22" s="721"/>
      <c r="D22" s="722"/>
      <c r="E22" s="722"/>
      <c r="F22" s="698"/>
      <c r="G22" s="918"/>
      <c r="H22" s="754"/>
    </row>
    <row r="23" spans="1:10" ht="14.25" customHeight="1" x14ac:dyDescent="0.2">
      <c r="A23" s="685"/>
      <c r="B23" s="720"/>
      <c r="C23" s="721"/>
      <c r="D23" s="722"/>
      <c r="E23" s="722"/>
      <c r="F23" s="698"/>
      <c r="G23" s="918"/>
      <c r="H23" s="754"/>
    </row>
    <row r="24" spans="1:10" ht="14.25" customHeight="1" x14ac:dyDescent="0.2">
      <c r="A24" s="725"/>
      <c r="B24" s="720"/>
      <c r="C24" s="721"/>
      <c r="D24" s="722"/>
      <c r="E24" s="722"/>
      <c r="F24" s="718"/>
      <c r="G24" s="723"/>
      <c r="H24" s="757"/>
    </row>
    <row r="25" spans="1:10" ht="14.25" customHeight="1" x14ac:dyDescent="0.2">
      <c r="A25" s="725"/>
      <c r="B25" s="720"/>
      <c r="C25" s="721"/>
      <c r="D25" s="722"/>
      <c r="E25" s="722"/>
      <c r="F25" s="683"/>
      <c r="G25" s="691"/>
      <c r="H25" s="757"/>
    </row>
    <row r="26" spans="1:10" ht="14.25" customHeight="1" x14ac:dyDescent="0.2">
      <c r="A26" s="725"/>
      <c r="B26" s="720"/>
      <c r="C26" s="721"/>
      <c r="D26" s="722"/>
      <c r="E26" s="722"/>
      <c r="F26" s="683"/>
      <c r="G26" s="691"/>
      <c r="H26" s="757"/>
    </row>
    <row r="27" spans="1:10" ht="14.25" customHeight="1" x14ac:dyDescent="0.2">
      <c r="A27" s="725"/>
      <c r="B27" s="720"/>
      <c r="C27" s="721"/>
      <c r="D27" s="722"/>
      <c r="E27" s="722"/>
      <c r="F27" s="683"/>
      <c r="G27" s="691"/>
      <c r="H27" s="757"/>
    </row>
    <row r="28" spans="1:10" ht="14.25" customHeight="1" x14ac:dyDescent="0.2">
      <c r="A28" s="725"/>
      <c r="B28" s="720"/>
      <c r="C28" s="721"/>
      <c r="D28" s="722"/>
      <c r="E28" s="722"/>
      <c r="F28" s="683"/>
      <c r="G28" s="691"/>
      <c r="H28" s="633"/>
    </row>
    <row r="29" spans="1:10" ht="14.25" customHeight="1" x14ac:dyDescent="0.2">
      <c r="A29" s="725"/>
      <c r="B29" s="720"/>
      <c r="C29" s="721"/>
      <c r="D29" s="722"/>
      <c r="E29" s="722"/>
      <c r="F29" s="683"/>
      <c r="G29" s="691"/>
      <c r="H29" s="633"/>
    </row>
    <row r="30" spans="1:10" ht="14.25" customHeight="1" x14ac:dyDescent="0.2">
      <c r="A30" s="725"/>
      <c r="B30" s="720"/>
      <c r="C30" s="721"/>
      <c r="D30" s="722"/>
      <c r="E30" s="722"/>
      <c r="F30" s="683"/>
      <c r="G30" s="691"/>
      <c r="H30" s="633"/>
    </row>
    <row r="31" spans="1:10" x14ac:dyDescent="0.2">
      <c r="F31" s="920" t="s">
        <v>123</v>
      </c>
      <c r="G31" s="697">
        <f>SUM(G7:G30)</f>
        <v>14</v>
      </c>
      <c r="H31" s="697">
        <f>SUM(H7:H30)</f>
        <v>5</v>
      </c>
    </row>
    <row r="32" spans="1:10" x14ac:dyDescent="0.2">
      <c r="F32" s="689"/>
      <c r="G32" s="690"/>
      <c r="H32" s="912"/>
    </row>
    <row r="33" spans="6:8" ht="14.25" x14ac:dyDescent="0.2">
      <c r="F33" s="1153" t="s">
        <v>8</v>
      </c>
      <c r="G33" s="1154"/>
      <c r="H33" s="701">
        <f>G31-H31</f>
        <v>9</v>
      </c>
    </row>
  </sheetData>
  <mergeCells count="3">
    <mergeCell ref="C1:H5"/>
    <mergeCell ref="J1:J3"/>
    <mergeCell ref="F33:G33"/>
  </mergeCells>
  <hyperlinks>
    <hyperlink ref="J6" location="'ANA SAYFA'!A1" display="AnaSayfa"/>
    <hyperlink ref="J1:J3" location="'ANA SAYFA'!A1" display="ANA SAYFA"/>
  </hyperlinks>
  <pageMargins left="0.7" right="0.12" top="0.28000000000000003" bottom="0.75" header="0.3" footer="0.3"/>
  <pageSetup paperSize="9" scale="73" orientation="portrait" r:id="rId1"/>
  <colBreaks count="1" manualBreakCount="1">
    <brk id="8" max="1048575" man="1"/>
  </colBreaks>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zoomScaleNormal="100" workbookViewId="0">
      <selection activeCell="J1" sqref="J1:J3"/>
    </sheetView>
  </sheetViews>
  <sheetFormatPr defaultColWidth="9.140625" defaultRowHeight="12.75" x14ac:dyDescent="0.2"/>
  <cols>
    <col min="1" max="1" width="18.140625" style="699" bestFit="1" customWidth="1"/>
    <col min="2" max="3" width="27.7109375" style="699" bestFit="1" customWidth="1"/>
    <col min="4" max="5" width="9.28515625" style="699" bestFit="1" customWidth="1"/>
    <col min="6" max="6" width="18.28515625" style="699" bestFit="1" customWidth="1"/>
    <col min="7" max="8" width="13" style="699" customWidth="1"/>
    <col min="9" max="9" width="4.42578125" style="699" customWidth="1"/>
    <col min="10" max="10" width="12.28515625" style="699" customWidth="1"/>
    <col min="11" max="16384" width="9.140625" style="699"/>
  </cols>
  <sheetData>
    <row r="1" spans="1:10" ht="15" customHeight="1" x14ac:dyDescent="0.2">
      <c r="A1" s="669" t="s">
        <v>135</v>
      </c>
      <c r="B1" s="745" t="str">
        <f>'ANA SAYFA'!B134</f>
        <v>ÖMER OZYER</v>
      </c>
      <c r="C1" s="1166" t="s">
        <v>136</v>
      </c>
      <c r="D1" s="1166"/>
      <c r="E1" s="1166"/>
      <c r="F1" s="1166"/>
      <c r="G1" s="1166"/>
      <c r="H1" s="1166"/>
      <c r="I1" s="668"/>
      <c r="J1" s="1228" t="s">
        <v>712</v>
      </c>
    </row>
    <row r="2" spans="1:10" ht="15" customHeight="1" x14ac:dyDescent="0.2">
      <c r="A2" s="669" t="s">
        <v>137</v>
      </c>
      <c r="B2" s="728">
        <f>'ANA SAYFA'!D134</f>
        <v>17333609046</v>
      </c>
      <c r="C2" s="1166"/>
      <c r="D2" s="1166"/>
      <c r="E2" s="1166"/>
      <c r="F2" s="1166"/>
      <c r="G2" s="1166"/>
      <c r="H2" s="1166"/>
      <c r="I2" s="668"/>
      <c r="J2" s="1229"/>
    </row>
    <row r="3" spans="1:10" ht="15" customHeight="1" thickBot="1" x14ac:dyDescent="0.25">
      <c r="A3" s="669" t="s">
        <v>131</v>
      </c>
      <c r="B3" s="727" t="str">
        <f>'ANA SAYFA'!C134</f>
        <v>KAMYON ŞOFÖRÜ</v>
      </c>
      <c r="C3" s="1166"/>
      <c r="D3" s="1166"/>
      <c r="E3" s="1166"/>
      <c r="F3" s="1166"/>
      <c r="G3" s="1166"/>
      <c r="H3" s="1166"/>
      <c r="I3" s="668"/>
      <c r="J3" s="1230"/>
    </row>
    <row r="4" spans="1:10" ht="15" customHeight="1" x14ac:dyDescent="0.2">
      <c r="A4" s="669" t="s">
        <v>120</v>
      </c>
      <c r="B4" s="700">
        <f>'ANA SAYFA'!E134</f>
        <v>45818</v>
      </c>
      <c r="C4" s="1166"/>
      <c r="D4" s="1166"/>
      <c r="E4" s="1166"/>
      <c r="F4" s="1166"/>
      <c r="G4" s="1166"/>
      <c r="H4" s="1166"/>
      <c r="I4" s="668"/>
      <c r="J4" s="670"/>
    </row>
    <row r="5" spans="1:10" ht="15" customHeight="1" x14ac:dyDescent="0.2">
      <c r="A5" s="669" t="s">
        <v>130</v>
      </c>
      <c r="B5" s="700">
        <f>'ANA SAYFA'!F134</f>
        <v>31324</v>
      </c>
      <c r="C5" s="1166"/>
      <c r="D5" s="1166"/>
      <c r="E5" s="1166"/>
      <c r="F5" s="1166"/>
      <c r="G5" s="1166"/>
      <c r="H5" s="1166"/>
      <c r="I5" s="668"/>
    </row>
    <row r="6" spans="1:10" ht="31.5" x14ac:dyDescent="0.2">
      <c r="A6" s="922" t="s">
        <v>0</v>
      </c>
      <c r="B6" s="694" t="s">
        <v>1</v>
      </c>
      <c r="C6" s="922" t="s">
        <v>2</v>
      </c>
      <c r="D6" s="695" t="s">
        <v>133</v>
      </c>
      <c r="E6" s="695" t="s">
        <v>4</v>
      </c>
      <c r="F6" s="695" t="s">
        <v>7</v>
      </c>
      <c r="G6" s="695" t="s">
        <v>6</v>
      </c>
      <c r="H6" s="695" t="s">
        <v>16</v>
      </c>
      <c r="I6" s="672"/>
    </row>
    <row r="7" spans="1:10" ht="14.25" customHeight="1" x14ac:dyDescent="0.2">
      <c r="A7" s="719" t="s">
        <v>892</v>
      </c>
      <c r="B7" s="729">
        <v>45877</v>
      </c>
      <c r="C7" s="732">
        <v>45880</v>
      </c>
      <c r="D7" s="733">
        <v>0.33333333333333331</v>
      </c>
      <c r="E7" s="733">
        <v>0.33333333333333331</v>
      </c>
      <c r="F7" s="723"/>
      <c r="G7" s="723"/>
      <c r="H7" s="436">
        <v>2</v>
      </c>
      <c r="I7" s="684"/>
      <c r="J7" s="670"/>
    </row>
    <row r="8" spans="1:10" ht="14.25" customHeight="1" x14ac:dyDescent="0.2">
      <c r="A8" s="719"/>
      <c r="B8" s="928" t="s">
        <v>933</v>
      </c>
      <c r="C8" s="931"/>
      <c r="D8" s="978"/>
      <c r="E8" s="978"/>
      <c r="F8" s="979"/>
      <c r="G8" s="979"/>
      <c r="H8" s="1015">
        <v>-2</v>
      </c>
      <c r="I8" s="684"/>
      <c r="J8" s="670"/>
    </row>
    <row r="9" spans="1:10" x14ac:dyDescent="0.2">
      <c r="A9" s="719"/>
      <c r="B9" s="729"/>
      <c r="C9" s="732"/>
      <c r="D9" s="733"/>
      <c r="E9" s="733"/>
      <c r="F9" s="723"/>
      <c r="G9" s="723"/>
      <c r="H9" s="756"/>
      <c r="I9" s="684"/>
      <c r="J9" s="670"/>
    </row>
    <row r="10" spans="1:10" ht="14.25" customHeight="1" x14ac:dyDescent="0.2">
      <c r="A10" s="719"/>
      <c r="B10" s="729"/>
      <c r="C10" s="732"/>
      <c r="D10" s="733"/>
      <c r="E10" s="733"/>
      <c r="F10" s="723"/>
      <c r="G10" s="723"/>
      <c r="H10" s="756"/>
      <c r="I10" s="684"/>
      <c r="J10" s="670"/>
    </row>
    <row r="11" spans="1:10" ht="14.25" customHeight="1" x14ac:dyDescent="0.2">
      <c r="A11" s="719"/>
      <c r="B11" s="729"/>
      <c r="C11" s="732"/>
      <c r="D11" s="733"/>
      <c r="E11" s="733"/>
      <c r="F11" s="723"/>
      <c r="G11" s="723"/>
      <c r="H11" s="756"/>
      <c r="I11" s="684"/>
      <c r="J11" s="670"/>
    </row>
    <row r="12" spans="1:10" ht="14.25" customHeight="1" x14ac:dyDescent="0.2">
      <c r="A12" s="719"/>
      <c r="B12" s="729"/>
      <c r="C12" s="732"/>
      <c r="D12" s="733"/>
      <c r="E12" s="733"/>
      <c r="F12" s="723"/>
      <c r="G12" s="723"/>
      <c r="H12" s="756"/>
      <c r="I12" s="684"/>
      <c r="J12" s="670"/>
    </row>
    <row r="13" spans="1:10" ht="14.25" customHeight="1" x14ac:dyDescent="0.2">
      <c r="A13" s="719"/>
      <c r="B13" s="729"/>
      <c r="C13" s="732"/>
      <c r="D13" s="733"/>
      <c r="E13" s="733"/>
      <c r="F13" s="723"/>
      <c r="G13" s="723"/>
      <c r="H13" s="756"/>
      <c r="I13" s="684"/>
      <c r="J13" s="670"/>
    </row>
    <row r="14" spans="1:10" ht="14.25" customHeight="1" x14ac:dyDescent="0.2">
      <c r="A14" s="719"/>
      <c r="B14" s="729"/>
      <c r="C14" s="732"/>
      <c r="D14" s="733"/>
      <c r="E14" s="733"/>
      <c r="F14" s="723"/>
      <c r="G14" s="723"/>
      <c r="H14" s="756"/>
      <c r="I14" s="684"/>
      <c r="J14" s="670"/>
    </row>
    <row r="15" spans="1:10" ht="14.25" customHeight="1" x14ac:dyDescent="0.2">
      <c r="A15" s="719"/>
      <c r="B15" s="729"/>
      <c r="C15" s="732"/>
      <c r="D15" s="733"/>
      <c r="E15" s="733"/>
      <c r="F15" s="723"/>
      <c r="G15" s="723"/>
      <c r="H15" s="756"/>
      <c r="I15" s="684"/>
      <c r="J15" s="670"/>
    </row>
    <row r="16" spans="1:10" ht="14.25" customHeight="1" x14ac:dyDescent="0.2">
      <c r="A16" s="719"/>
      <c r="B16" s="729"/>
      <c r="C16" s="732"/>
      <c r="D16" s="733"/>
      <c r="E16" s="733"/>
      <c r="F16" s="723"/>
      <c r="G16" s="723"/>
      <c r="H16" s="756"/>
      <c r="I16" s="684"/>
      <c r="J16" s="670"/>
    </row>
    <row r="17" spans="1:10" ht="14.25" customHeight="1" x14ac:dyDescent="0.2">
      <c r="A17" s="724"/>
      <c r="B17" s="729"/>
      <c r="C17" s="732"/>
      <c r="D17" s="733"/>
      <c r="E17" s="733"/>
      <c r="F17" s="723"/>
      <c r="G17" s="723"/>
      <c r="H17" s="756"/>
      <c r="I17" s="684"/>
      <c r="J17" s="670"/>
    </row>
    <row r="18" spans="1:10" ht="14.25" customHeight="1" x14ac:dyDescent="0.2">
      <c r="A18" s="724"/>
      <c r="B18" s="760"/>
      <c r="C18" s="761"/>
      <c r="D18" s="762"/>
      <c r="E18" s="762"/>
      <c r="F18" s="723"/>
      <c r="G18" s="723"/>
      <c r="H18" s="757"/>
      <c r="I18" s="684"/>
      <c r="J18" s="670"/>
    </row>
    <row r="19" spans="1:10" ht="14.25" customHeight="1" x14ac:dyDescent="0.2">
      <c r="A19" s="753"/>
      <c r="B19" s="760"/>
      <c r="C19" s="761"/>
      <c r="D19" s="762"/>
      <c r="E19" s="762"/>
      <c r="F19" s="723"/>
      <c r="G19" s="723"/>
      <c r="H19" s="756"/>
      <c r="I19" s="684"/>
      <c r="J19" s="670"/>
    </row>
    <row r="20" spans="1:10" ht="14.25" customHeight="1" x14ac:dyDescent="0.2">
      <c r="A20" s="753"/>
      <c r="B20" s="760"/>
      <c r="C20" s="761"/>
      <c r="D20" s="762"/>
      <c r="E20" s="762"/>
      <c r="F20" s="723"/>
      <c r="G20" s="723"/>
      <c r="H20" s="754"/>
      <c r="I20" s="684"/>
      <c r="J20" s="670"/>
    </row>
    <row r="21" spans="1:10" ht="14.25" customHeight="1" x14ac:dyDescent="0.2">
      <c r="A21" s="725"/>
      <c r="B21" s="760"/>
      <c r="C21" s="761"/>
      <c r="D21" s="762"/>
      <c r="E21" s="762"/>
      <c r="F21" s="723"/>
      <c r="G21" s="723"/>
      <c r="H21" s="756"/>
      <c r="I21" s="684"/>
      <c r="J21" s="670"/>
    </row>
    <row r="22" spans="1:10" ht="14.25" customHeight="1" x14ac:dyDescent="0.2">
      <c r="A22" s="685"/>
      <c r="B22" s="720"/>
      <c r="C22" s="721"/>
      <c r="D22" s="722"/>
      <c r="E22" s="722"/>
      <c r="F22" s="698"/>
      <c r="G22" s="921"/>
      <c r="H22" s="754"/>
    </row>
    <row r="23" spans="1:10" ht="14.25" customHeight="1" x14ac:dyDescent="0.2">
      <c r="A23" s="685"/>
      <c r="B23" s="720"/>
      <c r="C23" s="721"/>
      <c r="D23" s="722"/>
      <c r="E23" s="722"/>
      <c r="F23" s="698"/>
      <c r="G23" s="921"/>
      <c r="H23" s="754"/>
    </row>
    <row r="24" spans="1:10" ht="14.25" customHeight="1" x14ac:dyDescent="0.2">
      <c r="A24" s="725"/>
      <c r="B24" s="720"/>
      <c r="C24" s="721"/>
      <c r="D24" s="722"/>
      <c r="E24" s="722"/>
      <c r="F24" s="718"/>
      <c r="G24" s="723"/>
      <c r="H24" s="757"/>
    </row>
    <row r="25" spans="1:10" ht="14.25" customHeight="1" x14ac:dyDescent="0.2">
      <c r="A25" s="725"/>
      <c r="B25" s="720"/>
      <c r="C25" s="721"/>
      <c r="D25" s="722"/>
      <c r="E25" s="722"/>
      <c r="F25" s="683"/>
      <c r="G25" s="691"/>
      <c r="H25" s="757"/>
    </row>
    <row r="26" spans="1:10" ht="14.25" customHeight="1" x14ac:dyDescent="0.2">
      <c r="A26" s="725"/>
      <c r="B26" s="720"/>
      <c r="C26" s="721"/>
      <c r="D26" s="722"/>
      <c r="E26" s="722"/>
      <c r="F26" s="683"/>
      <c r="G26" s="691"/>
      <c r="H26" s="757"/>
    </row>
    <row r="27" spans="1:10" ht="14.25" customHeight="1" x14ac:dyDescent="0.2">
      <c r="A27" s="725"/>
      <c r="B27" s="720"/>
      <c r="C27" s="721"/>
      <c r="D27" s="722"/>
      <c r="E27" s="722"/>
      <c r="F27" s="683"/>
      <c r="G27" s="691"/>
      <c r="H27" s="757"/>
    </row>
    <row r="28" spans="1:10" ht="14.25" customHeight="1" x14ac:dyDescent="0.2">
      <c r="A28" s="725"/>
      <c r="B28" s="720"/>
      <c r="C28" s="721"/>
      <c r="D28" s="722"/>
      <c r="E28" s="722"/>
      <c r="F28" s="683"/>
      <c r="G28" s="691"/>
      <c r="H28" s="633"/>
    </row>
    <row r="29" spans="1:10" ht="14.25" customHeight="1" x14ac:dyDescent="0.2">
      <c r="A29" s="725"/>
      <c r="B29" s="720"/>
      <c r="C29" s="721"/>
      <c r="D29" s="722"/>
      <c r="E29" s="722"/>
      <c r="F29" s="683"/>
      <c r="G29" s="691"/>
      <c r="H29" s="633"/>
    </row>
    <row r="30" spans="1:10" ht="14.25" customHeight="1" x14ac:dyDescent="0.2">
      <c r="A30" s="725"/>
      <c r="B30" s="720"/>
      <c r="C30" s="721"/>
      <c r="D30" s="722"/>
      <c r="E30" s="722"/>
      <c r="F30" s="683"/>
      <c r="G30" s="691"/>
      <c r="H30" s="633"/>
    </row>
    <row r="31" spans="1:10" x14ac:dyDescent="0.2">
      <c r="F31" s="923" t="s">
        <v>123</v>
      </c>
      <c r="G31" s="697">
        <f>SUM(G7:G30)</f>
        <v>0</v>
      </c>
      <c r="H31" s="697">
        <f>SUM(H7:H30)</f>
        <v>0</v>
      </c>
    </row>
    <row r="32" spans="1:10" x14ac:dyDescent="0.2">
      <c r="F32" s="689"/>
      <c r="G32" s="690"/>
      <c r="H32" s="912"/>
    </row>
    <row r="33" spans="6:8" ht="14.25" x14ac:dyDescent="0.2">
      <c r="F33" s="1153" t="s">
        <v>8</v>
      </c>
      <c r="G33" s="1154"/>
      <c r="H33" s="701">
        <f>G31-H31</f>
        <v>0</v>
      </c>
    </row>
  </sheetData>
  <mergeCells count="3">
    <mergeCell ref="C1:H5"/>
    <mergeCell ref="J1:J3"/>
    <mergeCell ref="F33:G33"/>
  </mergeCells>
  <hyperlinks>
    <hyperlink ref="J6" location="'ANA SAYFA'!A1" display="AnaSayfa"/>
    <hyperlink ref="J1:J3" location="'ANA SAYFA'!A1" display="ANA SAYFA"/>
  </hyperlinks>
  <pageMargins left="0.7" right="0.12" top="0.28000000000000003" bottom="0.75" header="0.3" footer="0.3"/>
  <pageSetup paperSize="9" scale="73" orientation="portrait" r:id="rId1"/>
  <colBreaks count="1" manualBreakCount="1">
    <brk id="8" max="1048575" man="1"/>
  </colBreaks>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
  <sheetViews>
    <sheetView zoomScaleNormal="100" workbookViewId="0">
      <selection activeCell="J1" sqref="J1:J3"/>
    </sheetView>
  </sheetViews>
  <sheetFormatPr defaultColWidth="9.140625" defaultRowHeight="12.75" x14ac:dyDescent="0.2"/>
  <cols>
    <col min="1" max="1" width="18.140625" style="699" bestFit="1" customWidth="1"/>
    <col min="2" max="3" width="27.7109375" style="699" bestFit="1" customWidth="1"/>
    <col min="4" max="5" width="9.28515625" style="699" bestFit="1" customWidth="1"/>
    <col min="6" max="6" width="26.7109375" style="699" bestFit="1" customWidth="1"/>
    <col min="7" max="8" width="13" style="699" customWidth="1"/>
    <col min="9" max="9" width="4.42578125" style="699" customWidth="1"/>
    <col min="10" max="10" width="12.28515625" style="699" customWidth="1"/>
    <col min="11" max="16384" width="9.140625" style="699"/>
  </cols>
  <sheetData>
    <row r="1" spans="1:10" ht="15" customHeight="1" x14ac:dyDescent="0.2">
      <c r="A1" s="669" t="s">
        <v>135</v>
      </c>
      <c r="B1" s="745" t="str">
        <f>'ANA SAYFA'!B135</f>
        <v>ONUR ATILAN</v>
      </c>
      <c r="C1" s="1166" t="s">
        <v>136</v>
      </c>
      <c r="D1" s="1166"/>
      <c r="E1" s="1166"/>
      <c r="F1" s="1166"/>
      <c r="G1" s="1166"/>
      <c r="H1" s="1166"/>
      <c r="I1" s="668"/>
      <c r="J1" s="1228" t="s">
        <v>712</v>
      </c>
    </row>
    <row r="2" spans="1:10" ht="15" customHeight="1" x14ac:dyDescent="0.2">
      <c r="A2" s="669" t="s">
        <v>137</v>
      </c>
      <c r="B2" s="728">
        <f>'ANA SAYFA'!D135</f>
        <v>10422092910</v>
      </c>
      <c r="C2" s="1166"/>
      <c r="D2" s="1166"/>
      <c r="E2" s="1166"/>
      <c r="F2" s="1166"/>
      <c r="G2" s="1166"/>
      <c r="H2" s="1166"/>
      <c r="I2" s="668"/>
      <c r="J2" s="1229"/>
    </row>
    <row r="3" spans="1:10" ht="15" customHeight="1" thickBot="1" x14ac:dyDescent="0.25">
      <c r="A3" s="669" t="s">
        <v>131</v>
      </c>
      <c r="B3" s="727" t="str">
        <f>'ANA SAYFA'!C135</f>
        <v>OPERATÖR</v>
      </c>
      <c r="C3" s="1166"/>
      <c r="D3" s="1166"/>
      <c r="E3" s="1166"/>
      <c r="F3" s="1166"/>
      <c r="G3" s="1166"/>
      <c r="H3" s="1166"/>
      <c r="I3" s="668"/>
      <c r="J3" s="1230"/>
    </row>
    <row r="4" spans="1:10" ht="15" customHeight="1" x14ac:dyDescent="0.2">
      <c r="A4" s="669" t="s">
        <v>120</v>
      </c>
      <c r="B4" s="700">
        <f>'ANA SAYFA'!E135</f>
        <v>45912</v>
      </c>
      <c r="C4" s="1166"/>
      <c r="D4" s="1166"/>
      <c r="E4" s="1166"/>
      <c r="F4" s="1166"/>
      <c r="G4" s="1166"/>
      <c r="H4" s="1166"/>
      <c r="I4" s="668"/>
      <c r="J4" s="670"/>
    </row>
    <row r="5" spans="1:10" ht="15" customHeight="1" x14ac:dyDescent="0.2">
      <c r="A5" s="669" t="s">
        <v>130</v>
      </c>
      <c r="B5" s="700">
        <f>'ANA SAYFA'!F135</f>
        <v>38458</v>
      </c>
      <c r="C5" s="1166"/>
      <c r="D5" s="1166"/>
      <c r="E5" s="1166"/>
      <c r="F5" s="1166"/>
      <c r="G5" s="1166"/>
      <c r="H5" s="1166"/>
      <c r="I5" s="668"/>
    </row>
    <row r="6" spans="1:10" ht="31.5" x14ac:dyDescent="0.2">
      <c r="A6" s="951" t="s">
        <v>0</v>
      </c>
      <c r="B6" s="694" t="s">
        <v>1</v>
      </c>
      <c r="C6" s="951" t="s">
        <v>2</v>
      </c>
      <c r="D6" s="695" t="s">
        <v>133</v>
      </c>
      <c r="E6" s="695" t="s">
        <v>4</v>
      </c>
      <c r="F6" s="695" t="s">
        <v>7</v>
      </c>
      <c r="G6" s="695" t="s">
        <v>6</v>
      </c>
      <c r="H6" s="695" t="s">
        <v>16</v>
      </c>
      <c r="I6" s="672"/>
    </row>
    <row r="7" spans="1:10" ht="14.25" customHeight="1" x14ac:dyDescent="0.2">
      <c r="A7" s="719"/>
      <c r="B7" s="729">
        <v>45927</v>
      </c>
      <c r="C7" s="732">
        <v>45927</v>
      </c>
      <c r="D7" s="733">
        <v>0.33333333333333331</v>
      </c>
      <c r="E7" s="733">
        <v>0.33333333333333331</v>
      </c>
      <c r="F7" s="1066" t="s">
        <v>1016</v>
      </c>
      <c r="G7" s="1067">
        <v>14</v>
      </c>
      <c r="H7" s="436">
        <v>1</v>
      </c>
      <c r="I7" s="684"/>
      <c r="J7" s="670"/>
    </row>
    <row r="8" spans="1:10" ht="14.25" customHeight="1" x14ac:dyDescent="0.2">
      <c r="A8" s="719"/>
      <c r="B8" s="729">
        <v>46002</v>
      </c>
      <c r="C8" s="732">
        <v>46003</v>
      </c>
      <c r="D8" s="733">
        <v>0.33333333333333331</v>
      </c>
      <c r="E8" s="733">
        <v>0.33333333333333331</v>
      </c>
      <c r="F8" s="723"/>
      <c r="G8" s="723"/>
      <c r="H8" s="436">
        <v>1</v>
      </c>
      <c r="I8" s="684"/>
      <c r="J8" s="670"/>
    </row>
    <row r="9" spans="1:10" x14ac:dyDescent="0.2">
      <c r="A9" s="719"/>
      <c r="B9" s="729">
        <v>46010</v>
      </c>
      <c r="C9" s="732">
        <v>46030</v>
      </c>
      <c r="D9" s="733">
        <v>0.33333333333333331</v>
      </c>
      <c r="E9" s="733">
        <v>0.33333333333333331</v>
      </c>
      <c r="F9" s="723"/>
      <c r="G9" s="723"/>
      <c r="H9" s="756">
        <v>17</v>
      </c>
      <c r="I9" s="684"/>
      <c r="J9" s="670"/>
    </row>
    <row r="10" spans="1:10" x14ac:dyDescent="0.2">
      <c r="A10" s="719"/>
      <c r="B10" s="1061" t="s">
        <v>1006</v>
      </c>
      <c r="C10" s="931"/>
      <c r="D10" s="978"/>
      <c r="E10" s="978"/>
      <c r="F10" s="979"/>
      <c r="G10" s="979"/>
      <c r="H10" s="929">
        <v>-13</v>
      </c>
      <c r="I10" s="684"/>
      <c r="J10" s="530"/>
    </row>
    <row r="11" spans="1:10" ht="14.25" customHeight="1" x14ac:dyDescent="0.2">
      <c r="A11" s="719"/>
      <c r="B11" s="729">
        <v>46077</v>
      </c>
      <c r="C11" s="732">
        <v>46078</v>
      </c>
      <c r="D11" s="733">
        <v>0.33333333333333331</v>
      </c>
      <c r="E11" s="733">
        <v>0.33333333333333331</v>
      </c>
      <c r="F11" s="723"/>
      <c r="G11" s="723"/>
      <c r="H11" s="756">
        <v>1</v>
      </c>
      <c r="I11" s="684"/>
      <c r="J11" s="670"/>
    </row>
    <row r="12" spans="1:10" ht="14.25" customHeight="1" x14ac:dyDescent="0.2">
      <c r="A12" s="719"/>
      <c r="B12" s="729">
        <v>46078</v>
      </c>
      <c r="C12" s="732">
        <v>46078</v>
      </c>
      <c r="D12" s="733">
        <v>0.33333333333333331</v>
      </c>
      <c r="E12" s="733">
        <v>0.5</v>
      </c>
      <c r="F12" s="723"/>
      <c r="G12" s="723"/>
      <c r="H12" s="756">
        <v>0.5</v>
      </c>
      <c r="I12" s="684"/>
      <c r="J12" s="670"/>
    </row>
    <row r="13" spans="1:10" x14ac:dyDescent="0.2">
      <c r="A13" s="719"/>
      <c r="B13" s="1061" t="s">
        <v>1004</v>
      </c>
      <c r="C13" s="931"/>
      <c r="D13" s="978"/>
      <c r="E13" s="978"/>
      <c r="F13" s="979"/>
      <c r="G13" s="979"/>
      <c r="H13" s="929">
        <v>-3</v>
      </c>
      <c r="I13" s="684"/>
      <c r="J13" s="670"/>
    </row>
    <row r="14" spans="1:10" ht="14.25" customHeight="1" x14ac:dyDescent="0.2">
      <c r="A14" s="719"/>
      <c r="B14" s="729">
        <v>46163</v>
      </c>
      <c r="C14" s="732">
        <v>46174</v>
      </c>
      <c r="D14" s="733"/>
      <c r="E14" s="733"/>
      <c r="F14" s="723"/>
      <c r="G14" s="723"/>
      <c r="H14" s="756">
        <v>4</v>
      </c>
      <c r="I14" s="684"/>
      <c r="J14" s="670"/>
    </row>
    <row r="15" spans="1:10" ht="14.25" customHeight="1" x14ac:dyDescent="0.2">
      <c r="A15" s="719"/>
      <c r="B15" s="729"/>
      <c r="C15" s="732"/>
      <c r="D15" s="733"/>
      <c r="E15" s="733"/>
      <c r="F15" s="723"/>
      <c r="G15" s="723"/>
      <c r="H15" s="756"/>
      <c r="I15" s="684"/>
      <c r="J15" s="670"/>
    </row>
    <row r="16" spans="1:10" ht="14.25" customHeight="1" x14ac:dyDescent="0.2">
      <c r="A16" s="719"/>
      <c r="B16" s="729"/>
      <c r="C16" s="732"/>
      <c r="D16" s="733"/>
      <c r="E16" s="733"/>
      <c r="F16" s="723"/>
      <c r="G16" s="723"/>
      <c r="H16" s="756"/>
      <c r="I16" s="684"/>
      <c r="J16" s="670"/>
    </row>
    <row r="17" spans="1:10" ht="14.25" customHeight="1" x14ac:dyDescent="0.2">
      <c r="A17" s="719"/>
      <c r="B17" s="729"/>
      <c r="C17" s="732"/>
      <c r="D17" s="733"/>
      <c r="E17" s="733"/>
      <c r="F17" s="723"/>
      <c r="G17" s="723"/>
      <c r="H17" s="756"/>
      <c r="I17" s="684"/>
      <c r="J17" s="670"/>
    </row>
    <row r="18" spans="1:10" ht="14.25" customHeight="1" x14ac:dyDescent="0.2">
      <c r="A18" s="724"/>
      <c r="B18" s="729"/>
      <c r="C18" s="732"/>
      <c r="D18" s="733"/>
      <c r="E18" s="733"/>
      <c r="F18" s="723"/>
      <c r="G18" s="723"/>
      <c r="H18" s="756"/>
      <c r="I18" s="684"/>
      <c r="J18" s="670"/>
    </row>
    <row r="19" spans="1:10" ht="14.25" customHeight="1" x14ac:dyDescent="0.2">
      <c r="A19" s="724"/>
      <c r="B19" s="760"/>
      <c r="C19" s="761"/>
      <c r="D19" s="762"/>
      <c r="E19" s="762"/>
      <c r="F19" s="723"/>
      <c r="G19" s="723"/>
      <c r="H19" s="757"/>
      <c r="I19" s="684"/>
      <c r="J19" s="670"/>
    </row>
    <row r="20" spans="1:10" ht="14.25" customHeight="1" x14ac:dyDescent="0.2">
      <c r="A20" s="753"/>
      <c r="B20" s="760"/>
      <c r="C20" s="761"/>
      <c r="D20" s="762"/>
      <c r="E20" s="762"/>
      <c r="F20" s="723"/>
      <c r="G20" s="723"/>
      <c r="H20" s="756"/>
      <c r="I20" s="684"/>
      <c r="J20" s="670"/>
    </row>
    <row r="21" spans="1:10" ht="14.25" customHeight="1" x14ac:dyDescent="0.2">
      <c r="A21" s="753"/>
      <c r="B21" s="760"/>
      <c r="C21" s="761"/>
      <c r="D21" s="762"/>
      <c r="E21" s="762"/>
      <c r="F21" s="723"/>
      <c r="G21" s="723"/>
      <c r="H21" s="754"/>
      <c r="I21" s="684"/>
      <c r="J21" s="670"/>
    </row>
    <row r="22" spans="1:10" ht="14.25" customHeight="1" x14ac:dyDescent="0.2">
      <c r="A22" s="725"/>
      <c r="B22" s="760"/>
      <c r="C22" s="761"/>
      <c r="D22" s="762"/>
      <c r="E22" s="762"/>
      <c r="F22" s="723"/>
      <c r="G22" s="723"/>
      <c r="H22" s="756"/>
      <c r="I22" s="684"/>
      <c r="J22" s="670"/>
    </row>
    <row r="23" spans="1:10" ht="14.25" customHeight="1" x14ac:dyDescent="0.2">
      <c r="A23" s="685"/>
      <c r="B23" s="720"/>
      <c r="C23" s="721"/>
      <c r="D23" s="722"/>
      <c r="E23" s="722"/>
      <c r="F23" s="698"/>
      <c r="G23" s="950"/>
      <c r="H23" s="754"/>
    </row>
    <row r="24" spans="1:10" ht="14.25" customHeight="1" x14ac:dyDescent="0.2">
      <c r="A24" s="685"/>
      <c r="B24" s="720"/>
      <c r="C24" s="721"/>
      <c r="D24" s="722"/>
      <c r="E24" s="722"/>
      <c r="F24" s="698"/>
      <c r="G24" s="950"/>
      <c r="H24" s="754"/>
    </row>
    <row r="25" spans="1:10" ht="14.25" customHeight="1" x14ac:dyDescent="0.2">
      <c r="A25" s="725"/>
      <c r="B25" s="720"/>
      <c r="C25" s="721"/>
      <c r="D25" s="722"/>
      <c r="E25" s="722"/>
      <c r="F25" s="718"/>
      <c r="G25" s="723"/>
      <c r="H25" s="757"/>
    </row>
    <row r="26" spans="1:10" ht="14.25" customHeight="1" x14ac:dyDescent="0.2">
      <c r="A26" s="725"/>
      <c r="B26" s="720"/>
      <c r="C26" s="721"/>
      <c r="D26" s="722"/>
      <c r="E26" s="722"/>
      <c r="F26" s="683"/>
      <c r="G26" s="691"/>
      <c r="H26" s="757"/>
    </row>
    <row r="27" spans="1:10" ht="14.25" customHeight="1" x14ac:dyDescent="0.2">
      <c r="A27" s="725"/>
      <c r="B27" s="720"/>
      <c r="C27" s="721"/>
      <c r="D27" s="722"/>
      <c r="E27" s="722"/>
      <c r="F27" s="683"/>
      <c r="G27" s="691"/>
      <c r="H27" s="757"/>
    </row>
    <row r="28" spans="1:10" ht="14.25" customHeight="1" x14ac:dyDescent="0.2">
      <c r="A28" s="725"/>
      <c r="B28" s="720"/>
      <c r="C28" s="721"/>
      <c r="D28" s="722"/>
      <c r="E28" s="722"/>
      <c r="F28" s="683"/>
      <c r="G28" s="691"/>
      <c r="H28" s="757"/>
    </row>
    <row r="29" spans="1:10" ht="14.25" customHeight="1" x14ac:dyDescent="0.2">
      <c r="A29" s="725"/>
      <c r="B29" s="720"/>
      <c r="C29" s="721"/>
      <c r="D29" s="722"/>
      <c r="E29" s="722"/>
      <c r="F29" s="683"/>
      <c r="G29" s="691"/>
      <c r="H29" s="633"/>
    </row>
    <row r="30" spans="1:10" ht="14.25" customHeight="1" x14ac:dyDescent="0.2">
      <c r="A30" s="725"/>
      <c r="B30" s="720"/>
      <c r="C30" s="721"/>
      <c r="D30" s="722"/>
      <c r="E30" s="722"/>
      <c r="F30" s="683"/>
      <c r="G30" s="691"/>
      <c r="H30" s="633"/>
    </row>
    <row r="31" spans="1:10" ht="14.25" customHeight="1" x14ac:dyDescent="0.2">
      <c r="A31" s="725"/>
      <c r="B31" s="720"/>
      <c r="C31" s="721"/>
      <c r="D31" s="722"/>
      <c r="E31" s="722"/>
      <c r="F31" s="683"/>
      <c r="G31" s="691"/>
      <c r="H31" s="633"/>
    </row>
    <row r="32" spans="1:10" x14ac:dyDescent="0.2">
      <c r="F32" s="952" t="s">
        <v>123</v>
      </c>
      <c r="G32" s="697">
        <f>SUM(G7:G31)</f>
        <v>14</v>
      </c>
      <c r="H32" s="697">
        <f>SUM(H7:H31)</f>
        <v>8.5</v>
      </c>
    </row>
    <row r="33" spans="6:8" x14ac:dyDescent="0.2">
      <c r="F33" s="689"/>
      <c r="G33" s="690"/>
      <c r="H33" s="912"/>
    </row>
    <row r="34" spans="6:8" ht="14.25" x14ac:dyDescent="0.2">
      <c r="F34" s="1153" t="s">
        <v>8</v>
      </c>
      <c r="G34" s="1154"/>
      <c r="H34" s="701">
        <f>G32-H32</f>
        <v>5.5</v>
      </c>
    </row>
  </sheetData>
  <mergeCells count="3">
    <mergeCell ref="C1:H5"/>
    <mergeCell ref="J1:J3"/>
    <mergeCell ref="F34:G34"/>
  </mergeCells>
  <hyperlinks>
    <hyperlink ref="J6" location="'ANA SAYFA'!A1" display="AnaSayfa"/>
    <hyperlink ref="J1:J3" location="'ANA SAYFA'!A1" display="ANA SAYFA"/>
  </hyperlinks>
  <pageMargins left="0.7" right="0.12" top="0.28000000000000003" bottom="0.75" header="0.3" footer="0.3"/>
  <pageSetup paperSize="9" scale="73" orientation="portrait" r:id="rId1"/>
  <colBreaks count="1" manualBreakCount="1">
    <brk id="8" max="1048575" man="1"/>
  </colBreaks>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workbookViewId="0">
      <selection activeCell="J1" sqref="J1:J3"/>
    </sheetView>
  </sheetViews>
  <sheetFormatPr defaultColWidth="9.140625" defaultRowHeight="12.75" x14ac:dyDescent="0.2"/>
  <cols>
    <col min="1" max="1" width="18.140625" style="699" bestFit="1" customWidth="1"/>
    <col min="2" max="3" width="27.7109375" style="699" bestFit="1" customWidth="1"/>
    <col min="4" max="5" width="9.28515625" style="699" bestFit="1" customWidth="1"/>
    <col min="6" max="6" width="18.28515625" style="699" bestFit="1" customWidth="1"/>
    <col min="7" max="8" width="13" style="699" customWidth="1"/>
    <col min="9" max="9" width="4.42578125" style="699" customWidth="1"/>
    <col min="10" max="10" width="12.28515625" style="699" customWidth="1"/>
    <col min="11" max="16384" width="9.140625" style="699"/>
  </cols>
  <sheetData>
    <row r="1" spans="1:10" ht="15" customHeight="1" x14ac:dyDescent="0.2">
      <c r="A1" s="669" t="s">
        <v>135</v>
      </c>
      <c r="B1" s="745" t="str">
        <f>'ANA SAYFA'!B136</f>
        <v>HAMDİ AKYEL</v>
      </c>
      <c r="C1" s="1166" t="s">
        <v>136</v>
      </c>
      <c r="D1" s="1166"/>
      <c r="E1" s="1166"/>
      <c r="F1" s="1166"/>
      <c r="G1" s="1166"/>
      <c r="H1" s="1166"/>
      <c r="I1" s="668"/>
      <c r="J1" s="1228" t="s">
        <v>712</v>
      </c>
    </row>
    <row r="2" spans="1:10" ht="15" customHeight="1" x14ac:dyDescent="0.2">
      <c r="A2" s="669" t="s">
        <v>137</v>
      </c>
      <c r="B2" s="728">
        <f>'ANA SAYFA'!D136</f>
        <v>13865126518</v>
      </c>
      <c r="C2" s="1166"/>
      <c r="D2" s="1166"/>
      <c r="E2" s="1166"/>
      <c r="F2" s="1166"/>
      <c r="G2" s="1166"/>
      <c r="H2" s="1166"/>
      <c r="I2" s="668"/>
      <c r="J2" s="1229"/>
    </row>
    <row r="3" spans="1:10" ht="15" customHeight="1" thickBot="1" x14ac:dyDescent="0.25">
      <c r="A3" s="669" t="s">
        <v>131</v>
      </c>
      <c r="B3" s="727" t="str">
        <f>'ANA SAYFA'!C136</f>
        <v>BEKÇİ</v>
      </c>
      <c r="C3" s="1166"/>
      <c r="D3" s="1166"/>
      <c r="E3" s="1166"/>
      <c r="F3" s="1166"/>
      <c r="G3" s="1166"/>
      <c r="H3" s="1166"/>
      <c r="I3" s="668"/>
      <c r="J3" s="1230"/>
    </row>
    <row r="4" spans="1:10" ht="15" customHeight="1" x14ac:dyDescent="0.2">
      <c r="A4" s="669" t="s">
        <v>120</v>
      </c>
      <c r="B4" s="700">
        <f>'ANA SAYFA'!E136</f>
        <v>45957</v>
      </c>
      <c r="C4" s="1166"/>
      <c r="D4" s="1166"/>
      <c r="E4" s="1166"/>
      <c r="F4" s="1166"/>
      <c r="G4" s="1166"/>
      <c r="H4" s="1166"/>
      <c r="I4" s="668"/>
      <c r="J4" s="670"/>
    </row>
    <row r="5" spans="1:10" ht="15" customHeight="1" x14ac:dyDescent="0.2">
      <c r="A5" s="669" t="s">
        <v>130</v>
      </c>
      <c r="B5" s="700">
        <f>'ANA SAYFA'!F136</f>
        <v>26395</v>
      </c>
      <c r="C5" s="1166"/>
      <c r="D5" s="1166"/>
      <c r="E5" s="1166"/>
      <c r="F5" s="1166"/>
      <c r="G5" s="1166"/>
      <c r="H5" s="1166"/>
      <c r="I5" s="668"/>
    </row>
    <row r="6" spans="1:10" ht="31.5" x14ac:dyDescent="0.2">
      <c r="A6" s="1005" t="s">
        <v>0</v>
      </c>
      <c r="B6" s="694" t="s">
        <v>1</v>
      </c>
      <c r="C6" s="1005" t="s">
        <v>2</v>
      </c>
      <c r="D6" s="695" t="s">
        <v>133</v>
      </c>
      <c r="E6" s="695" t="s">
        <v>4</v>
      </c>
      <c r="F6" s="695" t="s">
        <v>7</v>
      </c>
      <c r="G6" s="695" t="s">
        <v>6</v>
      </c>
      <c r="H6" s="695" t="s">
        <v>16</v>
      </c>
      <c r="I6" s="672"/>
    </row>
    <row r="7" spans="1:10" ht="14.25" customHeight="1" x14ac:dyDescent="0.2">
      <c r="A7" s="719"/>
      <c r="B7" s="729">
        <v>45976</v>
      </c>
      <c r="C7" s="732">
        <v>45976</v>
      </c>
      <c r="D7" s="733">
        <v>0.33333333333333331</v>
      </c>
      <c r="E7" s="733">
        <v>0.75</v>
      </c>
      <c r="F7" s="723"/>
      <c r="G7" s="723"/>
      <c r="H7" s="436">
        <v>1</v>
      </c>
      <c r="I7" s="684"/>
      <c r="J7" s="670"/>
    </row>
    <row r="8" spans="1:10" ht="14.25" customHeight="1" x14ac:dyDescent="0.2">
      <c r="A8" s="719"/>
      <c r="B8" s="729"/>
      <c r="C8" s="732"/>
      <c r="D8" s="733"/>
      <c r="E8" s="733"/>
      <c r="F8" s="723"/>
      <c r="G8" s="723"/>
      <c r="H8" s="436"/>
      <c r="I8" s="684"/>
      <c r="J8" s="670"/>
    </row>
    <row r="9" spans="1:10" x14ac:dyDescent="0.2">
      <c r="A9" s="719"/>
      <c r="B9" s="729"/>
      <c r="C9" s="732"/>
      <c r="D9" s="733"/>
      <c r="E9" s="733"/>
      <c r="F9" s="723"/>
      <c r="G9" s="723"/>
      <c r="H9" s="756"/>
      <c r="I9" s="684"/>
      <c r="J9" s="670"/>
    </row>
    <row r="10" spans="1:10" ht="14.25" customHeight="1" x14ac:dyDescent="0.2">
      <c r="A10" s="719"/>
      <c r="B10" s="729"/>
      <c r="C10" s="732"/>
      <c r="D10" s="733"/>
      <c r="E10" s="733"/>
      <c r="F10" s="723"/>
      <c r="G10" s="723"/>
      <c r="H10" s="756"/>
      <c r="I10" s="684"/>
      <c r="J10" s="670"/>
    </row>
    <row r="11" spans="1:10" ht="14.25" customHeight="1" x14ac:dyDescent="0.2">
      <c r="A11" s="719"/>
      <c r="B11" s="729"/>
      <c r="C11" s="732"/>
      <c r="D11" s="733"/>
      <c r="E11" s="733"/>
      <c r="F11" s="723"/>
      <c r="G11" s="723"/>
      <c r="H11" s="756"/>
      <c r="I11" s="684"/>
      <c r="J11" s="670"/>
    </row>
    <row r="12" spans="1:10" ht="14.25" customHeight="1" x14ac:dyDescent="0.2">
      <c r="A12" s="719"/>
      <c r="B12" s="729"/>
      <c r="C12" s="732"/>
      <c r="D12" s="733"/>
      <c r="E12" s="733"/>
      <c r="F12" s="723"/>
      <c r="G12" s="723"/>
      <c r="H12" s="756"/>
      <c r="I12" s="684"/>
      <c r="J12" s="670"/>
    </row>
    <row r="13" spans="1:10" ht="14.25" customHeight="1" x14ac:dyDescent="0.2">
      <c r="A13" s="719"/>
      <c r="B13" s="729"/>
      <c r="C13" s="732"/>
      <c r="D13" s="733"/>
      <c r="E13" s="733"/>
      <c r="F13" s="723"/>
      <c r="G13" s="723"/>
      <c r="H13" s="756"/>
      <c r="I13" s="684"/>
      <c r="J13" s="670"/>
    </row>
    <row r="14" spans="1:10" ht="14.25" customHeight="1" x14ac:dyDescent="0.2">
      <c r="A14" s="719"/>
      <c r="B14" s="729"/>
      <c r="C14" s="732"/>
      <c r="D14" s="733"/>
      <c r="E14" s="733"/>
      <c r="F14" s="723"/>
      <c r="G14" s="723"/>
      <c r="H14" s="756"/>
      <c r="I14" s="684"/>
      <c r="J14" s="670"/>
    </row>
    <row r="15" spans="1:10" ht="14.25" customHeight="1" x14ac:dyDescent="0.2">
      <c r="A15" s="719"/>
      <c r="B15" s="729"/>
      <c r="C15" s="732"/>
      <c r="D15" s="733"/>
      <c r="E15" s="733"/>
      <c r="F15" s="723"/>
      <c r="G15" s="723"/>
      <c r="H15" s="756"/>
      <c r="I15" s="684"/>
      <c r="J15" s="670"/>
    </row>
    <row r="16" spans="1:10" ht="14.25" customHeight="1" x14ac:dyDescent="0.2">
      <c r="A16" s="719"/>
      <c r="B16" s="729"/>
      <c r="C16" s="732"/>
      <c r="D16" s="733"/>
      <c r="E16" s="733"/>
      <c r="F16" s="723"/>
      <c r="G16" s="723"/>
      <c r="H16" s="756"/>
      <c r="I16" s="684"/>
      <c r="J16" s="670"/>
    </row>
    <row r="17" spans="1:10" ht="14.25" customHeight="1" x14ac:dyDescent="0.2">
      <c r="A17" s="724"/>
      <c r="B17" s="729"/>
      <c r="C17" s="732"/>
      <c r="D17" s="733"/>
      <c r="E17" s="733"/>
      <c r="F17" s="723"/>
      <c r="G17" s="723"/>
      <c r="H17" s="756"/>
      <c r="I17" s="684"/>
      <c r="J17" s="670"/>
    </row>
    <row r="18" spans="1:10" ht="14.25" customHeight="1" x14ac:dyDescent="0.2">
      <c r="A18" s="724"/>
      <c r="B18" s="760"/>
      <c r="C18" s="761"/>
      <c r="D18" s="762"/>
      <c r="E18" s="762"/>
      <c r="F18" s="723"/>
      <c r="G18" s="723"/>
      <c r="H18" s="757"/>
      <c r="I18" s="684"/>
      <c r="J18" s="670"/>
    </row>
    <row r="19" spans="1:10" ht="14.25" customHeight="1" x14ac:dyDescent="0.2">
      <c r="A19" s="753"/>
      <c r="B19" s="760"/>
      <c r="C19" s="761"/>
      <c r="D19" s="762"/>
      <c r="E19" s="762"/>
      <c r="F19" s="723"/>
      <c r="G19" s="723"/>
      <c r="H19" s="756"/>
      <c r="I19" s="684"/>
      <c r="J19" s="670"/>
    </row>
    <row r="20" spans="1:10" ht="14.25" customHeight="1" x14ac:dyDescent="0.2">
      <c r="A20" s="753"/>
      <c r="B20" s="760"/>
      <c r="C20" s="761"/>
      <c r="D20" s="762"/>
      <c r="E20" s="762"/>
      <c r="F20" s="723"/>
      <c r="G20" s="723"/>
      <c r="H20" s="754"/>
      <c r="I20" s="684"/>
      <c r="J20" s="670"/>
    </row>
    <row r="21" spans="1:10" ht="14.25" customHeight="1" x14ac:dyDescent="0.2">
      <c r="A21" s="725"/>
      <c r="B21" s="760"/>
      <c r="C21" s="761"/>
      <c r="D21" s="762"/>
      <c r="E21" s="762"/>
      <c r="F21" s="723"/>
      <c r="G21" s="723"/>
      <c r="H21" s="756"/>
      <c r="I21" s="684"/>
      <c r="J21" s="670"/>
    </row>
    <row r="22" spans="1:10" ht="14.25" customHeight="1" x14ac:dyDescent="0.2">
      <c r="A22" s="685"/>
      <c r="B22" s="720"/>
      <c r="C22" s="721"/>
      <c r="D22" s="722"/>
      <c r="E22" s="722"/>
      <c r="F22" s="698"/>
      <c r="G22" s="1004"/>
      <c r="H22" s="754"/>
    </row>
    <row r="23" spans="1:10" ht="14.25" customHeight="1" x14ac:dyDescent="0.2">
      <c r="A23" s="685"/>
      <c r="B23" s="720"/>
      <c r="C23" s="721"/>
      <c r="D23" s="722"/>
      <c r="E23" s="722"/>
      <c r="F23" s="698"/>
      <c r="G23" s="1004"/>
      <c r="H23" s="754"/>
    </row>
    <row r="24" spans="1:10" ht="14.25" customHeight="1" x14ac:dyDescent="0.2">
      <c r="A24" s="725"/>
      <c r="B24" s="720"/>
      <c r="C24" s="721"/>
      <c r="D24" s="722"/>
      <c r="E24" s="722"/>
      <c r="F24" s="718"/>
      <c r="G24" s="723"/>
      <c r="H24" s="757"/>
    </row>
    <row r="25" spans="1:10" ht="14.25" customHeight="1" x14ac:dyDescent="0.2">
      <c r="A25" s="725"/>
      <c r="B25" s="720"/>
      <c r="C25" s="721"/>
      <c r="D25" s="722"/>
      <c r="E25" s="722"/>
      <c r="F25" s="683"/>
      <c r="G25" s="691"/>
      <c r="H25" s="757"/>
    </row>
    <row r="26" spans="1:10" ht="14.25" customHeight="1" x14ac:dyDescent="0.2">
      <c r="A26" s="725"/>
      <c r="B26" s="720"/>
      <c r="C26" s="721"/>
      <c r="D26" s="722"/>
      <c r="E26" s="722"/>
      <c r="F26" s="683"/>
      <c r="G26" s="691"/>
      <c r="H26" s="757"/>
    </row>
    <row r="27" spans="1:10" ht="14.25" customHeight="1" x14ac:dyDescent="0.2">
      <c r="A27" s="725"/>
      <c r="B27" s="720"/>
      <c r="C27" s="721"/>
      <c r="D27" s="722"/>
      <c r="E27" s="722"/>
      <c r="F27" s="683"/>
      <c r="G27" s="691"/>
      <c r="H27" s="757"/>
    </row>
    <row r="28" spans="1:10" ht="14.25" customHeight="1" x14ac:dyDescent="0.2">
      <c r="A28" s="725"/>
      <c r="B28" s="720"/>
      <c r="C28" s="721"/>
      <c r="D28" s="722"/>
      <c r="E28" s="722"/>
      <c r="F28" s="683"/>
      <c r="G28" s="691"/>
      <c r="H28" s="633"/>
    </row>
    <row r="29" spans="1:10" ht="14.25" customHeight="1" x14ac:dyDescent="0.2">
      <c r="A29" s="725"/>
      <c r="B29" s="720"/>
      <c r="C29" s="721"/>
      <c r="D29" s="722"/>
      <c r="E29" s="722"/>
      <c r="F29" s="683"/>
      <c r="G29" s="691"/>
      <c r="H29" s="633"/>
    </row>
    <row r="30" spans="1:10" ht="14.25" customHeight="1" x14ac:dyDescent="0.2">
      <c r="A30" s="725"/>
      <c r="B30" s="720"/>
      <c r="C30" s="721"/>
      <c r="D30" s="722"/>
      <c r="E30" s="722"/>
      <c r="F30" s="683"/>
      <c r="G30" s="691"/>
      <c r="H30" s="633"/>
    </row>
    <row r="31" spans="1:10" x14ac:dyDescent="0.2">
      <c r="F31" s="1006" t="s">
        <v>123</v>
      </c>
      <c r="G31" s="697">
        <f>SUM(G7:G30)</f>
        <v>0</v>
      </c>
      <c r="H31" s="697">
        <f>SUM(H7:H30)</f>
        <v>1</v>
      </c>
    </row>
    <row r="32" spans="1:10" x14ac:dyDescent="0.2">
      <c r="F32" s="689"/>
      <c r="G32" s="690"/>
      <c r="H32" s="912"/>
    </row>
    <row r="33" spans="6:8" ht="14.25" x14ac:dyDescent="0.2">
      <c r="F33" s="1153" t="s">
        <v>8</v>
      </c>
      <c r="G33" s="1154"/>
      <c r="H33" s="701">
        <f>G31-H31</f>
        <v>-1</v>
      </c>
    </row>
  </sheetData>
  <mergeCells count="3">
    <mergeCell ref="C1:H5"/>
    <mergeCell ref="J1:J3"/>
    <mergeCell ref="F33:G33"/>
  </mergeCells>
  <hyperlinks>
    <hyperlink ref="J6" location="'ANA SAYFA'!A1" display="AnaSayfa"/>
    <hyperlink ref="J1:J3" location="'ANA SAYFA'!A1" display="ANA SAYFA"/>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zoomScaleNormal="100" workbookViewId="0">
      <selection activeCell="J1" sqref="J1:J3"/>
    </sheetView>
  </sheetViews>
  <sheetFormatPr defaultColWidth="9.140625" defaultRowHeight="12.75" x14ac:dyDescent="0.2"/>
  <cols>
    <col min="1" max="1" width="18.140625" style="699" bestFit="1" customWidth="1"/>
    <col min="2" max="3" width="27.7109375" style="699" bestFit="1" customWidth="1"/>
    <col min="4" max="5" width="9.28515625" style="699" bestFit="1" customWidth="1"/>
    <col min="6" max="6" width="26.28515625" style="699" bestFit="1" customWidth="1"/>
    <col min="7" max="8" width="13" style="699" customWidth="1"/>
    <col min="9" max="9" width="4.42578125" style="699" customWidth="1"/>
    <col min="10" max="10" width="12.28515625" style="699" customWidth="1"/>
    <col min="11" max="16384" width="9.140625" style="699"/>
  </cols>
  <sheetData>
    <row r="1" spans="1:10" ht="15" customHeight="1" x14ac:dyDescent="0.2">
      <c r="A1" s="669" t="s">
        <v>135</v>
      </c>
      <c r="B1" s="745" t="str">
        <f>'ANA SAYFA'!B137</f>
        <v>ONUR ÖZHAN YAKAN</v>
      </c>
      <c r="C1" s="1166" t="s">
        <v>136</v>
      </c>
      <c r="D1" s="1166"/>
      <c r="E1" s="1166"/>
      <c r="F1" s="1166"/>
      <c r="G1" s="1166"/>
      <c r="H1" s="1166"/>
      <c r="I1" s="668"/>
      <c r="J1" s="1228" t="s">
        <v>712</v>
      </c>
    </row>
    <row r="2" spans="1:10" ht="15" customHeight="1" x14ac:dyDescent="0.2">
      <c r="A2" s="669" t="s">
        <v>137</v>
      </c>
      <c r="B2" s="728">
        <f>'ANA SAYFA'!D137</f>
        <v>31705447944</v>
      </c>
      <c r="C2" s="1166"/>
      <c r="D2" s="1166"/>
      <c r="E2" s="1166"/>
      <c r="F2" s="1166"/>
      <c r="G2" s="1166"/>
      <c r="H2" s="1166"/>
      <c r="I2" s="668"/>
      <c r="J2" s="1229"/>
    </row>
    <row r="3" spans="1:10" ht="15" customHeight="1" thickBot="1" x14ac:dyDescent="0.25">
      <c r="A3" s="669" t="s">
        <v>131</v>
      </c>
      <c r="B3" s="727" t="str">
        <f>'ANA SAYFA'!C137</f>
        <v>KAMYON ŞOFÖRÜ</v>
      </c>
      <c r="C3" s="1166"/>
      <c r="D3" s="1166"/>
      <c r="E3" s="1166"/>
      <c r="F3" s="1166"/>
      <c r="G3" s="1166"/>
      <c r="H3" s="1166"/>
      <c r="I3" s="668"/>
      <c r="J3" s="1230"/>
    </row>
    <row r="4" spans="1:10" ht="15" customHeight="1" x14ac:dyDescent="0.2">
      <c r="A4" s="669" t="s">
        <v>120</v>
      </c>
      <c r="B4" s="700">
        <f>'ANA SAYFA'!E137</f>
        <v>46020</v>
      </c>
      <c r="C4" s="1166"/>
      <c r="D4" s="1166"/>
      <c r="E4" s="1166"/>
      <c r="F4" s="1166"/>
      <c r="G4" s="1166"/>
      <c r="H4" s="1166"/>
      <c r="I4" s="668"/>
      <c r="J4" s="670"/>
    </row>
    <row r="5" spans="1:10" ht="15" customHeight="1" x14ac:dyDescent="0.2">
      <c r="A5" s="669" t="s">
        <v>130</v>
      </c>
      <c r="B5" s="700">
        <f>'ANA SAYFA'!F137</f>
        <v>31817</v>
      </c>
      <c r="C5" s="1166"/>
      <c r="D5" s="1166"/>
      <c r="E5" s="1166"/>
      <c r="F5" s="1166"/>
      <c r="G5" s="1166"/>
      <c r="H5" s="1166"/>
      <c r="I5" s="668"/>
    </row>
    <row r="6" spans="1:10" ht="31.5" x14ac:dyDescent="0.2">
      <c r="A6" s="1010" t="s">
        <v>0</v>
      </c>
      <c r="B6" s="694" t="s">
        <v>1</v>
      </c>
      <c r="C6" s="1010" t="s">
        <v>2</v>
      </c>
      <c r="D6" s="695" t="s">
        <v>133</v>
      </c>
      <c r="E6" s="695" t="s">
        <v>4</v>
      </c>
      <c r="F6" s="695" t="s">
        <v>7</v>
      </c>
      <c r="G6" s="695" t="s">
        <v>6</v>
      </c>
      <c r="H6" s="695" t="s">
        <v>16</v>
      </c>
      <c r="I6" s="672"/>
    </row>
    <row r="7" spans="1:10" ht="14.25" customHeight="1" x14ac:dyDescent="0.2">
      <c r="A7" s="719"/>
      <c r="B7" s="729">
        <v>46105</v>
      </c>
      <c r="C7" s="732">
        <v>46106</v>
      </c>
      <c r="D7" s="733"/>
      <c r="E7" s="733"/>
      <c r="F7" s="1032"/>
      <c r="G7" s="723"/>
      <c r="H7" s="436">
        <v>1</v>
      </c>
      <c r="I7" s="684"/>
      <c r="J7" s="670"/>
    </row>
    <row r="8" spans="1:10" ht="14.25" customHeight="1" x14ac:dyDescent="0.2">
      <c r="A8" s="719"/>
      <c r="B8" s="729">
        <v>46119</v>
      </c>
      <c r="C8" s="732">
        <v>46120</v>
      </c>
      <c r="D8" s="733"/>
      <c r="E8" s="733"/>
      <c r="F8" s="723"/>
      <c r="G8" s="723"/>
      <c r="H8" s="436">
        <v>1</v>
      </c>
      <c r="I8" s="684"/>
      <c r="J8" s="670" t="s">
        <v>830</v>
      </c>
    </row>
    <row r="9" spans="1:10" x14ac:dyDescent="0.2">
      <c r="A9" s="719"/>
      <c r="B9" s="729">
        <v>46186</v>
      </c>
      <c r="C9" s="732">
        <v>46187</v>
      </c>
      <c r="D9" s="733"/>
      <c r="E9" s="733"/>
      <c r="F9" s="723"/>
      <c r="G9" s="723"/>
      <c r="H9" s="756">
        <v>1</v>
      </c>
      <c r="I9" s="684"/>
      <c r="J9" s="670"/>
    </row>
    <row r="10" spans="1:10" ht="14.25" customHeight="1" x14ac:dyDescent="0.2">
      <c r="A10" s="719"/>
      <c r="B10" s="729"/>
      <c r="C10" s="732"/>
      <c r="D10" s="733"/>
      <c r="E10" s="733"/>
      <c r="F10" s="723"/>
      <c r="G10" s="723"/>
      <c r="H10" s="756"/>
      <c r="I10" s="684"/>
      <c r="J10" s="670"/>
    </row>
    <row r="11" spans="1:10" ht="14.25" customHeight="1" x14ac:dyDescent="0.2">
      <c r="A11" s="719"/>
      <c r="B11" s="1036"/>
      <c r="C11" s="1037"/>
      <c r="D11" s="868"/>
      <c r="E11" s="868"/>
      <c r="F11" s="704"/>
      <c r="G11" s="703"/>
      <c r="H11" s="223"/>
      <c r="I11" s="684"/>
      <c r="J11" s="670"/>
    </row>
    <row r="12" spans="1:10" ht="14.25" customHeight="1" x14ac:dyDescent="0.2">
      <c r="A12" s="719"/>
      <c r="B12" s="729"/>
      <c r="C12" s="732"/>
      <c r="D12" s="733"/>
      <c r="E12" s="733"/>
      <c r="F12" s="723"/>
      <c r="G12" s="723"/>
      <c r="H12" s="756"/>
      <c r="I12" s="684"/>
      <c r="J12" s="670"/>
    </row>
    <row r="13" spans="1:10" ht="14.25" customHeight="1" x14ac:dyDescent="0.2">
      <c r="A13" s="719"/>
      <c r="B13" s="1036"/>
      <c r="C13" s="1037"/>
      <c r="D13" s="868"/>
      <c r="E13" s="868"/>
      <c r="F13" s="704"/>
      <c r="G13" s="703"/>
      <c r="H13" s="223"/>
      <c r="I13" s="684"/>
      <c r="J13" s="670"/>
    </row>
    <row r="14" spans="1:10" ht="14.25" customHeight="1" x14ac:dyDescent="0.2">
      <c r="A14" s="719"/>
      <c r="B14" s="729"/>
      <c r="C14" s="732"/>
      <c r="D14" s="733"/>
      <c r="E14" s="733"/>
      <c r="F14" s="723"/>
      <c r="G14" s="723"/>
      <c r="H14" s="756"/>
      <c r="I14" s="684"/>
      <c r="J14" s="670"/>
    </row>
    <row r="15" spans="1:10" ht="14.25" customHeight="1" x14ac:dyDescent="0.2">
      <c r="A15" s="719"/>
      <c r="B15" s="729"/>
      <c r="C15" s="732"/>
      <c r="D15" s="733"/>
      <c r="E15" s="733"/>
      <c r="F15" s="723"/>
      <c r="G15" s="723"/>
      <c r="H15" s="756"/>
      <c r="I15" s="684"/>
      <c r="J15" s="670"/>
    </row>
    <row r="16" spans="1:10" ht="14.25" customHeight="1" x14ac:dyDescent="0.2">
      <c r="A16" s="719"/>
      <c r="B16" s="729"/>
      <c r="C16" s="732"/>
      <c r="D16" s="733"/>
      <c r="E16" s="733"/>
      <c r="F16" s="723"/>
      <c r="G16" s="723"/>
      <c r="H16" s="756"/>
      <c r="I16" s="684"/>
      <c r="J16" s="670"/>
    </row>
    <row r="17" spans="1:10" ht="14.25" customHeight="1" x14ac:dyDescent="0.2">
      <c r="A17" s="724"/>
      <c r="B17" s="729"/>
      <c r="C17" s="732"/>
      <c r="D17" s="733"/>
      <c r="E17" s="733"/>
      <c r="F17" s="723"/>
      <c r="G17" s="723"/>
      <c r="H17" s="756"/>
      <c r="I17" s="684"/>
      <c r="J17" s="670"/>
    </row>
    <row r="18" spans="1:10" ht="14.25" customHeight="1" x14ac:dyDescent="0.2">
      <c r="A18" s="724"/>
      <c r="B18" s="760"/>
      <c r="C18" s="761"/>
      <c r="D18" s="762"/>
      <c r="E18" s="762"/>
      <c r="F18" s="723"/>
      <c r="G18" s="723"/>
      <c r="H18" s="757"/>
      <c r="I18" s="684"/>
      <c r="J18" s="670"/>
    </row>
    <row r="19" spans="1:10" ht="14.25" customHeight="1" x14ac:dyDescent="0.2">
      <c r="A19" s="753"/>
      <c r="B19" s="760"/>
      <c r="C19" s="761"/>
      <c r="D19" s="762"/>
      <c r="E19" s="762"/>
      <c r="F19" s="723"/>
      <c r="G19" s="723"/>
      <c r="H19" s="756"/>
      <c r="I19" s="684"/>
      <c r="J19" s="670"/>
    </row>
    <row r="20" spans="1:10" ht="14.25" customHeight="1" x14ac:dyDescent="0.2">
      <c r="A20" s="753"/>
      <c r="B20" s="760"/>
      <c r="C20" s="761"/>
      <c r="D20" s="762"/>
      <c r="E20" s="762"/>
      <c r="F20" s="723"/>
      <c r="G20" s="723"/>
      <c r="H20" s="754"/>
      <c r="I20" s="684"/>
      <c r="J20" s="670"/>
    </row>
    <row r="21" spans="1:10" ht="14.25" customHeight="1" x14ac:dyDescent="0.2">
      <c r="A21" s="725"/>
      <c r="B21" s="760"/>
      <c r="C21" s="761"/>
      <c r="D21" s="762"/>
      <c r="E21" s="762"/>
      <c r="F21" s="723"/>
      <c r="G21" s="723"/>
      <c r="H21" s="756"/>
      <c r="I21" s="684"/>
      <c r="J21" s="670"/>
    </row>
    <row r="22" spans="1:10" ht="14.25" customHeight="1" x14ac:dyDescent="0.2">
      <c r="A22" s="685"/>
      <c r="B22" s="720"/>
      <c r="C22" s="721"/>
      <c r="D22" s="722"/>
      <c r="E22" s="722"/>
      <c r="F22" s="698"/>
      <c r="G22" s="1009"/>
      <c r="H22" s="754"/>
    </row>
    <row r="23" spans="1:10" ht="14.25" customHeight="1" x14ac:dyDescent="0.2">
      <c r="A23" s="685"/>
      <c r="B23" s="720"/>
      <c r="C23" s="721"/>
      <c r="D23" s="722"/>
      <c r="E23" s="722"/>
      <c r="F23" s="698"/>
      <c r="G23" s="1009"/>
      <c r="H23" s="754"/>
    </row>
    <row r="24" spans="1:10" ht="14.25" customHeight="1" x14ac:dyDescent="0.2">
      <c r="A24" s="725"/>
      <c r="B24" s="720"/>
      <c r="C24" s="721"/>
      <c r="D24" s="722"/>
      <c r="E24" s="722"/>
      <c r="F24" s="718"/>
      <c r="G24" s="723"/>
      <c r="H24" s="757"/>
    </row>
    <row r="25" spans="1:10" ht="14.25" customHeight="1" x14ac:dyDescent="0.2">
      <c r="A25" s="725"/>
      <c r="B25" s="720"/>
      <c r="C25" s="721"/>
      <c r="D25" s="722"/>
      <c r="E25" s="722"/>
      <c r="F25" s="683"/>
      <c r="G25" s="691"/>
      <c r="H25" s="757"/>
    </row>
    <row r="26" spans="1:10" ht="14.25" customHeight="1" x14ac:dyDescent="0.2">
      <c r="A26" s="725"/>
      <c r="B26" s="720"/>
      <c r="C26" s="721"/>
      <c r="D26" s="722"/>
      <c r="E26" s="722"/>
      <c r="F26" s="683"/>
      <c r="G26" s="691"/>
      <c r="H26" s="757"/>
    </row>
    <row r="27" spans="1:10" ht="14.25" customHeight="1" x14ac:dyDescent="0.2">
      <c r="A27" s="725"/>
      <c r="B27" s="720"/>
      <c r="C27" s="721"/>
      <c r="D27" s="722"/>
      <c r="E27" s="722"/>
      <c r="F27" s="683"/>
      <c r="G27" s="691"/>
      <c r="H27" s="757"/>
    </row>
    <row r="28" spans="1:10" ht="14.25" customHeight="1" x14ac:dyDescent="0.2">
      <c r="A28" s="725"/>
      <c r="B28" s="720"/>
      <c r="C28" s="721"/>
      <c r="D28" s="722"/>
      <c r="E28" s="722"/>
      <c r="F28" s="683"/>
      <c r="G28" s="691"/>
      <c r="H28" s="633"/>
    </row>
    <row r="29" spans="1:10" ht="14.25" customHeight="1" x14ac:dyDescent="0.2">
      <c r="A29" s="725"/>
      <c r="B29" s="720"/>
      <c r="C29" s="721"/>
      <c r="D29" s="722"/>
      <c r="E29" s="722"/>
      <c r="F29" s="683"/>
      <c r="G29" s="691"/>
      <c r="H29" s="633"/>
    </row>
    <row r="30" spans="1:10" ht="14.25" customHeight="1" x14ac:dyDescent="0.2">
      <c r="A30" s="725"/>
      <c r="B30" s="720"/>
      <c r="C30" s="721"/>
      <c r="D30" s="722"/>
      <c r="E30" s="722"/>
      <c r="F30" s="683"/>
      <c r="G30" s="691"/>
      <c r="H30" s="633"/>
    </row>
    <row r="31" spans="1:10" x14ac:dyDescent="0.2">
      <c r="F31" s="1011" t="s">
        <v>123</v>
      </c>
      <c r="G31" s="697">
        <f>SUM(G7:G30)</f>
        <v>0</v>
      </c>
      <c r="H31" s="697">
        <f>SUM(H7:H30)</f>
        <v>3</v>
      </c>
    </row>
    <row r="32" spans="1:10" x14ac:dyDescent="0.2">
      <c r="F32" s="689"/>
      <c r="G32" s="690"/>
      <c r="H32" s="912"/>
    </row>
    <row r="33" spans="6:8" ht="14.25" x14ac:dyDescent="0.2">
      <c r="F33" s="1153" t="s">
        <v>8</v>
      </c>
      <c r="G33" s="1154"/>
      <c r="H33" s="701">
        <f>G31-H31</f>
        <v>-3</v>
      </c>
    </row>
  </sheetData>
  <mergeCells count="3">
    <mergeCell ref="C1:H5"/>
    <mergeCell ref="J1:J3"/>
    <mergeCell ref="F33:G33"/>
  </mergeCells>
  <hyperlinks>
    <hyperlink ref="J6" location="'ANA SAYFA'!A1" display="AnaSayfa"/>
    <hyperlink ref="J1:J3" location="'ANA SAYFA'!A1" display="ANA SAYFA"/>
  </hyperlinks>
  <pageMargins left="0.7" right="0.7" top="0.75" bottom="0.75" header="0.3" footer="0.3"/>
  <pageSetup paperSize="9" scale="55" orientation="portrait"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zoomScaleNormal="100" workbookViewId="0">
      <selection activeCell="J1" sqref="J1:J3"/>
    </sheetView>
  </sheetViews>
  <sheetFormatPr defaultColWidth="9.140625" defaultRowHeight="12.75" x14ac:dyDescent="0.2"/>
  <cols>
    <col min="1" max="1" width="18.140625" style="699" bestFit="1" customWidth="1"/>
    <col min="2" max="3" width="27.7109375" style="699" bestFit="1" customWidth="1"/>
    <col min="4" max="5" width="9.28515625" style="699" bestFit="1" customWidth="1"/>
    <col min="6" max="6" width="26.28515625" style="699" bestFit="1" customWidth="1"/>
    <col min="7" max="8" width="13" style="699" customWidth="1"/>
    <col min="9" max="9" width="4.42578125" style="699" customWidth="1"/>
    <col min="10" max="10" width="12.28515625" style="699" customWidth="1"/>
    <col min="11" max="16384" width="9.140625" style="699"/>
  </cols>
  <sheetData>
    <row r="1" spans="1:10" ht="15" customHeight="1" x14ac:dyDescent="0.2">
      <c r="A1" s="669" t="s">
        <v>135</v>
      </c>
      <c r="B1" s="745" t="str">
        <f>'ANA SAYFA'!B138</f>
        <v>RECEP AYDIN</v>
      </c>
      <c r="C1" s="1166" t="s">
        <v>136</v>
      </c>
      <c r="D1" s="1166"/>
      <c r="E1" s="1166"/>
      <c r="F1" s="1166"/>
      <c r="G1" s="1166"/>
      <c r="H1" s="1166"/>
      <c r="I1" s="668"/>
      <c r="J1" s="1228" t="s">
        <v>712</v>
      </c>
    </row>
    <row r="2" spans="1:10" ht="15" customHeight="1" x14ac:dyDescent="0.2">
      <c r="A2" s="669" t="s">
        <v>137</v>
      </c>
      <c r="B2" s="728">
        <f>'ANA SAYFA'!D138</f>
        <v>13889930214</v>
      </c>
      <c r="C2" s="1166"/>
      <c r="D2" s="1166"/>
      <c r="E2" s="1166"/>
      <c r="F2" s="1166"/>
      <c r="G2" s="1166"/>
      <c r="H2" s="1166"/>
      <c r="I2" s="668"/>
      <c r="J2" s="1229"/>
    </row>
    <row r="3" spans="1:10" ht="15" customHeight="1" thickBot="1" x14ac:dyDescent="0.25">
      <c r="A3" s="669" t="s">
        <v>131</v>
      </c>
      <c r="B3" s="727" t="str">
        <f>'ANA SAYFA'!C138</f>
        <v>FORMEN</v>
      </c>
      <c r="C3" s="1166"/>
      <c r="D3" s="1166"/>
      <c r="E3" s="1166"/>
      <c r="F3" s="1166"/>
      <c r="G3" s="1166"/>
      <c r="H3" s="1166"/>
      <c r="I3" s="668"/>
      <c r="J3" s="1230"/>
    </row>
    <row r="4" spans="1:10" ht="15" customHeight="1" x14ac:dyDescent="0.2">
      <c r="A4" s="669" t="s">
        <v>120</v>
      </c>
      <c r="B4" s="700">
        <f>'ANA SAYFA'!E138</f>
        <v>45966</v>
      </c>
      <c r="C4" s="1166"/>
      <c r="D4" s="1166"/>
      <c r="E4" s="1166"/>
      <c r="F4" s="1166"/>
      <c r="G4" s="1166"/>
      <c r="H4" s="1166"/>
      <c r="I4" s="668"/>
      <c r="J4" s="670"/>
    </row>
    <row r="5" spans="1:10" ht="15" customHeight="1" x14ac:dyDescent="0.2">
      <c r="A5" s="669" t="s">
        <v>130</v>
      </c>
      <c r="B5" s="700">
        <f>'ANA SAYFA'!F138</f>
        <v>31486</v>
      </c>
      <c r="C5" s="1166"/>
      <c r="D5" s="1166"/>
      <c r="E5" s="1166"/>
      <c r="F5" s="1166"/>
      <c r="G5" s="1166"/>
      <c r="H5" s="1166"/>
      <c r="I5" s="668"/>
    </row>
    <row r="6" spans="1:10" ht="31.5" x14ac:dyDescent="0.2">
      <c r="A6" s="1050" t="s">
        <v>0</v>
      </c>
      <c r="B6" s="694" t="s">
        <v>1</v>
      </c>
      <c r="C6" s="1050" t="s">
        <v>2</v>
      </c>
      <c r="D6" s="695" t="s">
        <v>133</v>
      </c>
      <c r="E6" s="695" t="s">
        <v>4</v>
      </c>
      <c r="F6" s="695" t="s">
        <v>7</v>
      </c>
      <c r="G6" s="695" t="s">
        <v>6</v>
      </c>
      <c r="H6" s="695" t="s">
        <v>16</v>
      </c>
      <c r="I6" s="672"/>
    </row>
    <row r="7" spans="1:10" ht="14.25" customHeight="1" x14ac:dyDescent="0.2">
      <c r="A7" s="719"/>
      <c r="B7" s="729">
        <v>46114</v>
      </c>
      <c r="C7" s="732">
        <v>46115</v>
      </c>
      <c r="D7" s="733"/>
      <c r="E7" s="733"/>
      <c r="F7" s="1032"/>
      <c r="G7" s="723"/>
      <c r="H7" s="436">
        <v>1</v>
      </c>
      <c r="I7" s="684"/>
      <c r="J7" s="670" t="s">
        <v>830</v>
      </c>
    </row>
    <row r="8" spans="1:10" ht="14.25" customHeight="1" x14ac:dyDescent="0.2">
      <c r="A8" s="719"/>
      <c r="B8" s="729"/>
      <c r="C8" s="732"/>
      <c r="D8" s="733"/>
      <c r="E8" s="733"/>
      <c r="F8" s="723"/>
      <c r="G8" s="723"/>
      <c r="H8" s="436"/>
      <c r="I8" s="684"/>
      <c r="J8" s="670"/>
    </row>
    <row r="9" spans="1:10" x14ac:dyDescent="0.2">
      <c r="A9" s="719"/>
      <c r="B9" s="729"/>
      <c r="C9" s="732"/>
      <c r="D9" s="733"/>
      <c r="E9" s="733"/>
      <c r="F9" s="723"/>
      <c r="G9" s="723"/>
      <c r="H9" s="756"/>
      <c r="I9" s="684"/>
      <c r="J9" s="670"/>
    </row>
    <row r="10" spans="1:10" ht="14.25" customHeight="1" x14ac:dyDescent="0.2">
      <c r="A10" s="719"/>
      <c r="B10" s="729"/>
      <c r="C10" s="732"/>
      <c r="D10" s="733"/>
      <c r="E10" s="733"/>
      <c r="F10" s="723"/>
      <c r="G10" s="723"/>
      <c r="H10" s="756"/>
      <c r="I10" s="684"/>
      <c r="J10" s="670"/>
    </row>
    <row r="11" spans="1:10" ht="14.25" customHeight="1" x14ac:dyDescent="0.2">
      <c r="A11" s="719"/>
      <c r="B11" s="1036"/>
      <c r="C11" s="1037"/>
      <c r="D11" s="868"/>
      <c r="E11" s="868"/>
      <c r="F11" s="704"/>
      <c r="G11" s="703"/>
      <c r="H11" s="223"/>
      <c r="I11" s="684"/>
      <c r="J11" s="670"/>
    </row>
    <row r="12" spans="1:10" ht="14.25" customHeight="1" x14ac:dyDescent="0.2">
      <c r="A12" s="719"/>
      <c r="B12" s="729"/>
      <c r="C12" s="732"/>
      <c r="D12" s="733"/>
      <c r="E12" s="733"/>
      <c r="F12" s="723"/>
      <c r="G12" s="723"/>
      <c r="H12" s="756"/>
      <c r="I12" s="684"/>
      <c r="J12" s="670"/>
    </row>
    <row r="13" spans="1:10" ht="14.25" customHeight="1" x14ac:dyDescent="0.2">
      <c r="A13" s="719"/>
      <c r="B13" s="1036"/>
      <c r="C13" s="1037"/>
      <c r="D13" s="868"/>
      <c r="E13" s="868"/>
      <c r="F13" s="704"/>
      <c r="G13" s="703"/>
      <c r="H13" s="223"/>
      <c r="I13" s="684"/>
      <c r="J13" s="670"/>
    </row>
    <row r="14" spans="1:10" ht="14.25" customHeight="1" x14ac:dyDescent="0.2">
      <c r="A14" s="719"/>
      <c r="B14" s="729"/>
      <c r="C14" s="732"/>
      <c r="D14" s="733"/>
      <c r="E14" s="733"/>
      <c r="F14" s="723"/>
      <c r="G14" s="723"/>
      <c r="H14" s="756"/>
      <c r="I14" s="684"/>
      <c r="J14" s="670"/>
    </row>
    <row r="15" spans="1:10" ht="14.25" customHeight="1" x14ac:dyDescent="0.2">
      <c r="A15" s="719"/>
      <c r="B15" s="729"/>
      <c r="C15" s="732"/>
      <c r="D15" s="733"/>
      <c r="E15" s="733"/>
      <c r="F15" s="723"/>
      <c r="G15" s="723"/>
      <c r="H15" s="756"/>
      <c r="I15" s="684"/>
      <c r="J15" s="670"/>
    </row>
    <row r="16" spans="1:10" ht="14.25" customHeight="1" x14ac:dyDescent="0.2">
      <c r="A16" s="719"/>
      <c r="B16" s="729"/>
      <c r="C16" s="732"/>
      <c r="D16" s="733"/>
      <c r="E16" s="733"/>
      <c r="F16" s="723"/>
      <c r="G16" s="723"/>
      <c r="H16" s="756"/>
      <c r="I16" s="684"/>
      <c r="J16" s="670"/>
    </row>
    <row r="17" spans="1:10" ht="14.25" customHeight="1" x14ac:dyDescent="0.2">
      <c r="A17" s="724"/>
      <c r="B17" s="729"/>
      <c r="C17" s="732"/>
      <c r="D17" s="733"/>
      <c r="E17" s="733"/>
      <c r="F17" s="723"/>
      <c r="G17" s="723"/>
      <c r="H17" s="756"/>
      <c r="I17" s="684"/>
      <c r="J17" s="670"/>
    </row>
    <row r="18" spans="1:10" ht="14.25" customHeight="1" x14ac:dyDescent="0.2">
      <c r="A18" s="724"/>
      <c r="B18" s="760"/>
      <c r="C18" s="761"/>
      <c r="D18" s="762"/>
      <c r="E18" s="762"/>
      <c r="F18" s="723"/>
      <c r="G18" s="723"/>
      <c r="H18" s="757"/>
      <c r="I18" s="684"/>
      <c r="J18" s="670"/>
    </row>
    <row r="19" spans="1:10" ht="14.25" customHeight="1" x14ac:dyDescent="0.2">
      <c r="A19" s="753"/>
      <c r="B19" s="760"/>
      <c r="C19" s="761"/>
      <c r="D19" s="762"/>
      <c r="E19" s="762"/>
      <c r="F19" s="723"/>
      <c r="G19" s="723"/>
      <c r="H19" s="756"/>
      <c r="I19" s="684"/>
      <c r="J19" s="670"/>
    </row>
    <row r="20" spans="1:10" ht="14.25" customHeight="1" x14ac:dyDescent="0.2">
      <c r="A20" s="753"/>
      <c r="B20" s="760"/>
      <c r="C20" s="761"/>
      <c r="D20" s="762"/>
      <c r="E20" s="762"/>
      <c r="F20" s="723"/>
      <c r="G20" s="723"/>
      <c r="H20" s="754"/>
      <c r="I20" s="684"/>
      <c r="J20" s="670"/>
    </row>
    <row r="21" spans="1:10" ht="14.25" customHeight="1" x14ac:dyDescent="0.2">
      <c r="A21" s="725"/>
      <c r="B21" s="760"/>
      <c r="C21" s="761"/>
      <c r="D21" s="762"/>
      <c r="E21" s="762"/>
      <c r="F21" s="723"/>
      <c r="G21" s="723"/>
      <c r="H21" s="756"/>
      <c r="I21" s="684"/>
      <c r="J21" s="670"/>
    </row>
    <row r="22" spans="1:10" ht="14.25" customHeight="1" x14ac:dyDescent="0.2">
      <c r="A22" s="685"/>
      <c r="B22" s="720"/>
      <c r="C22" s="721"/>
      <c r="D22" s="722"/>
      <c r="E22" s="722"/>
      <c r="F22" s="698"/>
      <c r="G22" s="1049"/>
      <c r="H22" s="754"/>
    </row>
    <row r="23" spans="1:10" ht="14.25" customHeight="1" x14ac:dyDescent="0.2">
      <c r="A23" s="685"/>
      <c r="B23" s="720"/>
      <c r="C23" s="721"/>
      <c r="D23" s="722"/>
      <c r="E23" s="722"/>
      <c r="F23" s="698"/>
      <c r="G23" s="1049"/>
      <c r="H23" s="754"/>
    </row>
    <row r="24" spans="1:10" ht="14.25" customHeight="1" x14ac:dyDescent="0.2">
      <c r="A24" s="725"/>
      <c r="B24" s="720"/>
      <c r="C24" s="721"/>
      <c r="D24" s="722"/>
      <c r="E24" s="722"/>
      <c r="F24" s="718"/>
      <c r="G24" s="723"/>
      <c r="H24" s="757"/>
    </row>
    <row r="25" spans="1:10" ht="14.25" customHeight="1" x14ac:dyDescent="0.2">
      <c r="A25" s="725"/>
      <c r="B25" s="720"/>
      <c r="C25" s="721"/>
      <c r="D25" s="722"/>
      <c r="E25" s="722"/>
      <c r="F25" s="683"/>
      <c r="G25" s="691"/>
      <c r="H25" s="757"/>
    </row>
    <row r="26" spans="1:10" ht="14.25" customHeight="1" x14ac:dyDescent="0.2">
      <c r="A26" s="725"/>
      <c r="B26" s="720"/>
      <c r="C26" s="721"/>
      <c r="D26" s="722"/>
      <c r="E26" s="722"/>
      <c r="F26" s="683"/>
      <c r="G26" s="691"/>
      <c r="H26" s="757"/>
    </row>
    <row r="27" spans="1:10" ht="14.25" customHeight="1" x14ac:dyDescent="0.2">
      <c r="A27" s="725"/>
      <c r="B27" s="720"/>
      <c r="C27" s="721"/>
      <c r="D27" s="722"/>
      <c r="E27" s="722"/>
      <c r="F27" s="683"/>
      <c r="G27" s="691"/>
      <c r="H27" s="757"/>
    </row>
    <row r="28" spans="1:10" ht="14.25" customHeight="1" x14ac:dyDescent="0.2">
      <c r="A28" s="725"/>
      <c r="B28" s="720"/>
      <c r="C28" s="721"/>
      <c r="D28" s="722"/>
      <c r="E28" s="722"/>
      <c r="F28" s="683"/>
      <c r="G28" s="691"/>
      <c r="H28" s="633"/>
    </row>
    <row r="29" spans="1:10" ht="14.25" customHeight="1" x14ac:dyDescent="0.2">
      <c r="A29" s="725"/>
      <c r="B29" s="720"/>
      <c r="C29" s="721"/>
      <c r="D29" s="722"/>
      <c r="E29" s="722"/>
      <c r="F29" s="683"/>
      <c r="G29" s="691"/>
      <c r="H29" s="633"/>
    </row>
    <row r="30" spans="1:10" ht="14.25" customHeight="1" x14ac:dyDescent="0.2">
      <c r="A30" s="725"/>
      <c r="B30" s="720"/>
      <c r="C30" s="721"/>
      <c r="D30" s="722"/>
      <c r="E30" s="722"/>
      <c r="F30" s="683"/>
      <c r="G30" s="691"/>
      <c r="H30" s="633"/>
    </row>
    <row r="31" spans="1:10" x14ac:dyDescent="0.2">
      <c r="F31" s="1051" t="s">
        <v>123</v>
      </c>
      <c r="G31" s="697">
        <f>SUM(G7:G30)</f>
        <v>0</v>
      </c>
      <c r="H31" s="697">
        <f>SUM(H7:H30)</f>
        <v>1</v>
      </c>
    </row>
    <row r="32" spans="1:10" x14ac:dyDescent="0.2">
      <c r="F32" s="689"/>
      <c r="G32" s="690"/>
      <c r="H32" s="912"/>
    </row>
    <row r="33" spans="6:8" ht="14.25" x14ac:dyDescent="0.2">
      <c r="F33" s="1153" t="s">
        <v>8</v>
      </c>
      <c r="G33" s="1154"/>
      <c r="H33" s="701">
        <f>G31-H31</f>
        <v>-1</v>
      </c>
    </row>
  </sheetData>
  <mergeCells count="3">
    <mergeCell ref="C1:H5"/>
    <mergeCell ref="J1:J3"/>
    <mergeCell ref="F33:G33"/>
  </mergeCells>
  <hyperlinks>
    <hyperlink ref="J6" location="'ANA SAYFA'!A1" display="AnaSayfa"/>
    <hyperlink ref="J1:J3" location="'ANA SAYFA'!A1" display="ANA SAYFA"/>
  </hyperlinks>
  <pageMargins left="0.7" right="0.7" top="0.75" bottom="0.75" header="0.3" footer="0.3"/>
  <pageSetup paperSize="9" scale="55" orientation="portrait"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zoomScaleNormal="100" workbookViewId="0">
      <selection activeCell="J1" sqref="J1:J3"/>
    </sheetView>
  </sheetViews>
  <sheetFormatPr defaultColWidth="9.140625" defaultRowHeight="12.75" x14ac:dyDescent="0.2"/>
  <cols>
    <col min="1" max="1" width="18.140625" style="699" bestFit="1" customWidth="1"/>
    <col min="2" max="3" width="27.7109375" style="699" bestFit="1" customWidth="1"/>
    <col min="4" max="5" width="9.28515625" style="699" bestFit="1" customWidth="1"/>
    <col min="6" max="6" width="26.28515625" style="699" bestFit="1" customWidth="1"/>
    <col min="7" max="8" width="13" style="699" customWidth="1"/>
    <col min="9" max="9" width="4.42578125" style="699" customWidth="1"/>
    <col min="10" max="10" width="12.28515625" style="699" customWidth="1"/>
    <col min="11" max="16384" width="9.140625" style="699"/>
  </cols>
  <sheetData>
    <row r="1" spans="1:10" ht="15" customHeight="1" x14ac:dyDescent="0.2">
      <c r="A1" s="669" t="s">
        <v>135</v>
      </c>
      <c r="B1" s="745" t="str">
        <f>'ANA SAYFA'!B139</f>
        <v>VAHDETTİN YILDIZ</v>
      </c>
      <c r="C1" s="1166" t="s">
        <v>136</v>
      </c>
      <c r="D1" s="1166"/>
      <c r="E1" s="1166"/>
      <c r="F1" s="1166"/>
      <c r="G1" s="1166"/>
      <c r="H1" s="1166"/>
      <c r="I1" s="668"/>
      <c r="J1" s="1228" t="s">
        <v>712</v>
      </c>
    </row>
    <row r="2" spans="1:10" ht="15" customHeight="1" x14ac:dyDescent="0.2">
      <c r="A2" s="669" t="s">
        <v>137</v>
      </c>
      <c r="B2" s="728">
        <f>'ANA SAYFA'!D139</f>
        <v>17785973726</v>
      </c>
      <c r="C2" s="1166"/>
      <c r="D2" s="1166"/>
      <c r="E2" s="1166"/>
      <c r="F2" s="1166"/>
      <c r="G2" s="1166"/>
      <c r="H2" s="1166"/>
      <c r="I2" s="668"/>
      <c r="J2" s="1229"/>
    </row>
    <row r="3" spans="1:10" ht="15" customHeight="1" thickBot="1" x14ac:dyDescent="0.25">
      <c r="A3" s="669" t="s">
        <v>131</v>
      </c>
      <c r="B3" s="727" t="str">
        <f>'ANA SAYFA'!C139</f>
        <v>KAMYON ŞOFÖRÜ</v>
      </c>
      <c r="C3" s="1166"/>
      <c r="D3" s="1166"/>
      <c r="E3" s="1166"/>
      <c r="F3" s="1166"/>
      <c r="G3" s="1166"/>
      <c r="H3" s="1166"/>
      <c r="I3" s="668"/>
      <c r="J3" s="1230"/>
    </row>
    <row r="4" spans="1:10" ht="15" customHeight="1" x14ac:dyDescent="0.2">
      <c r="A4" s="669" t="s">
        <v>120</v>
      </c>
      <c r="B4" s="700">
        <f>'ANA SAYFA'!E139</f>
        <v>46063</v>
      </c>
      <c r="C4" s="1166"/>
      <c r="D4" s="1166"/>
      <c r="E4" s="1166"/>
      <c r="F4" s="1166"/>
      <c r="G4" s="1166"/>
      <c r="H4" s="1166"/>
      <c r="I4" s="668"/>
      <c r="J4" s="670"/>
    </row>
    <row r="5" spans="1:10" ht="15" customHeight="1" x14ac:dyDescent="0.2">
      <c r="A5" s="669" t="s">
        <v>130</v>
      </c>
      <c r="B5" s="700">
        <f>'ANA SAYFA'!F139</f>
        <v>24624</v>
      </c>
      <c r="C5" s="1166"/>
      <c r="D5" s="1166"/>
      <c r="E5" s="1166"/>
      <c r="F5" s="1166"/>
      <c r="G5" s="1166"/>
      <c r="H5" s="1166"/>
      <c r="I5" s="668"/>
    </row>
    <row r="6" spans="1:10" ht="31.5" x14ac:dyDescent="0.2">
      <c r="A6" s="1050" t="s">
        <v>0</v>
      </c>
      <c r="B6" s="694" t="s">
        <v>1</v>
      </c>
      <c r="C6" s="1050" t="s">
        <v>2</v>
      </c>
      <c r="D6" s="695" t="s">
        <v>133</v>
      </c>
      <c r="E6" s="695" t="s">
        <v>4</v>
      </c>
      <c r="F6" s="695" t="s">
        <v>7</v>
      </c>
      <c r="G6" s="695" t="s">
        <v>6</v>
      </c>
      <c r="H6" s="695" t="s">
        <v>16</v>
      </c>
      <c r="I6" s="672"/>
    </row>
    <row r="7" spans="1:10" ht="14.25" customHeight="1" x14ac:dyDescent="0.2">
      <c r="A7" s="719"/>
      <c r="B7" s="729">
        <v>46120</v>
      </c>
      <c r="C7" s="732">
        <v>46121</v>
      </c>
      <c r="D7" s="733"/>
      <c r="E7" s="733"/>
      <c r="F7" s="1032"/>
      <c r="G7" s="723"/>
      <c r="H7" s="436">
        <v>1</v>
      </c>
      <c r="I7" s="684"/>
      <c r="J7" s="670" t="s">
        <v>830</v>
      </c>
    </row>
    <row r="8" spans="1:10" ht="14.25" customHeight="1" x14ac:dyDescent="0.2">
      <c r="A8" s="719"/>
      <c r="B8" s="729">
        <v>46150</v>
      </c>
      <c r="C8" s="732">
        <v>46154</v>
      </c>
      <c r="D8" s="733"/>
      <c r="E8" s="733"/>
      <c r="F8" s="723"/>
      <c r="G8" s="723"/>
      <c r="H8" s="436">
        <v>3</v>
      </c>
      <c r="I8" s="684"/>
      <c r="J8" s="670"/>
    </row>
    <row r="9" spans="1:10" x14ac:dyDescent="0.2">
      <c r="A9" s="719"/>
      <c r="B9" s="729">
        <v>46204</v>
      </c>
      <c r="C9" s="732">
        <v>46205</v>
      </c>
      <c r="D9" s="733"/>
      <c r="E9" s="733"/>
      <c r="F9" s="723"/>
      <c r="G9" s="723"/>
      <c r="H9" s="756">
        <v>1</v>
      </c>
      <c r="I9" s="684"/>
      <c r="J9" s="670"/>
    </row>
    <row r="10" spans="1:10" ht="14.25" customHeight="1" x14ac:dyDescent="0.2">
      <c r="A10" s="719"/>
      <c r="B10" s="729"/>
      <c r="C10" s="732"/>
      <c r="D10" s="733"/>
      <c r="E10" s="733"/>
      <c r="F10" s="723"/>
      <c r="G10" s="723"/>
      <c r="H10" s="756"/>
      <c r="I10" s="684"/>
      <c r="J10" s="670"/>
    </row>
    <row r="11" spans="1:10" ht="14.25" customHeight="1" x14ac:dyDescent="0.2">
      <c r="A11" s="719"/>
      <c r="B11" s="1036"/>
      <c r="C11" s="1037"/>
      <c r="D11" s="868"/>
      <c r="E11" s="868"/>
      <c r="F11" s="704"/>
      <c r="G11" s="703"/>
      <c r="H11" s="223"/>
      <c r="I11" s="684"/>
      <c r="J11" s="670"/>
    </row>
    <row r="12" spans="1:10" ht="14.25" customHeight="1" x14ac:dyDescent="0.2">
      <c r="A12" s="719"/>
      <c r="B12" s="729"/>
      <c r="C12" s="732"/>
      <c r="D12" s="733"/>
      <c r="E12" s="733"/>
      <c r="F12" s="723"/>
      <c r="G12" s="723"/>
      <c r="H12" s="756"/>
      <c r="I12" s="684"/>
      <c r="J12" s="670"/>
    </row>
    <row r="13" spans="1:10" ht="14.25" customHeight="1" x14ac:dyDescent="0.2">
      <c r="A13" s="719"/>
      <c r="B13" s="1036"/>
      <c r="C13" s="1037"/>
      <c r="D13" s="868"/>
      <c r="E13" s="868"/>
      <c r="F13" s="704"/>
      <c r="G13" s="703"/>
      <c r="H13" s="223"/>
      <c r="I13" s="684"/>
      <c r="J13" s="670"/>
    </row>
    <row r="14" spans="1:10" ht="14.25" customHeight="1" x14ac:dyDescent="0.2">
      <c r="A14" s="719"/>
      <c r="B14" s="729"/>
      <c r="C14" s="732"/>
      <c r="D14" s="733"/>
      <c r="E14" s="733"/>
      <c r="F14" s="723"/>
      <c r="G14" s="723"/>
      <c r="H14" s="756"/>
      <c r="I14" s="684"/>
      <c r="J14" s="670"/>
    </row>
    <row r="15" spans="1:10" ht="14.25" customHeight="1" x14ac:dyDescent="0.2">
      <c r="A15" s="719"/>
      <c r="B15" s="729"/>
      <c r="C15" s="732"/>
      <c r="D15" s="733"/>
      <c r="E15" s="733"/>
      <c r="F15" s="723"/>
      <c r="G15" s="723"/>
      <c r="H15" s="756"/>
      <c r="I15" s="684"/>
      <c r="J15" s="670"/>
    </row>
    <row r="16" spans="1:10" ht="14.25" customHeight="1" x14ac:dyDescent="0.2">
      <c r="A16" s="719"/>
      <c r="B16" s="729"/>
      <c r="C16" s="732"/>
      <c r="D16" s="733"/>
      <c r="E16" s="733"/>
      <c r="F16" s="723"/>
      <c r="G16" s="723"/>
      <c r="H16" s="756"/>
      <c r="I16" s="684"/>
      <c r="J16" s="670"/>
    </row>
    <row r="17" spans="1:10" ht="14.25" customHeight="1" x14ac:dyDescent="0.2">
      <c r="A17" s="724"/>
      <c r="B17" s="729"/>
      <c r="C17" s="732"/>
      <c r="D17" s="733"/>
      <c r="E17" s="733"/>
      <c r="F17" s="723"/>
      <c r="G17" s="723"/>
      <c r="H17" s="756"/>
      <c r="I17" s="684"/>
      <c r="J17" s="670"/>
    </row>
    <row r="18" spans="1:10" ht="14.25" customHeight="1" x14ac:dyDescent="0.2">
      <c r="A18" s="724"/>
      <c r="B18" s="760"/>
      <c r="C18" s="761"/>
      <c r="D18" s="762"/>
      <c r="E18" s="762"/>
      <c r="F18" s="723"/>
      <c r="G18" s="723"/>
      <c r="H18" s="757"/>
      <c r="I18" s="684"/>
      <c r="J18" s="670"/>
    </row>
    <row r="19" spans="1:10" ht="14.25" customHeight="1" x14ac:dyDescent="0.2">
      <c r="A19" s="753"/>
      <c r="B19" s="760"/>
      <c r="C19" s="761"/>
      <c r="D19" s="762"/>
      <c r="E19" s="762"/>
      <c r="F19" s="723"/>
      <c r="G19" s="723"/>
      <c r="H19" s="756"/>
      <c r="I19" s="684"/>
      <c r="J19" s="670"/>
    </row>
    <row r="20" spans="1:10" ht="14.25" customHeight="1" x14ac:dyDescent="0.2">
      <c r="A20" s="753"/>
      <c r="B20" s="760"/>
      <c r="C20" s="761"/>
      <c r="D20" s="762"/>
      <c r="E20" s="762"/>
      <c r="F20" s="723"/>
      <c r="G20" s="723"/>
      <c r="H20" s="754"/>
      <c r="I20" s="684"/>
      <c r="J20" s="670"/>
    </row>
    <row r="21" spans="1:10" ht="14.25" customHeight="1" x14ac:dyDescent="0.2">
      <c r="A21" s="725"/>
      <c r="B21" s="760"/>
      <c r="C21" s="761"/>
      <c r="D21" s="762"/>
      <c r="E21" s="762"/>
      <c r="F21" s="723"/>
      <c r="G21" s="723"/>
      <c r="H21" s="756"/>
      <c r="I21" s="684"/>
      <c r="J21" s="670"/>
    </row>
    <row r="22" spans="1:10" ht="14.25" customHeight="1" x14ac:dyDescent="0.2">
      <c r="A22" s="685"/>
      <c r="B22" s="720"/>
      <c r="C22" s="721"/>
      <c r="D22" s="722"/>
      <c r="E22" s="722"/>
      <c r="F22" s="698"/>
      <c r="G22" s="1049"/>
      <c r="H22" s="754"/>
    </row>
    <row r="23" spans="1:10" ht="14.25" customHeight="1" x14ac:dyDescent="0.2">
      <c r="A23" s="685"/>
      <c r="B23" s="720"/>
      <c r="C23" s="721"/>
      <c r="D23" s="722"/>
      <c r="E23" s="722"/>
      <c r="F23" s="698"/>
      <c r="G23" s="1049"/>
      <c r="H23" s="754"/>
    </row>
    <row r="24" spans="1:10" ht="14.25" customHeight="1" x14ac:dyDescent="0.2">
      <c r="A24" s="725"/>
      <c r="B24" s="720"/>
      <c r="C24" s="721"/>
      <c r="D24" s="722"/>
      <c r="E24" s="722"/>
      <c r="F24" s="718"/>
      <c r="G24" s="723"/>
      <c r="H24" s="757"/>
    </row>
    <row r="25" spans="1:10" ht="14.25" customHeight="1" x14ac:dyDescent="0.2">
      <c r="A25" s="725"/>
      <c r="B25" s="720"/>
      <c r="C25" s="721"/>
      <c r="D25" s="722"/>
      <c r="E25" s="722"/>
      <c r="F25" s="683"/>
      <c r="G25" s="691"/>
      <c r="H25" s="757"/>
    </row>
    <row r="26" spans="1:10" ht="14.25" customHeight="1" x14ac:dyDescent="0.2">
      <c r="A26" s="725"/>
      <c r="B26" s="720"/>
      <c r="C26" s="721"/>
      <c r="D26" s="722"/>
      <c r="E26" s="722"/>
      <c r="F26" s="683"/>
      <c r="G26" s="691"/>
      <c r="H26" s="757"/>
    </row>
    <row r="27" spans="1:10" ht="14.25" customHeight="1" x14ac:dyDescent="0.2">
      <c r="A27" s="725"/>
      <c r="B27" s="720"/>
      <c r="C27" s="721"/>
      <c r="D27" s="722"/>
      <c r="E27" s="722"/>
      <c r="F27" s="683"/>
      <c r="G27" s="691"/>
      <c r="H27" s="757"/>
    </row>
    <row r="28" spans="1:10" ht="14.25" customHeight="1" x14ac:dyDescent="0.2">
      <c r="A28" s="725"/>
      <c r="B28" s="720"/>
      <c r="C28" s="721"/>
      <c r="D28" s="722"/>
      <c r="E28" s="722"/>
      <c r="F28" s="683"/>
      <c r="G28" s="691"/>
      <c r="H28" s="633"/>
    </row>
    <row r="29" spans="1:10" ht="14.25" customHeight="1" x14ac:dyDescent="0.2">
      <c r="A29" s="725"/>
      <c r="B29" s="720"/>
      <c r="C29" s="721"/>
      <c r="D29" s="722"/>
      <c r="E29" s="722"/>
      <c r="F29" s="683"/>
      <c r="G29" s="691"/>
      <c r="H29" s="633"/>
    </row>
    <row r="30" spans="1:10" ht="14.25" customHeight="1" x14ac:dyDescent="0.2">
      <c r="A30" s="725"/>
      <c r="B30" s="720"/>
      <c r="C30" s="721"/>
      <c r="D30" s="722"/>
      <c r="E30" s="722"/>
      <c r="F30" s="683"/>
      <c r="G30" s="691"/>
      <c r="H30" s="633"/>
    </row>
    <row r="31" spans="1:10" x14ac:dyDescent="0.2">
      <c r="F31" s="1051" t="s">
        <v>123</v>
      </c>
      <c r="G31" s="697">
        <f>SUM(G7:G30)</f>
        <v>0</v>
      </c>
      <c r="H31" s="697">
        <f>SUM(H7:H30)</f>
        <v>5</v>
      </c>
    </row>
    <row r="32" spans="1:10" x14ac:dyDescent="0.2">
      <c r="F32" s="689"/>
      <c r="G32" s="690"/>
      <c r="H32" s="912"/>
    </row>
    <row r="33" spans="6:8" ht="14.25" x14ac:dyDescent="0.2">
      <c r="F33" s="1153" t="s">
        <v>8</v>
      </c>
      <c r="G33" s="1154"/>
      <c r="H33" s="701">
        <f>G31-H31</f>
        <v>-5</v>
      </c>
    </row>
  </sheetData>
  <mergeCells count="3">
    <mergeCell ref="C1:H5"/>
    <mergeCell ref="J1:J3"/>
    <mergeCell ref="F33:G33"/>
  </mergeCells>
  <hyperlinks>
    <hyperlink ref="J6" location="'ANA SAYFA'!A1" display="AnaSayfa"/>
    <hyperlink ref="J1:J3" location="'ANA SAYFA'!A1" display="ANA SAYFA"/>
  </hyperlinks>
  <pageMargins left="0.7" right="0.7" top="0.75" bottom="0.75" header="0.3" footer="0.3"/>
  <pageSetup paperSize="9" scale="55" orientation="portrait"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zoomScaleNormal="100" workbookViewId="0"/>
  </sheetViews>
  <sheetFormatPr defaultColWidth="9.140625" defaultRowHeight="12.75" x14ac:dyDescent="0.2"/>
  <cols>
    <col min="1" max="1" width="18.140625" style="699" bestFit="1" customWidth="1"/>
    <col min="2" max="3" width="27.7109375" style="699" bestFit="1" customWidth="1"/>
    <col min="4" max="5" width="9.28515625" style="699" bestFit="1" customWidth="1"/>
    <col min="6" max="6" width="26.28515625" style="699" bestFit="1" customWidth="1"/>
    <col min="7" max="8" width="13" style="699" customWidth="1"/>
    <col min="9" max="9" width="4.42578125" style="699" customWidth="1"/>
    <col min="10" max="10" width="12.28515625" style="699" customWidth="1"/>
    <col min="11" max="16384" width="9.140625" style="699"/>
  </cols>
  <sheetData>
    <row r="1" spans="1:10" ht="15" customHeight="1" x14ac:dyDescent="0.2">
      <c r="A1" s="669" t="s">
        <v>135</v>
      </c>
      <c r="B1" s="745" t="str">
        <f>'ANA SAYFA'!B140</f>
        <v>EMİRHAN GÖKDEMİR</v>
      </c>
      <c r="C1" s="1166" t="s">
        <v>136</v>
      </c>
      <c r="D1" s="1166"/>
      <c r="E1" s="1166"/>
      <c r="F1" s="1166"/>
      <c r="G1" s="1166"/>
      <c r="H1" s="1166"/>
      <c r="I1" s="668"/>
      <c r="J1" s="1228" t="s">
        <v>712</v>
      </c>
    </row>
    <row r="2" spans="1:10" ht="15" customHeight="1" x14ac:dyDescent="0.2">
      <c r="A2" s="669" t="s">
        <v>137</v>
      </c>
      <c r="B2" s="728">
        <f>'ANA SAYFA'!D140</f>
        <v>21449331142</v>
      </c>
      <c r="C2" s="1166"/>
      <c r="D2" s="1166"/>
      <c r="E2" s="1166"/>
      <c r="F2" s="1166"/>
      <c r="G2" s="1166"/>
      <c r="H2" s="1166"/>
      <c r="I2" s="668"/>
      <c r="J2" s="1229"/>
    </row>
    <row r="3" spans="1:10" ht="15" customHeight="1" thickBot="1" x14ac:dyDescent="0.25">
      <c r="A3" s="669" t="s">
        <v>131</v>
      </c>
      <c r="B3" s="727" t="str">
        <f>'ANA SAYFA'!C140</f>
        <v>BEDEN İŞÇİSİ</v>
      </c>
      <c r="C3" s="1166"/>
      <c r="D3" s="1166"/>
      <c r="E3" s="1166"/>
      <c r="F3" s="1166"/>
      <c r="G3" s="1166"/>
      <c r="H3" s="1166"/>
      <c r="I3" s="668"/>
      <c r="J3" s="1230"/>
    </row>
    <row r="4" spans="1:10" ht="15" customHeight="1" x14ac:dyDescent="0.2">
      <c r="A4" s="669" t="s">
        <v>120</v>
      </c>
      <c r="B4" s="700">
        <f>'ANA SAYFA'!E140</f>
        <v>45986</v>
      </c>
      <c r="C4" s="1166"/>
      <c r="D4" s="1166"/>
      <c r="E4" s="1166"/>
      <c r="F4" s="1166"/>
      <c r="G4" s="1166"/>
      <c r="H4" s="1166"/>
      <c r="I4" s="668"/>
      <c r="J4" s="670"/>
    </row>
    <row r="5" spans="1:10" ht="15" customHeight="1" x14ac:dyDescent="0.2">
      <c r="A5" s="669" t="s">
        <v>130</v>
      </c>
      <c r="B5" s="700">
        <f>'ANA SAYFA'!F140</f>
        <v>39134</v>
      </c>
      <c r="C5" s="1166"/>
      <c r="D5" s="1166"/>
      <c r="E5" s="1166"/>
      <c r="F5" s="1166"/>
      <c r="G5" s="1166"/>
      <c r="H5" s="1166"/>
      <c r="I5" s="668"/>
    </row>
    <row r="6" spans="1:10" ht="31.5" x14ac:dyDescent="0.2">
      <c r="A6" s="1050" t="s">
        <v>0</v>
      </c>
      <c r="B6" s="694" t="s">
        <v>1</v>
      </c>
      <c r="C6" s="1050" t="s">
        <v>2</v>
      </c>
      <c r="D6" s="695" t="s">
        <v>133</v>
      </c>
      <c r="E6" s="695" t="s">
        <v>4</v>
      </c>
      <c r="F6" s="695" t="s">
        <v>7</v>
      </c>
      <c r="G6" s="695" t="s">
        <v>6</v>
      </c>
      <c r="H6" s="695" t="s">
        <v>16</v>
      </c>
      <c r="I6" s="672"/>
    </row>
    <row r="7" spans="1:10" ht="14.25" customHeight="1" x14ac:dyDescent="0.2">
      <c r="A7" s="719"/>
      <c r="B7" s="729">
        <v>46120</v>
      </c>
      <c r="C7" s="732">
        <v>46121</v>
      </c>
      <c r="D7" s="733"/>
      <c r="E7" s="733"/>
      <c r="F7" s="1032"/>
      <c r="G7" s="723"/>
      <c r="H7" s="436">
        <v>1</v>
      </c>
      <c r="I7" s="684"/>
      <c r="J7" s="670" t="s">
        <v>830</v>
      </c>
    </row>
    <row r="8" spans="1:10" ht="14.25" customHeight="1" x14ac:dyDescent="0.2">
      <c r="A8" s="719"/>
      <c r="B8" s="729"/>
      <c r="C8" s="732"/>
      <c r="D8" s="733"/>
      <c r="E8" s="733"/>
      <c r="F8" s="723"/>
      <c r="G8" s="723"/>
      <c r="H8" s="436"/>
      <c r="I8" s="684"/>
      <c r="J8" s="670"/>
    </row>
    <row r="9" spans="1:10" x14ac:dyDescent="0.2">
      <c r="A9" s="719"/>
      <c r="B9" s="729"/>
      <c r="C9" s="732"/>
      <c r="D9" s="733"/>
      <c r="E9" s="733"/>
      <c r="F9" s="723"/>
      <c r="G9" s="723"/>
      <c r="H9" s="756"/>
      <c r="I9" s="684"/>
      <c r="J9" s="670"/>
    </row>
    <row r="10" spans="1:10" ht="14.25" customHeight="1" x14ac:dyDescent="0.2">
      <c r="A10" s="719"/>
      <c r="B10" s="729"/>
      <c r="C10" s="732"/>
      <c r="D10" s="733"/>
      <c r="E10" s="733"/>
      <c r="F10" s="723"/>
      <c r="G10" s="723"/>
      <c r="H10" s="756"/>
      <c r="I10" s="684"/>
      <c r="J10" s="670"/>
    </row>
    <row r="11" spans="1:10" ht="14.25" customHeight="1" x14ac:dyDescent="0.2">
      <c r="A11" s="719"/>
      <c r="B11" s="1036"/>
      <c r="C11" s="1037"/>
      <c r="D11" s="868"/>
      <c r="E11" s="868"/>
      <c r="F11" s="704"/>
      <c r="G11" s="703"/>
      <c r="H11" s="223"/>
      <c r="I11" s="684"/>
      <c r="J11" s="670"/>
    </row>
    <row r="12" spans="1:10" ht="14.25" customHeight="1" x14ac:dyDescent="0.2">
      <c r="A12" s="719"/>
      <c r="B12" s="729"/>
      <c r="C12" s="732"/>
      <c r="D12" s="733"/>
      <c r="E12" s="733"/>
      <c r="F12" s="723"/>
      <c r="G12" s="723"/>
      <c r="H12" s="756"/>
      <c r="I12" s="684"/>
      <c r="J12" s="670"/>
    </row>
    <row r="13" spans="1:10" ht="14.25" customHeight="1" x14ac:dyDescent="0.2">
      <c r="A13" s="719"/>
      <c r="B13" s="1036"/>
      <c r="C13" s="1037"/>
      <c r="D13" s="868"/>
      <c r="E13" s="868"/>
      <c r="F13" s="704"/>
      <c r="G13" s="703"/>
      <c r="H13" s="223"/>
      <c r="I13" s="684"/>
      <c r="J13" s="670"/>
    </row>
    <row r="14" spans="1:10" ht="14.25" customHeight="1" x14ac:dyDescent="0.2">
      <c r="A14" s="719"/>
      <c r="B14" s="729"/>
      <c r="C14" s="732"/>
      <c r="D14" s="733"/>
      <c r="E14" s="733"/>
      <c r="F14" s="723"/>
      <c r="G14" s="723"/>
      <c r="H14" s="756"/>
      <c r="I14" s="684"/>
      <c r="J14" s="670"/>
    </row>
    <row r="15" spans="1:10" ht="14.25" customHeight="1" x14ac:dyDescent="0.2">
      <c r="A15" s="719"/>
      <c r="B15" s="729"/>
      <c r="C15" s="732"/>
      <c r="D15" s="733"/>
      <c r="E15" s="733"/>
      <c r="F15" s="723"/>
      <c r="G15" s="723"/>
      <c r="H15" s="756"/>
      <c r="I15" s="684"/>
      <c r="J15" s="670"/>
    </row>
    <row r="16" spans="1:10" ht="14.25" customHeight="1" x14ac:dyDescent="0.2">
      <c r="A16" s="719"/>
      <c r="B16" s="729"/>
      <c r="C16" s="732"/>
      <c r="D16" s="733"/>
      <c r="E16" s="733"/>
      <c r="F16" s="723"/>
      <c r="G16" s="723"/>
      <c r="H16" s="756"/>
      <c r="I16" s="684"/>
      <c r="J16" s="670"/>
    </row>
    <row r="17" spans="1:10" ht="14.25" customHeight="1" x14ac:dyDescent="0.2">
      <c r="A17" s="724"/>
      <c r="B17" s="729"/>
      <c r="C17" s="732"/>
      <c r="D17" s="733"/>
      <c r="E17" s="733"/>
      <c r="F17" s="723"/>
      <c r="G17" s="723"/>
      <c r="H17" s="756"/>
      <c r="I17" s="684"/>
      <c r="J17" s="670"/>
    </row>
    <row r="18" spans="1:10" ht="14.25" customHeight="1" x14ac:dyDescent="0.2">
      <c r="A18" s="724"/>
      <c r="B18" s="760"/>
      <c r="C18" s="761"/>
      <c r="D18" s="762"/>
      <c r="E18" s="762"/>
      <c r="F18" s="723"/>
      <c r="G18" s="723"/>
      <c r="H18" s="757"/>
      <c r="I18" s="684"/>
      <c r="J18" s="670"/>
    </row>
    <row r="19" spans="1:10" ht="14.25" customHeight="1" x14ac:dyDescent="0.2">
      <c r="A19" s="753"/>
      <c r="B19" s="760"/>
      <c r="C19" s="761"/>
      <c r="D19" s="762"/>
      <c r="E19" s="762"/>
      <c r="F19" s="723"/>
      <c r="G19" s="723"/>
      <c r="H19" s="756"/>
      <c r="I19" s="684"/>
      <c r="J19" s="670"/>
    </row>
    <row r="20" spans="1:10" ht="14.25" customHeight="1" x14ac:dyDescent="0.2">
      <c r="A20" s="753"/>
      <c r="B20" s="760"/>
      <c r="C20" s="761"/>
      <c r="D20" s="762"/>
      <c r="E20" s="762"/>
      <c r="F20" s="723"/>
      <c r="G20" s="723"/>
      <c r="H20" s="754"/>
      <c r="I20" s="684"/>
      <c r="J20" s="670"/>
    </row>
    <row r="21" spans="1:10" ht="14.25" customHeight="1" x14ac:dyDescent="0.2">
      <c r="A21" s="725"/>
      <c r="B21" s="760"/>
      <c r="C21" s="761"/>
      <c r="D21" s="762"/>
      <c r="E21" s="762"/>
      <c r="F21" s="723"/>
      <c r="G21" s="723"/>
      <c r="H21" s="756"/>
      <c r="I21" s="684"/>
      <c r="J21" s="670"/>
    </row>
    <row r="22" spans="1:10" ht="14.25" customHeight="1" x14ac:dyDescent="0.2">
      <c r="A22" s="685"/>
      <c r="B22" s="720"/>
      <c r="C22" s="721"/>
      <c r="D22" s="722"/>
      <c r="E22" s="722"/>
      <c r="F22" s="698"/>
      <c r="G22" s="1049"/>
      <c r="H22" s="754"/>
    </row>
    <row r="23" spans="1:10" ht="14.25" customHeight="1" x14ac:dyDescent="0.2">
      <c r="A23" s="685"/>
      <c r="B23" s="720"/>
      <c r="C23" s="721"/>
      <c r="D23" s="722"/>
      <c r="E23" s="722"/>
      <c r="F23" s="698"/>
      <c r="G23" s="1049"/>
      <c r="H23" s="754"/>
    </row>
    <row r="24" spans="1:10" ht="14.25" customHeight="1" x14ac:dyDescent="0.2">
      <c r="A24" s="725"/>
      <c r="B24" s="720"/>
      <c r="C24" s="721"/>
      <c r="D24" s="722"/>
      <c r="E24" s="722"/>
      <c r="F24" s="718"/>
      <c r="G24" s="723"/>
      <c r="H24" s="757"/>
    </row>
    <row r="25" spans="1:10" ht="14.25" customHeight="1" x14ac:dyDescent="0.2">
      <c r="A25" s="725"/>
      <c r="B25" s="720"/>
      <c r="C25" s="721"/>
      <c r="D25" s="722"/>
      <c r="E25" s="722"/>
      <c r="F25" s="683"/>
      <c r="G25" s="691"/>
      <c r="H25" s="757"/>
    </row>
    <row r="26" spans="1:10" ht="14.25" customHeight="1" x14ac:dyDescent="0.2">
      <c r="A26" s="725"/>
      <c r="B26" s="720"/>
      <c r="C26" s="721"/>
      <c r="D26" s="722"/>
      <c r="E26" s="722"/>
      <c r="F26" s="683"/>
      <c r="G26" s="691"/>
      <c r="H26" s="757"/>
    </row>
    <row r="27" spans="1:10" ht="14.25" customHeight="1" x14ac:dyDescent="0.2">
      <c r="A27" s="725"/>
      <c r="B27" s="720"/>
      <c r="C27" s="721"/>
      <c r="D27" s="722"/>
      <c r="E27" s="722"/>
      <c r="F27" s="683"/>
      <c r="G27" s="691"/>
      <c r="H27" s="757"/>
    </row>
    <row r="28" spans="1:10" ht="14.25" customHeight="1" x14ac:dyDescent="0.2">
      <c r="A28" s="725"/>
      <c r="B28" s="720"/>
      <c r="C28" s="721"/>
      <c r="D28" s="722"/>
      <c r="E28" s="722"/>
      <c r="F28" s="683"/>
      <c r="G28" s="691"/>
      <c r="H28" s="633"/>
    </row>
    <row r="29" spans="1:10" ht="14.25" customHeight="1" x14ac:dyDescent="0.2">
      <c r="A29" s="725"/>
      <c r="B29" s="720"/>
      <c r="C29" s="721"/>
      <c r="D29" s="722"/>
      <c r="E29" s="722"/>
      <c r="F29" s="683"/>
      <c r="G29" s="691"/>
      <c r="H29" s="633"/>
    </row>
    <row r="30" spans="1:10" ht="14.25" customHeight="1" x14ac:dyDescent="0.2">
      <c r="A30" s="725"/>
      <c r="B30" s="720"/>
      <c r="C30" s="721"/>
      <c r="D30" s="722"/>
      <c r="E30" s="722"/>
      <c r="F30" s="683"/>
      <c r="G30" s="691"/>
      <c r="H30" s="633"/>
    </row>
    <row r="31" spans="1:10" x14ac:dyDescent="0.2">
      <c r="F31" s="1051" t="s">
        <v>123</v>
      </c>
      <c r="G31" s="697">
        <f>SUM(G7:G30)</f>
        <v>0</v>
      </c>
      <c r="H31" s="697">
        <f>SUM(H7:H30)</f>
        <v>1</v>
      </c>
    </row>
    <row r="32" spans="1:10" x14ac:dyDescent="0.2">
      <c r="F32" s="689"/>
      <c r="G32" s="690"/>
      <c r="H32" s="912"/>
    </row>
    <row r="33" spans="6:8" ht="14.25" x14ac:dyDescent="0.2">
      <c r="F33" s="1153" t="s">
        <v>8</v>
      </c>
      <c r="G33" s="1154"/>
      <c r="H33" s="701">
        <f>G31-H31</f>
        <v>-1</v>
      </c>
    </row>
  </sheetData>
  <mergeCells count="3">
    <mergeCell ref="C1:H5"/>
    <mergeCell ref="J1:J3"/>
    <mergeCell ref="F33:G33"/>
  </mergeCells>
  <hyperlinks>
    <hyperlink ref="J6" location="'ANA SAYFA'!A1" display="AnaSayfa"/>
    <hyperlink ref="J1:J3" location="'ANA SAYFA'!A1" display="ANA SAYFA"/>
  </hyperlinks>
  <pageMargins left="0.7" right="0.7" top="0.75" bottom="0.75" header="0.3" footer="0.3"/>
  <pageSetup paperSize="9" scale="55" orientation="portrait"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zoomScaleNormal="100" workbookViewId="0">
      <selection activeCell="J1" sqref="J1:J3"/>
    </sheetView>
  </sheetViews>
  <sheetFormatPr defaultColWidth="9.140625" defaultRowHeight="12.75" x14ac:dyDescent="0.2"/>
  <cols>
    <col min="1" max="1" width="18.140625" style="699" bestFit="1" customWidth="1"/>
    <col min="2" max="3" width="27.7109375" style="699" bestFit="1" customWidth="1"/>
    <col min="4" max="5" width="9.28515625" style="699" bestFit="1" customWidth="1"/>
    <col min="6" max="6" width="26.28515625" style="699" bestFit="1" customWidth="1"/>
    <col min="7" max="8" width="13" style="699" customWidth="1"/>
    <col min="9" max="9" width="4.42578125" style="699" customWidth="1"/>
    <col min="10" max="10" width="12.28515625" style="699" customWidth="1"/>
    <col min="11" max="16384" width="9.140625" style="699"/>
  </cols>
  <sheetData>
    <row r="1" spans="1:10" ht="15" customHeight="1" x14ac:dyDescent="0.2">
      <c r="A1" s="669" t="s">
        <v>135</v>
      </c>
      <c r="B1" s="745" t="str">
        <f>'ANA SAYFA'!B141</f>
        <v>YAŞAR ŞENTÜRK</v>
      </c>
      <c r="C1" s="1166" t="s">
        <v>136</v>
      </c>
      <c r="D1" s="1166"/>
      <c r="E1" s="1166"/>
      <c r="F1" s="1166"/>
      <c r="G1" s="1166"/>
      <c r="H1" s="1166"/>
      <c r="I1" s="668"/>
      <c r="J1" s="1228" t="s">
        <v>712</v>
      </c>
    </row>
    <row r="2" spans="1:10" ht="15" customHeight="1" x14ac:dyDescent="0.2">
      <c r="A2" s="669" t="s">
        <v>137</v>
      </c>
      <c r="B2" s="728">
        <f>'ANA SAYFA'!D141</f>
        <v>27080444302</v>
      </c>
      <c r="C2" s="1166"/>
      <c r="D2" s="1166"/>
      <c r="E2" s="1166"/>
      <c r="F2" s="1166"/>
      <c r="G2" s="1166"/>
      <c r="H2" s="1166"/>
      <c r="I2" s="668"/>
      <c r="J2" s="1229"/>
    </row>
    <row r="3" spans="1:10" ht="15" customHeight="1" thickBot="1" x14ac:dyDescent="0.25">
      <c r="A3" s="669" t="s">
        <v>131</v>
      </c>
      <c r="B3" s="727" t="str">
        <f>'ANA SAYFA'!C141</f>
        <v>KAMYON ŞOFÖRÜ</v>
      </c>
      <c r="C3" s="1166"/>
      <c r="D3" s="1166"/>
      <c r="E3" s="1166"/>
      <c r="F3" s="1166"/>
      <c r="G3" s="1166"/>
      <c r="H3" s="1166"/>
      <c r="I3" s="668"/>
      <c r="J3" s="1230"/>
    </row>
    <row r="4" spans="1:10" ht="15" customHeight="1" x14ac:dyDescent="0.2">
      <c r="A4" s="669" t="s">
        <v>120</v>
      </c>
      <c r="B4" s="700">
        <f>'ANA SAYFA'!E141</f>
        <v>46085</v>
      </c>
      <c r="C4" s="1166"/>
      <c r="D4" s="1166"/>
      <c r="E4" s="1166"/>
      <c r="F4" s="1166"/>
      <c r="G4" s="1166"/>
      <c r="H4" s="1166"/>
      <c r="I4" s="668"/>
      <c r="J4" s="670"/>
    </row>
    <row r="5" spans="1:10" ht="15" customHeight="1" x14ac:dyDescent="0.2">
      <c r="A5" s="669" t="s">
        <v>130</v>
      </c>
      <c r="B5" s="700">
        <f>'ANA SAYFA'!F141</f>
        <v>26044</v>
      </c>
      <c r="C5" s="1166"/>
      <c r="D5" s="1166"/>
      <c r="E5" s="1166"/>
      <c r="F5" s="1166"/>
      <c r="G5" s="1166"/>
      <c r="H5" s="1166"/>
      <c r="I5" s="668"/>
    </row>
    <row r="6" spans="1:10" ht="31.5" x14ac:dyDescent="0.2">
      <c r="A6" s="1050" t="s">
        <v>0</v>
      </c>
      <c r="B6" s="694" t="s">
        <v>1</v>
      </c>
      <c r="C6" s="1050" t="s">
        <v>2</v>
      </c>
      <c r="D6" s="695" t="s">
        <v>133</v>
      </c>
      <c r="E6" s="695" t="s">
        <v>4</v>
      </c>
      <c r="F6" s="695" t="s">
        <v>7</v>
      </c>
      <c r="G6" s="695" t="s">
        <v>6</v>
      </c>
      <c r="H6" s="695" t="s">
        <v>16</v>
      </c>
      <c r="I6" s="672"/>
    </row>
    <row r="7" spans="1:10" ht="14.25" customHeight="1" x14ac:dyDescent="0.2">
      <c r="A7" s="719"/>
      <c r="B7" s="729">
        <v>46121</v>
      </c>
      <c r="C7" s="732">
        <v>46122</v>
      </c>
      <c r="D7" s="733"/>
      <c r="E7" s="733"/>
      <c r="F7" s="1032"/>
      <c r="G7" s="723"/>
      <c r="H7" s="436">
        <v>1</v>
      </c>
      <c r="I7" s="684"/>
      <c r="J7" s="670" t="s">
        <v>830</v>
      </c>
    </row>
    <row r="8" spans="1:10" ht="14.25" customHeight="1" x14ac:dyDescent="0.2">
      <c r="A8" s="719"/>
      <c r="B8" s="729">
        <v>46193</v>
      </c>
      <c r="C8" s="732">
        <v>46197</v>
      </c>
      <c r="D8" s="733"/>
      <c r="E8" s="733"/>
      <c r="F8" s="723"/>
      <c r="G8" s="723"/>
      <c r="H8" s="436">
        <v>4</v>
      </c>
      <c r="I8" s="684"/>
      <c r="J8" s="670"/>
    </row>
    <row r="9" spans="1:10" x14ac:dyDescent="0.2">
      <c r="A9" s="719"/>
      <c r="B9" s="729"/>
      <c r="C9" s="732"/>
      <c r="D9" s="733"/>
      <c r="E9" s="733"/>
      <c r="F9" s="723"/>
      <c r="G9" s="723"/>
      <c r="H9" s="756"/>
      <c r="I9" s="684"/>
      <c r="J9" s="670"/>
    </row>
    <row r="10" spans="1:10" ht="14.25" customHeight="1" x14ac:dyDescent="0.2">
      <c r="A10" s="719"/>
      <c r="B10" s="729"/>
      <c r="C10" s="732"/>
      <c r="D10" s="733"/>
      <c r="E10" s="733"/>
      <c r="F10" s="723"/>
      <c r="G10" s="723"/>
      <c r="H10" s="756"/>
      <c r="I10" s="684"/>
      <c r="J10" s="670"/>
    </row>
    <row r="11" spans="1:10" ht="14.25" customHeight="1" x14ac:dyDescent="0.2">
      <c r="A11" s="719"/>
      <c r="B11" s="1036"/>
      <c r="C11" s="1037"/>
      <c r="D11" s="868"/>
      <c r="E11" s="868"/>
      <c r="F11" s="704"/>
      <c r="G11" s="703"/>
      <c r="H11" s="223"/>
      <c r="I11" s="684"/>
      <c r="J11" s="670"/>
    </row>
    <row r="12" spans="1:10" ht="14.25" customHeight="1" x14ac:dyDescent="0.2">
      <c r="A12" s="719"/>
      <c r="B12" s="729"/>
      <c r="C12" s="732"/>
      <c r="D12" s="733"/>
      <c r="E12" s="733"/>
      <c r="F12" s="723"/>
      <c r="G12" s="723"/>
      <c r="H12" s="756"/>
      <c r="I12" s="684"/>
      <c r="J12" s="670"/>
    </row>
    <row r="13" spans="1:10" ht="14.25" customHeight="1" x14ac:dyDescent="0.2">
      <c r="A13" s="719"/>
      <c r="B13" s="1036"/>
      <c r="C13" s="1037"/>
      <c r="D13" s="868"/>
      <c r="E13" s="868"/>
      <c r="F13" s="704"/>
      <c r="G13" s="703"/>
      <c r="H13" s="223"/>
      <c r="I13" s="684"/>
      <c r="J13" s="670"/>
    </row>
    <row r="14" spans="1:10" ht="14.25" customHeight="1" x14ac:dyDescent="0.2">
      <c r="A14" s="719"/>
      <c r="B14" s="729"/>
      <c r="C14" s="732"/>
      <c r="D14" s="733"/>
      <c r="E14" s="733"/>
      <c r="F14" s="723"/>
      <c r="G14" s="723"/>
      <c r="H14" s="756"/>
      <c r="I14" s="684"/>
      <c r="J14" s="670"/>
    </row>
    <row r="15" spans="1:10" ht="14.25" customHeight="1" x14ac:dyDescent="0.2">
      <c r="A15" s="719"/>
      <c r="B15" s="729"/>
      <c r="C15" s="732"/>
      <c r="D15" s="733"/>
      <c r="E15" s="733"/>
      <c r="F15" s="723"/>
      <c r="G15" s="723"/>
      <c r="H15" s="756"/>
      <c r="I15" s="684"/>
      <c r="J15" s="670"/>
    </row>
    <row r="16" spans="1:10" ht="14.25" customHeight="1" x14ac:dyDescent="0.2">
      <c r="A16" s="719"/>
      <c r="B16" s="729"/>
      <c r="C16" s="732"/>
      <c r="D16" s="733"/>
      <c r="E16" s="733"/>
      <c r="F16" s="723"/>
      <c r="G16" s="723"/>
      <c r="H16" s="756"/>
      <c r="I16" s="684"/>
      <c r="J16" s="670"/>
    </row>
    <row r="17" spans="1:10" ht="14.25" customHeight="1" x14ac:dyDescent="0.2">
      <c r="A17" s="724"/>
      <c r="B17" s="729"/>
      <c r="C17" s="732"/>
      <c r="D17" s="733"/>
      <c r="E17" s="733"/>
      <c r="F17" s="723"/>
      <c r="G17" s="723"/>
      <c r="H17" s="756"/>
      <c r="I17" s="684"/>
      <c r="J17" s="670"/>
    </row>
    <row r="18" spans="1:10" ht="14.25" customHeight="1" x14ac:dyDescent="0.2">
      <c r="A18" s="724"/>
      <c r="B18" s="760"/>
      <c r="C18" s="761"/>
      <c r="D18" s="762"/>
      <c r="E18" s="762"/>
      <c r="F18" s="723"/>
      <c r="G18" s="723"/>
      <c r="H18" s="757"/>
      <c r="I18" s="684"/>
      <c r="J18" s="670"/>
    </row>
    <row r="19" spans="1:10" ht="14.25" customHeight="1" x14ac:dyDescent="0.2">
      <c r="A19" s="753"/>
      <c r="B19" s="760"/>
      <c r="C19" s="761"/>
      <c r="D19" s="762"/>
      <c r="E19" s="762"/>
      <c r="F19" s="723"/>
      <c r="G19" s="723"/>
      <c r="H19" s="756"/>
      <c r="I19" s="684"/>
      <c r="J19" s="670"/>
    </row>
    <row r="20" spans="1:10" ht="14.25" customHeight="1" x14ac:dyDescent="0.2">
      <c r="A20" s="753"/>
      <c r="B20" s="760"/>
      <c r="C20" s="761"/>
      <c r="D20" s="762"/>
      <c r="E20" s="762"/>
      <c r="F20" s="723"/>
      <c r="G20" s="723"/>
      <c r="H20" s="754"/>
      <c r="I20" s="684"/>
      <c r="J20" s="670"/>
    </row>
    <row r="21" spans="1:10" ht="14.25" customHeight="1" x14ac:dyDescent="0.2">
      <c r="A21" s="725"/>
      <c r="B21" s="760"/>
      <c r="C21" s="761"/>
      <c r="D21" s="762"/>
      <c r="E21" s="762"/>
      <c r="F21" s="723"/>
      <c r="G21" s="723"/>
      <c r="H21" s="756"/>
      <c r="I21" s="684"/>
      <c r="J21" s="670"/>
    </row>
    <row r="22" spans="1:10" ht="14.25" customHeight="1" x14ac:dyDescent="0.2">
      <c r="A22" s="685"/>
      <c r="B22" s="720"/>
      <c r="C22" s="721"/>
      <c r="D22" s="722"/>
      <c r="E22" s="722"/>
      <c r="F22" s="698"/>
      <c r="G22" s="1049"/>
      <c r="H22" s="754"/>
    </row>
    <row r="23" spans="1:10" ht="14.25" customHeight="1" x14ac:dyDescent="0.2">
      <c r="A23" s="685"/>
      <c r="B23" s="720"/>
      <c r="C23" s="721"/>
      <c r="D23" s="722"/>
      <c r="E23" s="722"/>
      <c r="F23" s="698"/>
      <c r="G23" s="1049"/>
      <c r="H23" s="754"/>
    </row>
    <row r="24" spans="1:10" ht="14.25" customHeight="1" x14ac:dyDescent="0.2">
      <c r="A24" s="725"/>
      <c r="B24" s="720"/>
      <c r="C24" s="721"/>
      <c r="D24" s="722"/>
      <c r="E24" s="722"/>
      <c r="F24" s="718"/>
      <c r="G24" s="723"/>
      <c r="H24" s="757"/>
    </row>
    <row r="25" spans="1:10" ht="14.25" customHeight="1" x14ac:dyDescent="0.2">
      <c r="A25" s="725"/>
      <c r="B25" s="720"/>
      <c r="C25" s="721"/>
      <c r="D25" s="722"/>
      <c r="E25" s="722"/>
      <c r="F25" s="683"/>
      <c r="G25" s="691"/>
      <c r="H25" s="757"/>
    </row>
    <row r="26" spans="1:10" ht="14.25" customHeight="1" x14ac:dyDescent="0.2">
      <c r="A26" s="725"/>
      <c r="B26" s="720"/>
      <c r="C26" s="721"/>
      <c r="D26" s="722"/>
      <c r="E26" s="722"/>
      <c r="F26" s="683"/>
      <c r="G26" s="691"/>
      <c r="H26" s="757"/>
    </row>
    <row r="27" spans="1:10" ht="14.25" customHeight="1" x14ac:dyDescent="0.2">
      <c r="A27" s="725"/>
      <c r="B27" s="720"/>
      <c r="C27" s="721"/>
      <c r="D27" s="722"/>
      <c r="E27" s="722"/>
      <c r="F27" s="683"/>
      <c r="G27" s="691"/>
      <c r="H27" s="757"/>
    </row>
    <row r="28" spans="1:10" ht="14.25" customHeight="1" x14ac:dyDescent="0.2">
      <c r="A28" s="725"/>
      <c r="B28" s="720"/>
      <c r="C28" s="721"/>
      <c r="D28" s="722"/>
      <c r="E28" s="722"/>
      <c r="F28" s="683"/>
      <c r="G28" s="691"/>
      <c r="H28" s="633"/>
    </row>
    <row r="29" spans="1:10" ht="14.25" customHeight="1" x14ac:dyDescent="0.2">
      <c r="A29" s="725"/>
      <c r="B29" s="720"/>
      <c r="C29" s="721"/>
      <c r="D29" s="722"/>
      <c r="E29" s="722"/>
      <c r="F29" s="683"/>
      <c r="G29" s="691"/>
      <c r="H29" s="633"/>
    </row>
    <row r="30" spans="1:10" ht="14.25" customHeight="1" x14ac:dyDescent="0.2">
      <c r="A30" s="725"/>
      <c r="B30" s="720"/>
      <c r="C30" s="721"/>
      <c r="D30" s="722"/>
      <c r="E30" s="722"/>
      <c r="F30" s="683"/>
      <c r="G30" s="691"/>
      <c r="H30" s="633"/>
    </row>
    <row r="31" spans="1:10" x14ac:dyDescent="0.2">
      <c r="F31" s="1051" t="s">
        <v>123</v>
      </c>
      <c r="G31" s="697">
        <f>SUM(G7:G30)</f>
        <v>0</v>
      </c>
      <c r="H31" s="697">
        <f>SUM(H7:H30)</f>
        <v>5</v>
      </c>
    </row>
    <row r="32" spans="1:10" x14ac:dyDescent="0.2">
      <c r="F32" s="689"/>
      <c r="G32" s="690"/>
      <c r="H32" s="912"/>
    </row>
    <row r="33" spans="6:8" ht="14.25" x14ac:dyDescent="0.2">
      <c r="F33" s="1153" t="s">
        <v>8</v>
      </c>
      <c r="G33" s="1154"/>
      <c r="H33" s="701">
        <f>G31-H31</f>
        <v>-5</v>
      </c>
    </row>
  </sheetData>
  <mergeCells count="3">
    <mergeCell ref="C1:H5"/>
    <mergeCell ref="J1:J3"/>
    <mergeCell ref="F33:G33"/>
  </mergeCells>
  <hyperlinks>
    <hyperlink ref="J6" location="'ANA SAYFA'!A1" display="AnaSayfa"/>
    <hyperlink ref="J1:J3" location="'ANA SAYFA'!A1" display="ANA SAYFA"/>
  </hyperlinks>
  <pageMargins left="0.7" right="0.7" top="0.75" bottom="0.75" header="0.3" footer="0.3"/>
  <pageSetup paperSize="9" scale="55" orientation="portrait"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zoomScaleNormal="100" workbookViewId="0">
      <selection activeCell="J1" sqref="J1:J3"/>
    </sheetView>
  </sheetViews>
  <sheetFormatPr defaultColWidth="9.140625" defaultRowHeight="12.75" x14ac:dyDescent="0.2"/>
  <cols>
    <col min="1" max="1" width="18.140625" style="699" bestFit="1" customWidth="1"/>
    <col min="2" max="3" width="27.7109375" style="699" bestFit="1" customWidth="1"/>
    <col min="4" max="5" width="9.28515625" style="699" bestFit="1" customWidth="1"/>
    <col min="6" max="6" width="26.28515625" style="699" bestFit="1" customWidth="1"/>
    <col min="7" max="8" width="13" style="699" customWidth="1"/>
    <col min="9" max="9" width="4.42578125" style="699" customWidth="1"/>
    <col min="10" max="10" width="12.28515625" style="699" customWidth="1"/>
    <col min="11" max="16384" width="9.140625" style="699"/>
  </cols>
  <sheetData>
    <row r="1" spans="1:10" ht="15" customHeight="1" x14ac:dyDescent="0.2">
      <c r="A1" s="669" t="s">
        <v>135</v>
      </c>
      <c r="B1" s="745" t="str">
        <f>'ANA SAYFA'!B142</f>
        <v>RIFAT AYDIN</v>
      </c>
      <c r="C1" s="1166" t="s">
        <v>136</v>
      </c>
      <c r="D1" s="1166"/>
      <c r="E1" s="1166"/>
      <c r="F1" s="1166"/>
      <c r="G1" s="1166"/>
      <c r="H1" s="1166"/>
      <c r="I1" s="668"/>
      <c r="J1" s="1228" t="s">
        <v>712</v>
      </c>
    </row>
    <row r="2" spans="1:10" ht="15" customHeight="1" x14ac:dyDescent="0.2">
      <c r="A2" s="669" t="s">
        <v>137</v>
      </c>
      <c r="B2" s="728">
        <f>'ANA SAYFA'!D142</f>
        <v>22655206446</v>
      </c>
      <c r="C2" s="1166"/>
      <c r="D2" s="1166"/>
      <c r="E2" s="1166"/>
      <c r="F2" s="1166"/>
      <c r="G2" s="1166"/>
      <c r="H2" s="1166"/>
      <c r="I2" s="668"/>
      <c r="J2" s="1229"/>
    </row>
    <row r="3" spans="1:10" ht="15" customHeight="1" thickBot="1" x14ac:dyDescent="0.25">
      <c r="A3" s="669" t="s">
        <v>131</v>
      </c>
      <c r="B3" s="727" t="str">
        <f>'ANA SAYFA'!C142</f>
        <v>FORMEN</v>
      </c>
      <c r="C3" s="1166"/>
      <c r="D3" s="1166"/>
      <c r="E3" s="1166"/>
      <c r="F3" s="1166"/>
      <c r="G3" s="1166"/>
      <c r="H3" s="1166"/>
      <c r="I3" s="668"/>
      <c r="J3" s="1230"/>
    </row>
    <row r="4" spans="1:10" ht="15" customHeight="1" x14ac:dyDescent="0.2">
      <c r="A4" s="669" t="s">
        <v>120</v>
      </c>
      <c r="B4" s="700">
        <f>'ANA SAYFA'!E142</f>
        <v>45866</v>
      </c>
      <c r="C4" s="1166"/>
      <c r="D4" s="1166"/>
      <c r="E4" s="1166"/>
      <c r="F4" s="1166"/>
      <c r="G4" s="1166"/>
      <c r="H4" s="1166"/>
      <c r="I4" s="668"/>
      <c r="J4" s="670"/>
    </row>
    <row r="5" spans="1:10" ht="15" customHeight="1" x14ac:dyDescent="0.2">
      <c r="A5" s="669" t="s">
        <v>130</v>
      </c>
      <c r="B5" s="700">
        <f>'ANA SAYFA'!F142</f>
        <v>26653</v>
      </c>
      <c r="C5" s="1166"/>
      <c r="D5" s="1166"/>
      <c r="E5" s="1166"/>
      <c r="F5" s="1166"/>
      <c r="G5" s="1166"/>
      <c r="H5" s="1166"/>
      <c r="I5" s="668"/>
    </row>
    <row r="6" spans="1:10" ht="31.5" x14ac:dyDescent="0.2">
      <c r="A6" s="1050" t="s">
        <v>0</v>
      </c>
      <c r="B6" s="694" t="s">
        <v>1</v>
      </c>
      <c r="C6" s="1050" t="s">
        <v>2</v>
      </c>
      <c r="D6" s="695" t="s">
        <v>133</v>
      </c>
      <c r="E6" s="695" t="s">
        <v>4</v>
      </c>
      <c r="F6" s="695" t="s">
        <v>7</v>
      </c>
      <c r="G6" s="695" t="s">
        <v>6</v>
      </c>
      <c r="H6" s="695" t="s">
        <v>16</v>
      </c>
      <c r="I6" s="672"/>
    </row>
    <row r="7" spans="1:10" ht="14.25" customHeight="1" x14ac:dyDescent="0.2">
      <c r="A7" s="719"/>
      <c r="B7" s="729">
        <v>46198</v>
      </c>
      <c r="C7" s="732">
        <v>46199</v>
      </c>
      <c r="D7" s="733"/>
      <c r="E7" s="733"/>
      <c r="F7" s="1032"/>
      <c r="G7" s="723"/>
      <c r="H7" s="436">
        <v>1</v>
      </c>
      <c r="I7" s="684"/>
      <c r="J7" s="670"/>
    </row>
    <row r="8" spans="1:10" ht="14.25" customHeight="1" x14ac:dyDescent="0.2">
      <c r="A8" s="719"/>
      <c r="B8" s="729">
        <v>46199</v>
      </c>
      <c r="C8" s="732">
        <v>46200</v>
      </c>
      <c r="D8" s="733"/>
      <c r="E8" s="733"/>
      <c r="F8" s="723"/>
      <c r="G8" s="723"/>
      <c r="H8" s="436">
        <v>1</v>
      </c>
      <c r="I8" s="684"/>
      <c r="J8" s="670"/>
    </row>
    <row r="9" spans="1:10" x14ac:dyDescent="0.2">
      <c r="A9" s="719"/>
      <c r="B9" s="729"/>
      <c r="C9" s="732"/>
      <c r="D9" s="733"/>
      <c r="E9" s="733"/>
      <c r="F9" s="723"/>
      <c r="G9" s="723"/>
      <c r="H9" s="756"/>
      <c r="I9" s="684"/>
      <c r="J9" s="670"/>
    </row>
    <row r="10" spans="1:10" ht="14.25" customHeight="1" x14ac:dyDescent="0.2">
      <c r="A10" s="719"/>
      <c r="B10" s="729"/>
      <c r="C10" s="732"/>
      <c r="D10" s="733"/>
      <c r="E10" s="733"/>
      <c r="F10" s="723"/>
      <c r="G10" s="723"/>
      <c r="H10" s="756"/>
      <c r="I10" s="684"/>
      <c r="J10" s="670"/>
    </row>
    <row r="11" spans="1:10" ht="14.25" customHeight="1" x14ac:dyDescent="0.2">
      <c r="A11" s="719"/>
      <c r="B11" s="1036"/>
      <c r="C11" s="1037"/>
      <c r="D11" s="868"/>
      <c r="E11" s="868"/>
      <c r="F11" s="704"/>
      <c r="G11" s="703"/>
      <c r="H11" s="223"/>
      <c r="I11" s="684"/>
      <c r="J11" s="670"/>
    </row>
    <row r="12" spans="1:10" ht="14.25" customHeight="1" x14ac:dyDescent="0.2">
      <c r="A12" s="719"/>
      <c r="B12" s="729"/>
      <c r="C12" s="732"/>
      <c r="D12" s="733"/>
      <c r="E12" s="733"/>
      <c r="F12" s="723"/>
      <c r="G12" s="723"/>
      <c r="H12" s="756"/>
      <c r="I12" s="684"/>
      <c r="J12" s="670"/>
    </row>
    <row r="13" spans="1:10" ht="14.25" customHeight="1" x14ac:dyDescent="0.2">
      <c r="A13" s="719"/>
      <c r="B13" s="1036"/>
      <c r="C13" s="1037"/>
      <c r="D13" s="868"/>
      <c r="E13" s="868"/>
      <c r="F13" s="704"/>
      <c r="G13" s="703"/>
      <c r="H13" s="223"/>
      <c r="I13" s="684"/>
      <c r="J13" s="670"/>
    </row>
    <row r="14" spans="1:10" ht="14.25" customHeight="1" x14ac:dyDescent="0.2">
      <c r="A14" s="719"/>
      <c r="B14" s="729"/>
      <c r="C14" s="732"/>
      <c r="D14" s="733"/>
      <c r="E14" s="733"/>
      <c r="F14" s="723"/>
      <c r="G14" s="723"/>
      <c r="H14" s="756"/>
      <c r="I14" s="684"/>
      <c r="J14" s="670"/>
    </row>
    <row r="15" spans="1:10" ht="14.25" customHeight="1" x14ac:dyDescent="0.2">
      <c r="A15" s="719"/>
      <c r="B15" s="729"/>
      <c r="C15" s="732"/>
      <c r="D15" s="733"/>
      <c r="E15" s="733"/>
      <c r="F15" s="723"/>
      <c r="G15" s="723"/>
      <c r="H15" s="756"/>
      <c r="I15" s="684"/>
      <c r="J15" s="670"/>
    </row>
    <row r="16" spans="1:10" ht="14.25" customHeight="1" x14ac:dyDescent="0.2">
      <c r="A16" s="719"/>
      <c r="B16" s="729"/>
      <c r="C16" s="732"/>
      <c r="D16" s="733"/>
      <c r="E16" s="733"/>
      <c r="F16" s="723"/>
      <c r="G16" s="723"/>
      <c r="H16" s="756"/>
      <c r="I16" s="684"/>
      <c r="J16" s="670"/>
    </row>
    <row r="17" spans="1:10" ht="14.25" customHeight="1" x14ac:dyDescent="0.2">
      <c r="A17" s="724"/>
      <c r="B17" s="729"/>
      <c r="C17" s="732"/>
      <c r="D17" s="733"/>
      <c r="E17" s="733"/>
      <c r="F17" s="723"/>
      <c r="G17" s="723"/>
      <c r="H17" s="756"/>
      <c r="I17" s="684"/>
      <c r="J17" s="670"/>
    </row>
    <row r="18" spans="1:10" ht="14.25" customHeight="1" x14ac:dyDescent="0.2">
      <c r="A18" s="724"/>
      <c r="B18" s="760"/>
      <c r="C18" s="761"/>
      <c r="D18" s="762"/>
      <c r="E18" s="762"/>
      <c r="F18" s="723"/>
      <c r="G18" s="723"/>
      <c r="H18" s="757"/>
      <c r="I18" s="684"/>
      <c r="J18" s="670"/>
    </row>
    <row r="19" spans="1:10" ht="14.25" customHeight="1" x14ac:dyDescent="0.2">
      <c r="A19" s="753"/>
      <c r="B19" s="760"/>
      <c r="C19" s="761"/>
      <c r="D19" s="762"/>
      <c r="E19" s="762"/>
      <c r="F19" s="723"/>
      <c r="G19" s="723"/>
      <c r="H19" s="756"/>
      <c r="I19" s="684"/>
      <c r="J19" s="670"/>
    </row>
    <row r="20" spans="1:10" ht="14.25" customHeight="1" x14ac:dyDescent="0.2">
      <c r="A20" s="753"/>
      <c r="B20" s="760"/>
      <c r="C20" s="761"/>
      <c r="D20" s="762"/>
      <c r="E20" s="762"/>
      <c r="F20" s="723"/>
      <c r="G20" s="723"/>
      <c r="H20" s="754"/>
      <c r="I20" s="684"/>
      <c r="J20" s="670"/>
    </row>
    <row r="21" spans="1:10" ht="14.25" customHeight="1" x14ac:dyDescent="0.2">
      <c r="A21" s="725"/>
      <c r="B21" s="760"/>
      <c r="C21" s="761"/>
      <c r="D21" s="762"/>
      <c r="E21" s="762"/>
      <c r="F21" s="723"/>
      <c r="G21" s="723"/>
      <c r="H21" s="756"/>
      <c r="I21" s="684"/>
      <c r="J21" s="670"/>
    </row>
    <row r="22" spans="1:10" ht="14.25" customHeight="1" x14ac:dyDescent="0.2">
      <c r="A22" s="685"/>
      <c r="B22" s="720"/>
      <c r="C22" s="721"/>
      <c r="D22" s="722"/>
      <c r="E22" s="722"/>
      <c r="F22" s="698"/>
      <c r="G22" s="1049"/>
      <c r="H22" s="754"/>
    </row>
    <row r="23" spans="1:10" ht="14.25" customHeight="1" x14ac:dyDescent="0.2">
      <c r="A23" s="685"/>
      <c r="B23" s="720"/>
      <c r="C23" s="721"/>
      <c r="D23" s="722"/>
      <c r="E23" s="722"/>
      <c r="F23" s="698"/>
      <c r="G23" s="1049"/>
      <c r="H23" s="754"/>
    </row>
    <row r="24" spans="1:10" ht="14.25" customHeight="1" x14ac:dyDescent="0.2">
      <c r="A24" s="725"/>
      <c r="B24" s="720"/>
      <c r="C24" s="721"/>
      <c r="D24" s="722"/>
      <c r="E24" s="722"/>
      <c r="F24" s="718"/>
      <c r="G24" s="723"/>
      <c r="H24" s="757"/>
    </row>
    <row r="25" spans="1:10" ht="14.25" customHeight="1" x14ac:dyDescent="0.2">
      <c r="A25" s="725"/>
      <c r="B25" s="720"/>
      <c r="C25" s="721"/>
      <c r="D25" s="722"/>
      <c r="E25" s="722"/>
      <c r="F25" s="683"/>
      <c r="G25" s="691"/>
      <c r="H25" s="757"/>
    </row>
    <row r="26" spans="1:10" ht="14.25" customHeight="1" x14ac:dyDescent="0.2">
      <c r="A26" s="725"/>
      <c r="B26" s="720"/>
      <c r="C26" s="721"/>
      <c r="D26" s="722"/>
      <c r="E26" s="722"/>
      <c r="F26" s="683"/>
      <c r="G26" s="691"/>
      <c r="H26" s="757"/>
    </row>
    <row r="27" spans="1:10" ht="14.25" customHeight="1" x14ac:dyDescent="0.2">
      <c r="A27" s="725"/>
      <c r="B27" s="720"/>
      <c r="C27" s="721"/>
      <c r="D27" s="722"/>
      <c r="E27" s="722"/>
      <c r="F27" s="683"/>
      <c r="G27" s="691"/>
      <c r="H27" s="757"/>
    </row>
    <row r="28" spans="1:10" ht="14.25" customHeight="1" x14ac:dyDescent="0.2">
      <c r="A28" s="725"/>
      <c r="B28" s="720"/>
      <c r="C28" s="721"/>
      <c r="D28" s="722"/>
      <c r="E28" s="722"/>
      <c r="F28" s="683"/>
      <c r="G28" s="691"/>
      <c r="H28" s="633"/>
    </row>
    <row r="29" spans="1:10" ht="14.25" customHeight="1" x14ac:dyDescent="0.2">
      <c r="A29" s="725"/>
      <c r="B29" s="720"/>
      <c r="C29" s="721"/>
      <c r="D29" s="722"/>
      <c r="E29" s="722"/>
      <c r="F29" s="683"/>
      <c r="G29" s="691"/>
      <c r="H29" s="633"/>
    </row>
    <row r="30" spans="1:10" ht="14.25" customHeight="1" x14ac:dyDescent="0.2">
      <c r="A30" s="725"/>
      <c r="B30" s="720"/>
      <c r="C30" s="721"/>
      <c r="D30" s="722"/>
      <c r="E30" s="722"/>
      <c r="F30" s="683"/>
      <c r="G30" s="691"/>
      <c r="H30" s="633"/>
    </row>
    <row r="31" spans="1:10" x14ac:dyDescent="0.2">
      <c r="F31" s="1051" t="s">
        <v>123</v>
      </c>
      <c r="G31" s="697">
        <f>SUM(G7:G30)</f>
        <v>0</v>
      </c>
      <c r="H31" s="697">
        <f>SUM(H7:H30)</f>
        <v>2</v>
      </c>
    </row>
    <row r="32" spans="1:10" x14ac:dyDescent="0.2">
      <c r="F32" s="689"/>
      <c r="G32" s="690"/>
      <c r="H32" s="912"/>
    </row>
    <row r="33" spans="6:8" ht="14.25" x14ac:dyDescent="0.2">
      <c r="F33" s="1153" t="s">
        <v>8</v>
      </c>
      <c r="G33" s="1154"/>
      <c r="H33" s="701">
        <f>G31-H31</f>
        <v>-2</v>
      </c>
    </row>
  </sheetData>
  <mergeCells count="3">
    <mergeCell ref="C1:H5"/>
    <mergeCell ref="J1:J3"/>
    <mergeCell ref="F33:G33"/>
  </mergeCells>
  <hyperlinks>
    <hyperlink ref="J6" location="'ANA SAYFA'!A1" display="AnaSayfa"/>
    <hyperlink ref="J1:J3" location="'ANA SAYFA'!A1" display="ANA SAYFA"/>
  </hyperlinks>
  <pageMargins left="0.7" right="0.7" top="0.75" bottom="0.75" header="0.3" footer="0.3"/>
  <pageSetup paperSize="9" scale="55" orientation="portrait"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zoomScaleNormal="100" workbookViewId="0"/>
  </sheetViews>
  <sheetFormatPr defaultColWidth="9.140625" defaultRowHeight="12.75" x14ac:dyDescent="0.2"/>
  <cols>
    <col min="1" max="1" width="18.140625" style="699" bestFit="1" customWidth="1"/>
    <col min="2" max="3" width="27.7109375" style="699" bestFit="1" customWidth="1"/>
    <col min="4" max="5" width="9.28515625" style="699" bestFit="1" customWidth="1"/>
    <col min="6" max="6" width="26.28515625" style="699" bestFit="1" customWidth="1"/>
    <col min="7" max="8" width="13" style="699" customWidth="1"/>
    <col min="9" max="9" width="4.42578125" style="699" customWidth="1"/>
    <col min="10" max="10" width="12.28515625" style="699" customWidth="1"/>
    <col min="11" max="16384" width="9.140625" style="699"/>
  </cols>
  <sheetData>
    <row r="1" spans="1:10" ht="15" customHeight="1" x14ac:dyDescent="0.2">
      <c r="A1" s="669" t="s">
        <v>135</v>
      </c>
      <c r="B1" s="745" t="str">
        <f>'ANA SAYFA'!B143</f>
        <v>EROL TORUK</v>
      </c>
      <c r="C1" s="1166" t="s">
        <v>136</v>
      </c>
      <c r="D1" s="1166"/>
      <c r="E1" s="1166"/>
      <c r="F1" s="1166"/>
      <c r="G1" s="1166"/>
      <c r="H1" s="1166"/>
      <c r="I1" s="668"/>
      <c r="J1" s="1228" t="s">
        <v>712</v>
      </c>
    </row>
    <row r="2" spans="1:10" ht="15" customHeight="1" x14ac:dyDescent="0.2">
      <c r="A2" s="669" t="s">
        <v>137</v>
      </c>
      <c r="B2" s="728">
        <f>'ANA SAYFA'!D143</f>
        <v>29266710362</v>
      </c>
      <c r="C2" s="1166"/>
      <c r="D2" s="1166"/>
      <c r="E2" s="1166"/>
      <c r="F2" s="1166"/>
      <c r="G2" s="1166"/>
      <c r="H2" s="1166"/>
      <c r="I2" s="668"/>
      <c r="J2" s="1229"/>
    </row>
    <row r="3" spans="1:10" ht="15" customHeight="1" thickBot="1" x14ac:dyDescent="0.25">
      <c r="A3" s="669" t="s">
        <v>131</v>
      </c>
      <c r="B3" s="727" t="str">
        <f>'ANA SAYFA'!C143</f>
        <v>KAMYON ŞOFÖRÜ</v>
      </c>
      <c r="C3" s="1166"/>
      <c r="D3" s="1166"/>
      <c r="E3" s="1166"/>
      <c r="F3" s="1166"/>
      <c r="G3" s="1166"/>
      <c r="H3" s="1166"/>
      <c r="I3" s="668"/>
      <c r="J3" s="1230"/>
    </row>
    <row r="4" spans="1:10" ht="15" customHeight="1" x14ac:dyDescent="0.2">
      <c r="A4" s="669" t="s">
        <v>120</v>
      </c>
      <c r="B4" s="700">
        <f>'ANA SAYFA'!E143</f>
        <v>45345</v>
      </c>
      <c r="C4" s="1166"/>
      <c r="D4" s="1166"/>
      <c r="E4" s="1166"/>
      <c r="F4" s="1166"/>
      <c r="G4" s="1166"/>
      <c r="H4" s="1166"/>
      <c r="I4" s="668"/>
      <c r="J4" s="670"/>
    </row>
    <row r="5" spans="1:10" ht="15" customHeight="1" x14ac:dyDescent="0.2">
      <c r="A5" s="669" t="s">
        <v>130</v>
      </c>
      <c r="B5" s="700">
        <f>'ANA SAYFA'!F143</f>
        <v>27454</v>
      </c>
      <c r="C5" s="1166"/>
      <c r="D5" s="1166"/>
      <c r="E5" s="1166"/>
      <c r="F5" s="1166"/>
      <c r="G5" s="1166"/>
      <c r="H5" s="1166"/>
      <c r="I5" s="668"/>
    </row>
    <row r="6" spans="1:10" ht="31.5" x14ac:dyDescent="0.2">
      <c r="A6" s="1050" t="s">
        <v>0</v>
      </c>
      <c r="B6" s="694" t="s">
        <v>1</v>
      </c>
      <c r="C6" s="1050" t="s">
        <v>2</v>
      </c>
      <c r="D6" s="695" t="s">
        <v>133</v>
      </c>
      <c r="E6" s="695" t="s">
        <v>4</v>
      </c>
      <c r="F6" s="695" t="s">
        <v>7</v>
      </c>
      <c r="G6" s="695" t="s">
        <v>6</v>
      </c>
      <c r="H6" s="695" t="s">
        <v>16</v>
      </c>
      <c r="I6" s="672"/>
    </row>
    <row r="7" spans="1:10" ht="14.25" customHeight="1" x14ac:dyDescent="0.2">
      <c r="A7" s="719"/>
      <c r="B7" s="729">
        <v>46132</v>
      </c>
      <c r="C7" s="732">
        <v>46134</v>
      </c>
      <c r="D7" s="733"/>
      <c r="E7" s="733"/>
      <c r="F7" s="1032"/>
      <c r="G7" s="723"/>
      <c r="H7" s="436">
        <v>2</v>
      </c>
      <c r="I7" s="684"/>
      <c r="J7" s="670" t="s">
        <v>830</v>
      </c>
    </row>
    <row r="8" spans="1:10" ht="14.25" customHeight="1" x14ac:dyDescent="0.2">
      <c r="A8" s="719"/>
      <c r="B8" s="729"/>
      <c r="C8" s="732"/>
      <c r="D8" s="733"/>
      <c r="E8" s="733"/>
      <c r="F8" s="723"/>
      <c r="G8" s="723"/>
      <c r="H8" s="436"/>
      <c r="I8" s="684"/>
      <c r="J8" s="670"/>
    </row>
    <row r="9" spans="1:10" x14ac:dyDescent="0.2">
      <c r="A9" s="719"/>
      <c r="B9" s="729"/>
      <c r="C9" s="732"/>
      <c r="D9" s="733"/>
      <c r="E9" s="733"/>
      <c r="F9" s="723"/>
      <c r="G9" s="723"/>
      <c r="H9" s="756"/>
      <c r="I9" s="684"/>
      <c r="J9" s="670"/>
    </row>
    <row r="10" spans="1:10" ht="14.25" customHeight="1" x14ac:dyDescent="0.2">
      <c r="A10" s="719"/>
      <c r="B10" s="729"/>
      <c r="C10" s="732"/>
      <c r="D10" s="733"/>
      <c r="E10" s="733"/>
      <c r="F10" s="723"/>
      <c r="G10" s="723"/>
      <c r="H10" s="756"/>
      <c r="I10" s="684"/>
      <c r="J10" s="670"/>
    </row>
    <row r="11" spans="1:10" ht="14.25" customHeight="1" x14ac:dyDescent="0.2">
      <c r="A11" s="719"/>
      <c r="B11" s="1036"/>
      <c r="C11" s="1037"/>
      <c r="D11" s="868"/>
      <c r="E11" s="868"/>
      <c r="F11" s="704"/>
      <c r="G11" s="703"/>
      <c r="H11" s="223"/>
      <c r="I11" s="684"/>
      <c r="J11" s="670"/>
    </row>
    <row r="12" spans="1:10" ht="14.25" customHeight="1" x14ac:dyDescent="0.2">
      <c r="A12" s="719"/>
      <c r="B12" s="729"/>
      <c r="C12" s="732"/>
      <c r="D12" s="733"/>
      <c r="E12" s="733"/>
      <c r="F12" s="723"/>
      <c r="G12" s="723"/>
      <c r="H12" s="756"/>
      <c r="I12" s="684"/>
      <c r="J12" s="670"/>
    </row>
    <row r="13" spans="1:10" ht="14.25" customHeight="1" x14ac:dyDescent="0.2">
      <c r="A13" s="719"/>
      <c r="B13" s="1036"/>
      <c r="C13" s="1037"/>
      <c r="D13" s="868"/>
      <c r="E13" s="868"/>
      <c r="F13" s="704"/>
      <c r="G13" s="703"/>
      <c r="H13" s="223"/>
      <c r="I13" s="684"/>
      <c r="J13" s="670"/>
    </row>
    <row r="14" spans="1:10" ht="14.25" customHeight="1" x14ac:dyDescent="0.2">
      <c r="A14" s="719"/>
      <c r="B14" s="729"/>
      <c r="C14" s="732"/>
      <c r="D14" s="733"/>
      <c r="E14" s="733"/>
      <c r="F14" s="723"/>
      <c r="G14" s="723"/>
      <c r="H14" s="756"/>
      <c r="I14" s="684"/>
      <c r="J14" s="670"/>
    </row>
    <row r="15" spans="1:10" ht="14.25" customHeight="1" x14ac:dyDescent="0.2">
      <c r="A15" s="719"/>
      <c r="B15" s="729"/>
      <c r="C15" s="732"/>
      <c r="D15" s="733"/>
      <c r="E15" s="733"/>
      <c r="F15" s="723"/>
      <c r="G15" s="723"/>
      <c r="H15" s="756"/>
      <c r="I15" s="684"/>
      <c r="J15" s="670"/>
    </row>
    <row r="16" spans="1:10" ht="14.25" customHeight="1" x14ac:dyDescent="0.2">
      <c r="A16" s="719"/>
      <c r="B16" s="729"/>
      <c r="C16" s="732"/>
      <c r="D16" s="733"/>
      <c r="E16" s="733"/>
      <c r="F16" s="723"/>
      <c r="G16" s="723"/>
      <c r="H16" s="756"/>
      <c r="I16" s="684"/>
      <c r="J16" s="670"/>
    </row>
    <row r="17" spans="1:10" ht="14.25" customHeight="1" x14ac:dyDescent="0.2">
      <c r="A17" s="724"/>
      <c r="B17" s="729"/>
      <c r="C17" s="732"/>
      <c r="D17" s="733"/>
      <c r="E17" s="733"/>
      <c r="F17" s="723"/>
      <c r="G17" s="723"/>
      <c r="H17" s="756"/>
      <c r="I17" s="684"/>
      <c r="J17" s="670"/>
    </row>
    <row r="18" spans="1:10" ht="14.25" customHeight="1" x14ac:dyDescent="0.2">
      <c r="A18" s="724"/>
      <c r="B18" s="760"/>
      <c r="C18" s="761"/>
      <c r="D18" s="762"/>
      <c r="E18" s="762"/>
      <c r="F18" s="723"/>
      <c r="G18" s="723"/>
      <c r="H18" s="757"/>
      <c r="I18" s="684"/>
      <c r="J18" s="670"/>
    </row>
    <row r="19" spans="1:10" ht="14.25" customHeight="1" x14ac:dyDescent="0.2">
      <c r="A19" s="753"/>
      <c r="B19" s="760"/>
      <c r="C19" s="761"/>
      <c r="D19" s="762"/>
      <c r="E19" s="762"/>
      <c r="F19" s="723"/>
      <c r="G19" s="723"/>
      <c r="H19" s="756"/>
      <c r="I19" s="684"/>
      <c r="J19" s="670"/>
    </row>
    <row r="20" spans="1:10" ht="14.25" customHeight="1" x14ac:dyDescent="0.2">
      <c r="A20" s="753"/>
      <c r="B20" s="760"/>
      <c r="C20" s="761"/>
      <c r="D20" s="762"/>
      <c r="E20" s="762"/>
      <c r="F20" s="723"/>
      <c r="G20" s="723"/>
      <c r="H20" s="754"/>
      <c r="I20" s="684"/>
      <c r="J20" s="670"/>
    </row>
    <row r="21" spans="1:10" ht="14.25" customHeight="1" x14ac:dyDescent="0.2">
      <c r="A21" s="725"/>
      <c r="B21" s="760"/>
      <c r="C21" s="761"/>
      <c r="D21" s="762"/>
      <c r="E21" s="762"/>
      <c r="F21" s="723"/>
      <c r="G21" s="723"/>
      <c r="H21" s="756"/>
      <c r="I21" s="684"/>
      <c r="J21" s="670"/>
    </row>
    <row r="22" spans="1:10" ht="14.25" customHeight="1" x14ac:dyDescent="0.2">
      <c r="A22" s="685"/>
      <c r="B22" s="720"/>
      <c r="C22" s="721"/>
      <c r="D22" s="722"/>
      <c r="E22" s="722"/>
      <c r="F22" s="698"/>
      <c r="G22" s="1049"/>
      <c r="H22" s="754"/>
    </row>
    <row r="23" spans="1:10" ht="14.25" customHeight="1" x14ac:dyDescent="0.2">
      <c r="A23" s="685"/>
      <c r="B23" s="720"/>
      <c r="C23" s="721"/>
      <c r="D23" s="722"/>
      <c r="E23" s="722"/>
      <c r="F23" s="698"/>
      <c r="G23" s="1049"/>
      <c r="H23" s="754"/>
    </row>
    <row r="24" spans="1:10" ht="14.25" customHeight="1" x14ac:dyDescent="0.2">
      <c r="A24" s="725"/>
      <c r="B24" s="720"/>
      <c r="C24" s="721"/>
      <c r="D24" s="722"/>
      <c r="E24" s="722"/>
      <c r="F24" s="718"/>
      <c r="G24" s="723"/>
      <c r="H24" s="757"/>
    </row>
    <row r="25" spans="1:10" ht="14.25" customHeight="1" x14ac:dyDescent="0.2">
      <c r="A25" s="725"/>
      <c r="B25" s="720"/>
      <c r="C25" s="721"/>
      <c r="D25" s="722"/>
      <c r="E25" s="722"/>
      <c r="F25" s="683"/>
      <c r="G25" s="691"/>
      <c r="H25" s="757"/>
    </row>
    <row r="26" spans="1:10" ht="14.25" customHeight="1" x14ac:dyDescent="0.2">
      <c r="A26" s="725"/>
      <c r="B26" s="720"/>
      <c r="C26" s="721"/>
      <c r="D26" s="722"/>
      <c r="E26" s="722"/>
      <c r="F26" s="683"/>
      <c r="G26" s="691"/>
      <c r="H26" s="757"/>
    </row>
    <row r="27" spans="1:10" ht="14.25" customHeight="1" x14ac:dyDescent="0.2">
      <c r="A27" s="725"/>
      <c r="B27" s="720"/>
      <c r="C27" s="721"/>
      <c r="D27" s="722"/>
      <c r="E27" s="722"/>
      <c r="F27" s="683"/>
      <c r="G27" s="691"/>
      <c r="H27" s="757"/>
    </row>
    <row r="28" spans="1:10" ht="14.25" customHeight="1" x14ac:dyDescent="0.2">
      <c r="A28" s="725"/>
      <c r="B28" s="720"/>
      <c r="C28" s="721"/>
      <c r="D28" s="722"/>
      <c r="E28" s="722"/>
      <c r="F28" s="683"/>
      <c r="G28" s="691"/>
      <c r="H28" s="633"/>
    </row>
    <row r="29" spans="1:10" ht="14.25" customHeight="1" x14ac:dyDescent="0.2">
      <c r="A29" s="725"/>
      <c r="B29" s="720"/>
      <c r="C29" s="721"/>
      <c r="D29" s="722"/>
      <c r="E29" s="722"/>
      <c r="F29" s="683"/>
      <c r="G29" s="691"/>
      <c r="H29" s="633"/>
    </row>
    <row r="30" spans="1:10" ht="14.25" customHeight="1" x14ac:dyDescent="0.2">
      <c r="A30" s="725"/>
      <c r="B30" s="720"/>
      <c r="C30" s="721"/>
      <c r="D30" s="722"/>
      <c r="E30" s="722"/>
      <c r="F30" s="683"/>
      <c r="G30" s="691"/>
      <c r="H30" s="633"/>
    </row>
    <row r="31" spans="1:10" x14ac:dyDescent="0.2">
      <c r="F31" s="1051" t="s">
        <v>123</v>
      </c>
      <c r="G31" s="697">
        <f>SUM(G7:G30)</f>
        <v>0</v>
      </c>
      <c r="H31" s="697">
        <f>SUM(H7:H30)</f>
        <v>2</v>
      </c>
    </row>
    <row r="32" spans="1:10" x14ac:dyDescent="0.2">
      <c r="F32" s="689"/>
      <c r="G32" s="690"/>
      <c r="H32" s="912"/>
    </row>
    <row r="33" spans="6:8" ht="14.25" x14ac:dyDescent="0.2">
      <c r="F33" s="1153" t="s">
        <v>8</v>
      </c>
      <c r="G33" s="1154"/>
      <c r="H33" s="701">
        <f>G31-H31</f>
        <v>-2</v>
      </c>
    </row>
  </sheetData>
  <mergeCells count="3">
    <mergeCell ref="C1:H5"/>
    <mergeCell ref="J1:J3"/>
    <mergeCell ref="F33:G33"/>
  </mergeCells>
  <hyperlinks>
    <hyperlink ref="J6" location="'ANA SAYFA'!A1" display="AnaSayfa"/>
    <hyperlink ref="J1:J3" location="'ANA SAYFA'!A1" display="ANA SAYFA"/>
  </hyperlinks>
  <pageMargins left="0.7" right="0.7" top="0.75" bottom="0.75" header="0.3" footer="0.3"/>
  <pageSetup paperSize="9" scale="55" orientation="portrait"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zoomScaleNormal="100" workbookViewId="0">
      <selection activeCell="J1" sqref="J1:J3"/>
    </sheetView>
  </sheetViews>
  <sheetFormatPr defaultColWidth="9.140625" defaultRowHeight="12.75" x14ac:dyDescent="0.2"/>
  <cols>
    <col min="1" max="1" width="18.140625" style="699" bestFit="1" customWidth="1"/>
    <col min="2" max="3" width="27.7109375" style="699" bestFit="1" customWidth="1"/>
    <col min="4" max="5" width="9.28515625" style="699" bestFit="1" customWidth="1"/>
    <col min="6" max="6" width="26.28515625" style="699" bestFit="1" customWidth="1"/>
    <col min="7" max="8" width="13" style="699" customWidth="1"/>
    <col min="9" max="9" width="4.42578125" style="699" customWidth="1"/>
    <col min="10" max="10" width="12.28515625" style="699" customWidth="1"/>
    <col min="11" max="16384" width="9.140625" style="699"/>
  </cols>
  <sheetData>
    <row r="1" spans="1:10" ht="15" customHeight="1" x14ac:dyDescent="0.2">
      <c r="A1" s="669" t="s">
        <v>135</v>
      </c>
      <c r="B1" s="745" t="str">
        <f>'ANA SAYFA'!B144</f>
        <v>ÖMER KINALI</v>
      </c>
      <c r="C1" s="1166" t="s">
        <v>136</v>
      </c>
      <c r="D1" s="1166"/>
      <c r="E1" s="1166"/>
      <c r="F1" s="1166"/>
      <c r="G1" s="1166"/>
      <c r="H1" s="1166"/>
      <c r="I1" s="668"/>
      <c r="J1" s="1228" t="s">
        <v>712</v>
      </c>
    </row>
    <row r="2" spans="1:10" ht="15" customHeight="1" x14ac:dyDescent="0.2">
      <c r="A2" s="669" t="s">
        <v>137</v>
      </c>
      <c r="B2" s="728">
        <f>'ANA SAYFA'!D144</f>
        <v>26476077896</v>
      </c>
      <c r="C2" s="1166"/>
      <c r="D2" s="1166"/>
      <c r="E2" s="1166"/>
      <c r="F2" s="1166"/>
      <c r="G2" s="1166"/>
      <c r="H2" s="1166"/>
      <c r="I2" s="668"/>
      <c r="J2" s="1229"/>
    </row>
    <row r="3" spans="1:10" ht="15" customHeight="1" thickBot="1" x14ac:dyDescent="0.25">
      <c r="A3" s="669" t="s">
        <v>131</v>
      </c>
      <c r="B3" s="727" t="str">
        <f>'ANA SAYFA'!C144</f>
        <v>İŞARETÇİ/SAPANCI</v>
      </c>
      <c r="C3" s="1166"/>
      <c r="D3" s="1166"/>
      <c r="E3" s="1166"/>
      <c r="F3" s="1166"/>
      <c r="G3" s="1166"/>
      <c r="H3" s="1166"/>
      <c r="I3" s="668"/>
      <c r="J3" s="1230"/>
    </row>
    <row r="4" spans="1:10" ht="15" customHeight="1" x14ac:dyDescent="0.2">
      <c r="A4" s="669" t="s">
        <v>120</v>
      </c>
      <c r="B4" s="700">
        <f>'ANA SAYFA'!E144</f>
        <v>46017</v>
      </c>
      <c r="C4" s="1166"/>
      <c r="D4" s="1166"/>
      <c r="E4" s="1166"/>
      <c r="F4" s="1166"/>
      <c r="G4" s="1166"/>
      <c r="H4" s="1166"/>
      <c r="I4" s="668"/>
      <c r="J4" s="670"/>
    </row>
    <row r="5" spans="1:10" ht="15" customHeight="1" x14ac:dyDescent="0.2">
      <c r="A5" s="669" t="s">
        <v>130</v>
      </c>
      <c r="B5" s="700">
        <f>'ANA SAYFA'!F144</f>
        <v>35268</v>
      </c>
      <c r="C5" s="1166"/>
      <c r="D5" s="1166"/>
      <c r="E5" s="1166"/>
      <c r="F5" s="1166"/>
      <c r="G5" s="1166"/>
      <c r="H5" s="1166"/>
      <c r="I5" s="668"/>
    </row>
    <row r="6" spans="1:10" ht="31.5" x14ac:dyDescent="0.2">
      <c r="A6" s="1050" t="s">
        <v>0</v>
      </c>
      <c r="B6" s="694" t="s">
        <v>1</v>
      </c>
      <c r="C6" s="1050" t="s">
        <v>2</v>
      </c>
      <c r="D6" s="695" t="s">
        <v>133</v>
      </c>
      <c r="E6" s="695" t="s">
        <v>4</v>
      </c>
      <c r="F6" s="695" t="s">
        <v>7</v>
      </c>
      <c r="G6" s="695" t="s">
        <v>6</v>
      </c>
      <c r="H6" s="695" t="s">
        <v>16</v>
      </c>
      <c r="I6" s="672"/>
    </row>
    <row r="7" spans="1:10" ht="14.25" customHeight="1" x14ac:dyDescent="0.2">
      <c r="A7" s="719"/>
      <c r="B7" s="729">
        <v>46133</v>
      </c>
      <c r="C7" s="732">
        <v>46134</v>
      </c>
      <c r="D7" s="733"/>
      <c r="E7" s="733"/>
      <c r="F7" s="1032"/>
      <c r="G7" s="723"/>
      <c r="H7" s="436">
        <v>1</v>
      </c>
      <c r="I7" s="684"/>
      <c r="J7" s="670" t="s">
        <v>830</v>
      </c>
    </row>
    <row r="8" spans="1:10" ht="14.25" customHeight="1" x14ac:dyDescent="0.2">
      <c r="A8" s="719"/>
      <c r="B8" s="729">
        <v>46175</v>
      </c>
      <c r="C8" s="732">
        <v>46176</v>
      </c>
      <c r="D8" s="733"/>
      <c r="E8" s="733"/>
      <c r="F8" s="723"/>
      <c r="G8" s="723"/>
      <c r="H8" s="436">
        <v>1</v>
      </c>
      <c r="I8" s="684"/>
      <c r="J8" s="670"/>
    </row>
    <row r="9" spans="1:10" x14ac:dyDescent="0.2">
      <c r="A9" s="719"/>
      <c r="B9" s="729">
        <v>46192</v>
      </c>
      <c r="C9" s="732">
        <v>46193</v>
      </c>
      <c r="D9" s="733"/>
      <c r="E9" s="733"/>
      <c r="F9" s="723"/>
      <c r="G9" s="723"/>
      <c r="H9" s="756">
        <v>1</v>
      </c>
      <c r="I9" s="684"/>
      <c r="J9" s="670"/>
    </row>
    <row r="10" spans="1:10" ht="14.25" customHeight="1" x14ac:dyDescent="0.2">
      <c r="A10" s="719"/>
      <c r="B10" s="729">
        <v>46199</v>
      </c>
      <c r="C10" s="732">
        <v>46200</v>
      </c>
      <c r="D10" s="733"/>
      <c r="E10" s="733"/>
      <c r="F10" s="723"/>
      <c r="G10" s="723"/>
      <c r="H10" s="756">
        <v>1</v>
      </c>
      <c r="I10" s="684"/>
      <c r="J10" s="670"/>
    </row>
    <row r="11" spans="1:10" ht="14.25" customHeight="1" x14ac:dyDescent="0.2">
      <c r="A11" s="719"/>
      <c r="B11" s="1036"/>
      <c r="C11" s="1037"/>
      <c r="D11" s="868"/>
      <c r="E11" s="868"/>
      <c r="F11" s="704"/>
      <c r="G11" s="703"/>
      <c r="H11" s="223"/>
      <c r="I11" s="684"/>
      <c r="J11" s="670"/>
    </row>
    <row r="12" spans="1:10" ht="14.25" customHeight="1" x14ac:dyDescent="0.2">
      <c r="A12" s="719"/>
      <c r="B12" s="729"/>
      <c r="C12" s="732"/>
      <c r="D12" s="733"/>
      <c r="E12" s="733"/>
      <c r="F12" s="723"/>
      <c r="G12" s="723"/>
      <c r="H12" s="756"/>
      <c r="I12" s="684"/>
      <c r="J12" s="670"/>
    </row>
    <row r="13" spans="1:10" ht="14.25" customHeight="1" x14ac:dyDescent="0.2">
      <c r="A13" s="719"/>
      <c r="B13" s="1036"/>
      <c r="C13" s="1037"/>
      <c r="D13" s="868"/>
      <c r="E13" s="868"/>
      <c r="F13" s="704"/>
      <c r="G13" s="703"/>
      <c r="H13" s="223"/>
      <c r="I13" s="684"/>
      <c r="J13" s="670"/>
    </row>
    <row r="14" spans="1:10" ht="14.25" customHeight="1" x14ac:dyDescent="0.2">
      <c r="A14" s="719"/>
      <c r="B14" s="729"/>
      <c r="C14" s="732"/>
      <c r="D14" s="733"/>
      <c r="E14" s="733"/>
      <c r="F14" s="723"/>
      <c r="G14" s="723"/>
      <c r="H14" s="756"/>
      <c r="I14" s="684"/>
      <c r="J14" s="670"/>
    </row>
    <row r="15" spans="1:10" ht="14.25" customHeight="1" x14ac:dyDescent="0.2">
      <c r="A15" s="719"/>
      <c r="B15" s="729"/>
      <c r="C15" s="732"/>
      <c r="D15" s="733"/>
      <c r="E15" s="733"/>
      <c r="F15" s="723"/>
      <c r="G15" s="723"/>
      <c r="H15" s="756"/>
      <c r="I15" s="684"/>
      <c r="J15" s="670"/>
    </row>
    <row r="16" spans="1:10" ht="14.25" customHeight="1" x14ac:dyDescent="0.2">
      <c r="A16" s="719"/>
      <c r="B16" s="729"/>
      <c r="C16" s="732"/>
      <c r="D16" s="733"/>
      <c r="E16" s="733"/>
      <c r="F16" s="723"/>
      <c r="G16" s="723"/>
      <c r="H16" s="756"/>
      <c r="I16" s="684"/>
      <c r="J16" s="670"/>
    </row>
    <row r="17" spans="1:10" ht="14.25" customHeight="1" x14ac:dyDescent="0.2">
      <c r="A17" s="724"/>
      <c r="B17" s="729"/>
      <c r="C17" s="732"/>
      <c r="D17" s="733"/>
      <c r="E17" s="733"/>
      <c r="F17" s="723"/>
      <c r="G17" s="723"/>
      <c r="H17" s="756"/>
      <c r="I17" s="684"/>
      <c r="J17" s="670"/>
    </row>
    <row r="18" spans="1:10" ht="14.25" customHeight="1" x14ac:dyDescent="0.2">
      <c r="A18" s="724"/>
      <c r="B18" s="760"/>
      <c r="C18" s="761"/>
      <c r="D18" s="762"/>
      <c r="E18" s="762"/>
      <c r="F18" s="723"/>
      <c r="G18" s="723"/>
      <c r="H18" s="757"/>
      <c r="I18" s="684"/>
      <c r="J18" s="670"/>
    </row>
    <row r="19" spans="1:10" ht="14.25" customHeight="1" x14ac:dyDescent="0.2">
      <c r="A19" s="753"/>
      <c r="B19" s="760"/>
      <c r="C19" s="761"/>
      <c r="D19" s="762"/>
      <c r="E19" s="762"/>
      <c r="F19" s="723"/>
      <c r="G19" s="723"/>
      <c r="H19" s="756"/>
      <c r="I19" s="684"/>
      <c r="J19" s="670"/>
    </row>
    <row r="20" spans="1:10" ht="14.25" customHeight="1" x14ac:dyDescent="0.2">
      <c r="A20" s="753"/>
      <c r="B20" s="760"/>
      <c r="C20" s="761"/>
      <c r="D20" s="762"/>
      <c r="E20" s="762"/>
      <c r="F20" s="723"/>
      <c r="G20" s="723"/>
      <c r="H20" s="754"/>
      <c r="I20" s="684"/>
      <c r="J20" s="670"/>
    </row>
    <row r="21" spans="1:10" ht="14.25" customHeight="1" x14ac:dyDescent="0.2">
      <c r="A21" s="725"/>
      <c r="B21" s="760"/>
      <c r="C21" s="761"/>
      <c r="D21" s="762"/>
      <c r="E21" s="762"/>
      <c r="F21" s="723"/>
      <c r="G21" s="723"/>
      <c r="H21" s="756"/>
      <c r="I21" s="684"/>
      <c r="J21" s="670"/>
    </row>
    <row r="22" spans="1:10" ht="14.25" customHeight="1" x14ac:dyDescent="0.2">
      <c r="A22" s="685"/>
      <c r="B22" s="720"/>
      <c r="C22" s="721"/>
      <c r="D22" s="722"/>
      <c r="E22" s="722"/>
      <c r="F22" s="698"/>
      <c r="G22" s="1049"/>
      <c r="H22" s="754"/>
    </row>
    <row r="23" spans="1:10" ht="14.25" customHeight="1" x14ac:dyDescent="0.2">
      <c r="A23" s="685"/>
      <c r="B23" s="720"/>
      <c r="C23" s="721"/>
      <c r="D23" s="722"/>
      <c r="E23" s="722"/>
      <c r="F23" s="698"/>
      <c r="G23" s="1049"/>
      <c r="H23" s="754"/>
    </row>
    <row r="24" spans="1:10" ht="14.25" customHeight="1" x14ac:dyDescent="0.2">
      <c r="A24" s="725"/>
      <c r="B24" s="720"/>
      <c r="C24" s="721"/>
      <c r="D24" s="722"/>
      <c r="E24" s="722"/>
      <c r="F24" s="718"/>
      <c r="G24" s="723"/>
      <c r="H24" s="757"/>
    </row>
    <row r="25" spans="1:10" ht="14.25" customHeight="1" x14ac:dyDescent="0.2">
      <c r="A25" s="725"/>
      <c r="B25" s="720"/>
      <c r="C25" s="721"/>
      <c r="D25" s="722"/>
      <c r="E25" s="722"/>
      <c r="F25" s="683"/>
      <c r="G25" s="691"/>
      <c r="H25" s="757"/>
    </row>
    <row r="26" spans="1:10" ht="14.25" customHeight="1" x14ac:dyDescent="0.2">
      <c r="A26" s="725"/>
      <c r="B26" s="720"/>
      <c r="C26" s="721"/>
      <c r="D26" s="722"/>
      <c r="E26" s="722"/>
      <c r="F26" s="683"/>
      <c r="G26" s="691"/>
      <c r="H26" s="757"/>
    </row>
    <row r="27" spans="1:10" ht="14.25" customHeight="1" x14ac:dyDescent="0.2">
      <c r="A27" s="725"/>
      <c r="B27" s="720"/>
      <c r="C27" s="721"/>
      <c r="D27" s="722"/>
      <c r="E27" s="722"/>
      <c r="F27" s="683"/>
      <c r="G27" s="691"/>
      <c r="H27" s="757"/>
    </row>
    <row r="28" spans="1:10" ht="14.25" customHeight="1" x14ac:dyDescent="0.2">
      <c r="A28" s="725"/>
      <c r="B28" s="720"/>
      <c r="C28" s="721"/>
      <c r="D28" s="722"/>
      <c r="E28" s="722"/>
      <c r="F28" s="683"/>
      <c r="G28" s="691"/>
      <c r="H28" s="633"/>
    </row>
    <row r="29" spans="1:10" ht="14.25" customHeight="1" x14ac:dyDescent="0.2">
      <c r="A29" s="725"/>
      <c r="B29" s="720"/>
      <c r="C29" s="721"/>
      <c r="D29" s="722"/>
      <c r="E29" s="722"/>
      <c r="F29" s="683"/>
      <c r="G29" s="691"/>
      <c r="H29" s="633"/>
    </row>
    <row r="30" spans="1:10" ht="14.25" customHeight="1" x14ac:dyDescent="0.2">
      <c r="A30" s="725"/>
      <c r="B30" s="720"/>
      <c r="C30" s="721"/>
      <c r="D30" s="722"/>
      <c r="E30" s="722"/>
      <c r="F30" s="683"/>
      <c r="G30" s="691"/>
      <c r="H30" s="633"/>
    </row>
    <row r="31" spans="1:10" x14ac:dyDescent="0.2">
      <c r="F31" s="1051" t="s">
        <v>123</v>
      </c>
      <c r="G31" s="697">
        <f>SUM(G7:G30)</f>
        <v>0</v>
      </c>
      <c r="H31" s="697">
        <f>SUM(H7:H30)</f>
        <v>4</v>
      </c>
    </row>
    <row r="32" spans="1:10" x14ac:dyDescent="0.2">
      <c r="F32" s="689"/>
      <c r="G32" s="690"/>
      <c r="H32" s="912"/>
    </row>
    <row r="33" spans="6:8" ht="14.25" x14ac:dyDescent="0.2">
      <c r="F33" s="1153" t="s">
        <v>8</v>
      </c>
      <c r="G33" s="1154"/>
      <c r="H33" s="701">
        <f>G31-H31</f>
        <v>-4</v>
      </c>
    </row>
  </sheetData>
  <mergeCells count="3">
    <mergeCell ref="C1:H5"/>
    <mergeCell ref="J1:J3"/>
    <mergeCell ref="F33:G33"/>
  </mergeCells>
  <hyperlinks>
    <hyperlink ref="J6" location="'ANA SAYFA'!A1" display="AnaSayfa"/>
    <hyperlink ref="J1:J3" location="'ANA SAYFA'!A1" display="ANA SAYFA"/>
  </hyperlinks>
  <pageMargins left="0.7" right="0.7" top="0.75" bottom="0.75" header="0.3" footer="0.3"/>
  <pageSetup paperSize="9" scale="55" orientation="portrait"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zoomScaleNormal="100" workbookViewId="0">
      <selection activeCell="J1" sqref="J1:J3"/>
    </sheetView>
  </sheetViews>
  <sheetFormatPr defaultColWidth="9.140625" defaultRowHeight="12.75" x14ac:dyDescent="0.2"/>
  <cols>
    <col min="1" max="1" width="18.140625" style="699" bestFit="1" customWidth="1"/>
    <col min="2" max="3" width="27.7109375" style="699" bestFit="1" customWidth="1"/>
    <col min="4" max="5" width="9.28515625" style="699" bestFit="1" customWidth="1"/>
    <col min="6" max="6" width="26.28515625" style="699" bestFit="1" customWidth="1"/>
    <col min="7" max="8" width="13" style="699" customWidth="1"/>
    <col min="9" max="9" width="4.42578125" style="699" customWidth="1"/>
    <col min="10" max="10" width="12.28515625" style="699" customWidth="1"/>
    <col min="11" max="16384" width="9.140625" style="699"/>
  </cols>
  <sheetData>
    <row r="1" spans="1:10" ht="15" customHeight="1" x14ac:dyDescent="0.2">
      <c r="A1" s="669" t="s">
        <v>135</v>
      </c>
      <c r="B1" s="745" t="str">
        <f>'ANA SAYFA'!B146</f>
        <v>TANER OTÇU</v>
      </c>
      <c r="C1" s="1166" t="s">
        <v>136</v>
      </c>
      <c r="D1" s="1166"/>
      <c r="E1" s="1166"/>
      <c r="F1" s="1166"/>
      <c r="G1" s="1166"/>
      <c r="H1" s="1166"/>
      <c r="I1" s="668"/>
      <c r="J1" s="1228" t="s">
        <v>712</v>
      </c>
    </row>
    <row r="2" spans="1:10" ht="15" customHeight="1" x14ac:dyDescent="0.2">
      <c r="A2" s="669" t="s">
        <v>137</v>
      </c>
      <c r="B2" s="728">
        <f>'ANA SAYFA'!D146</f>
        <v>21526273402</v>
      </c>
      <c r="C2" s="1166"/>
      <c r="D2" s="1166"/>
      <c r="E2" s="1166"/>
      <c r="F2" s="1166"/>
      <c r="G2" s="1166"/>
      <c r="H2" s="1166"/>
      <c r="I2" s="668"/>
      <c r="J2" s="1229"/>
    </row>
    <row r="3" spans="1:10" ht="15" customHeight="1" thickBot="1" x14ac:dyDescent="0.25">
      <c r="A3" s="669" t="s">
        <v>131</v>
      </c>
      <c r="B3" s="727" t="str">
        <f>'ANA SAYFA'!C146</f>
        <v>TIR-ÇEKİCİ ŞOFÖRÜ</v>
      </c>
      <c r="C3" s="1166"/>
      <c r="D3" s="1166"/>
      <c r="E3" s="1166"/>
      <c r="F3" s="1166"/>
      <c r="G3" s="1166"/>
      <c r="H3" s="1166"/>
      <c r="I3" s="668"/>
      <c r="J3" s="1230"/>
    </row>
    <row r="4" spans="1:10" ht="15" customHeight="1" x14ac:dyDescent="0.2">
      <c r="A4" s="669" t="s">
        <v>120</v>
      </c>
      <c r="B4" s="700">
        <f>'ANA SAYFA'!E146</f>
        <v>46130</v>
      </c>
      <c r="C4" s="1166"/>
      <c r="D4" s="1166"/>
      <c r="E4" s="1166"/>
      <c r="F4" s="1166"/>
      <c r="G4" s="1166"/>
      <c r="H4" s="1166"/>
      <c r="I4" s="668"/>
      <c r="J4" s="670"/>
    </row>
    <row r="5" spans="1:10" ht="15" customHeight="1" x14ac:dyDescent="0.2">
      <c r="A5" s="669" t="s">
        <v>130</v>
      </c>
      <c r="B5" s="700">
        <f>'ANA SAYFA'!F146</f>
        <v>26764</v>
      </c>
      <c r="C5" s="1166"/>
      <c r="D5" s="1166"/>
      <c r="E5" s="1166"/>
      <c r="F5" s="1166"/>
      <c r="G5" s="1166"/>
      <c r="H5" s="1166"/>
      <c r="I5" s="668"/>
    </row>
    <row r="6" spans="1:10" ht="31.5" x14ac:dyDescent="0.2">
      <c r="A6" s="1050" t="s">
        <v>0</v>
      </c>
      <c r="B6" s="694" t="s">
        <v>1</v>
      </c>
      <c r="C6" s="1050" t="s">
        <v>2</v>
      </c>
      <c r="D6" s="695" t="s">
        <v>133</v>
      </c>
      <c r="E6" s="695" t="s">
        <v>4</v>
      </c>
      <c r="F6" s="695" t="s">
        <v>7</v>
      </c>
      <c r="G6" s="695" t="s">
        <v>6</v>
      </c>
      <c r="H6" s="695" t="s">
        <v>16</v>
      </c>
      <c r="I6" s="672"/>
    </row>
    <row r="7" spans="1:10" ht="14.25" customHeight="1" x14ac:dyDescent="0.2">
      <c r="A7" s="719"/>
      <c r="B7" s="729">
        <v>46165</v>
      </c>
      <c r="C7" s="732">
        <v>46174</v>
      </c>
      <c r="D7" s="733"/>
      <c r="E7" s="733"/>
      <c r="F7" s="1032"/>
      <c r="G7" s="723"/>
      <c r="H7" s="436">
        <v>2</v>
      </c>
      <c r="I7" s="684"/>
      <c r="J7" s="670"/>
    </row>
    <row r="8" spans="1:10" ht="14.25" customHeight="1" x14ac:dyDescent="0.2">
      <c r="A8" s="719"/>
      <c r="B8" s="729"/>
      <c r="C8" s="732"/>
      <c r="D8" s="733"/>
      <c r="E8" s="733"/>
      <c r="F8" s="723"/>
      <c r="G8" s="723"/>
      <c r="H8" s="436"/>
      <c r="I8" s="684"/>
      <c r="J8" s="670"/>
    </row>
    <row r="9" spans="1:10" x14ac:dyDescent="0.2">
      <c r="A9" s="719"/>
      <c r="B9" s="729"/>
      <c r="C9" s="732"/>
      <c r="D9" s="733"/>
      <c r="E9" s="733"/>
      <c r="F9" s="723"/>
      <c r="G9" s="723"/>
      <c r="H9" s="756"/>
      <c r="I9" s="684"/>
      <c r="J9" s="670"/>
    </row>
    <row r="10" spans="1:10" ht="14.25" customHeight="1" x14ac:dyDescent="0.2">
      <c r="A10" s="719"/>
      <c r="B10" s="729"/>
      <c r="C10" s="732"/>
      <c r="D10" s="733"/>
      <c r="E10" s="733"/>
      <c r="F10" s="723"/>
      <c r="G10" s="723"/>
      <c r="H10" s="756"/>
      <c r="I10" s="684"/>
      <c r="J10" s="670"/>
    </row>
    <row r="11" spans="1:10" ht="14.25" customHeight="1" x14ac:dyDescent="0.2">
      <c r="A11" s="719"/>
      <c r="B11" s="1036"/>
      <c r="C11" s="1037"/>
      <c r="D11" s="868"/>
      <c r="E11" s="868"/>
      <c r="F11" s="704"/>
      <c r="G11" s="703"/>
      <c r="H11" s="223"/>
      <c r="I11" s="684"/>
      <c r="J11" s="670"/>
    </row>
    <row r="12" spans="1:10" ht="14.25" customHeight="1" x14ac:dyDescent="0.2">
      <c r="A12" s="719"/>
      <c r="B12" s="729"/>
      <c r="C12" s="732"/>
      <c r="D12" s="733"/>
      <c r="E12" s="733"/>
      <c r="F12" s="723"/>
      <c r="G12" s="723"/>
      <c r="H12" s="756"/>
      <c r="I12" s="684"/>
      <c r="J12" s="670"/>
    </row>
    <row r="13" spans="1:10" ht="14.25" customHeight="1" x14ac:dyDescent="0.2">
      <c r="A13" s="719"/>
      <c r="B13" s="1036"/>
      <c r="C13" s="1037"/>
      <c r="D13" s="868"/>
      <c r="E13" s="868"/>
      <c r="F13" s="704"/>
      <c r="G13" s="703"/>
      <c r="H13" s="223"/>
      <c r="I13" s="684"/>
      <c r="J13" s="670"/>
    </row>
    <row r="14" spans="1:10" ht="14.25" customHeight="1" x14ac:dyDescent="0.2">
      <c r="A14" s="719"/>
      <c r="B14" s="729"/>
      <c r="C14" s="732"/>
      <c r="D14" s="733"/>
      <c r="E14" s="733"/>
      <c r="F14" s="723"/>
      <c r="G14" s="723"/>
      <c r="H14" s="756"/>
      <c r="I14" s="684"/>
      <c r="J14" s="670"/>
    </row>
    <row r="15" spans="1:10" ht="14.25" customHeight="1" x14ac:dyDescent="0.2">
      <c r="A15" s="719"/>
      <c r="B15" s="729"/>
      <c r="C15" s="732"/>
      <c r="D15" s="733"/>
      <c r="E15" s="733"/>
      <c r="F15" s="723"/>
      <c r="G15" s="723"/>
      <c r="H15" s="756"/>
      <c r="I15" s="684"/>
      <c r="J15" s="670"/>
    </row>
    <row r="16" spans="1:10" ht="14.25" customHeight="1" x14ac:dyDescent="0.2">
      <c r="A16" s="719"/>
      <c r="B16" s="729"/>
      <c r="C16" s="732"/>
      <c r="D16" s="733"/>
      <c r="E16" s="733"/>
      <c r="F16" s="723"/>
      <c r="G16" s="723"/>
      <c r="H16" s="756"/>
      <c r="I16" s="684"/>
      <c r="J16" s="670"/>
    </row>
    <row r="17" spans="1:10" ht="14.25" customHeight="1" x14ac:dyDescent="0.2">
      <c r="A17" s="724"/>
      <c r="B17" s="729"/>
      <c r="C17" s="732"/>
      <c r="D17" s="733"/>
      <c r="E17" s="733"/>
      <c r="F17" s="723"/>
      <c r="G17" s="723"/>
      <c r="H17" s="756"/>
      <c r="I17" s="684"/>
      <c r="J17" s="670"/>
    </row>
    <row r="18" spans="1:10" ht="14.25" customHeight="1" x14ac:dyDescent="0.2">
      <c r="A18" s="724"/>
      <c r="B18" s="760"/>
      <c r="C18" s="761"/>
      <c r="D18" s="762"/>
      <c r="E18" s="762"/>
      <c r="F18" s="723"/>
      <c r="G18" s="723"/>
      <c r="H18" s="757"/>
      <c r="I18" s="684"/>
      <c r="J18" s="670"/>
    </row>
    <row r="19" spans="1:10" ht="14.25" customHeight="1" x14ac:dyDescent="0.2">
      <c r="A19" s="753"/>
      <c r="B19" s="760"/>
      <c r="C19" s="761"/>
      <c r="D19" s="762"/>
      <c r="E19" s="762"/>
      <c r="F19" s="723"/>
      <c r="G19" s="723"/>
      <c r="H19" s="756"/>
      <c r="I19" s="684"/>
      <c r="J19" s="670"/>
    </row>
    <row r="20" spans="1:10" ht="14.25" customHeight="1" x14ac:dyDescent="0.2">
      <c r="A20" s="753"/>
      <c r="B20" s="760"/>
      <c r="C20" s="761"/>
      <c r="D20" s="762"/>
      <c r="E20" s="762"/>
      <c r="F20" s="723"/>
      <c r="G20" s="723"/>
      <c r="H20" s="754"/>
      <c r="I20" s="684"/>
      <c r="J20" s="670"/>
    </row>
    <row r="21" spans="1:10" ht="14.25" customHeight="1" x14ac:dyDescent="0.2">
      <c r="A21" s="725"/>
      <c r="B21" s="760"/>
      <c r="C21" s="761"/>
      <c r="D21" s="762"/>
      <c r="E21" s="762"/>
      <c r="F21" s="723"/>
      <c r="G21" s="723"/>
      <c r="H21" s="756"/>
      <c r="I21" s="684"/>
      <c r="J21" s="670"/>
    </row>
    <row r="22" spans="1:10" ht="14.25" customHeight="1" x14ac:dyDescent="0.2">
      <c r="A22" s="685"/>
      <c r="B22" s="720"/>
      <c r="C22" s="721"/>
      <c r="D22" s="722"/>
      <c r="E22" s="722"/>
      <c r="F22" s="698"/>
      <c r="G22" s="1049"/>
      <c r="H22" s="754"/>
    </row>
    <row r="23" spans="1:10" ht="14.25" customHeight="1" x14ac:dyDescent="0.2">
      <c r="A23" s="685"/>
      <c r="B23" s="720"/>
      <c r="C23" s="721"/>
      <c r="D23" s="722"/>
      <c r="E23" s="722"/>
      <c r="F23" s="698"/>
      <c r="G23" s="1049"/>
      <c r="H23" s="754"/>
    </row>
    <row r="24" spans="1:10" ht="14.25" customHeight="1" x14ac:dyDescent="0.2">
      <c r="A24" s="725"/>
      <c r="B24" s="720"/>
      <c r="C24" s="721"/>
      <c r="D24" s="722"/>
      <c r="E24" s="722"/>
      <c r="F24" s="718"/>
      <c r="G24" s="723"/>
      <c r="H24" s="757"/>
    </row>
    <row r="25" spans="1:10" ht="14.25" customHeight="1" x14ac:dyDescent="0.2">
      <c r="A25" s="725"/>
      <c r="B25" s="720"/>
      <c r="C25" s="721"/>
      <c r="D25" s="722"/>
      <c r="E25" s="722"/>
      <c r="F25" s="683"/>
      <c r="G25" s="691"/>
      <c r="H25" s="757"/>
    </row>
    <row r="26" spans="1:10" ht="14.25" customHeight="1" x14ac:dyDescent="0.2">
      <c r="A26" s="725"/>
      <c r="B26" s="720"/>
      <c r="C26" s="721"/>
      <c r="D26" s="722"/>
      <c r="E26" s="722"/>
      <c r="F26" s="683"/>
      <c r="G26" s="691"/>
      <c r="H26" s="757"/>
    </row>
    <row r="27" spans="1:10" ht="14.25" customHeight="1" x14ac:dyDescent="0.2">
      <c r="A27" s="725"/>
      <c r="B27" s="720"/>
      <c r="C27" s="721"/>
      <c r="D27" s="722"/>
      <c r="E27" s="722"/>
      <c r="F27" s="683"/>
      <c r="G27" s="691"/>
      <c r="H27" s="757"/>
    </row>
    <row r="28" spans="1:10" ht="14.25" customHeight="1" x14ac:dyDescent="0.2">
      <c r="A28" s="725"/>
      <c r="B28" s="720"/>
      <c r="C28" s="721"/>
      <c r="D28" s="722"/>
      <c r="E28" s="722"/>
      <c r="F28" s="683"/>
      <c r="G28" s="691"/>
      <c r="H28" s="633"/>
    </row>
    <row r="29" spans="1:10" ht="14.25" customHeight="1" x14ac:dyDescent="0.2">
      <c r="A29" s="725"/>
      <c r="B29" s="720"/>
      <c r="C29" s="721"/>
      <c r="D29" s="722"/>
      <c r="E29" s="722"/>
      <c r="F29" s="683"/>
      <c r="G29" s="691"/>
      <c r="H29" s="633"/>
    </row>
    <row r="30" spans="1:10" ht="14.25" customHeight="1" x14ac:dyDescent="0.2">
      <c r="A30" s="725"/>
      <c r="B30" s="720"/>
      <c r="C30" s="721"/>
      <c r="D30" s="722"/>
      <c r="E30" s="722"/>
      <c r="F30" s="683"/>
      <c r="G30" s="691"/>
      <c r="H30" s="633"/>
    </row>
    <row r="31" spans="1:10" x14ac:dyDescent="0.2">
      <c r="F31" s="1051" t="s">
        <v>123</v>
      </c>
      <c r="G31" s="697">
        <f>SUM(G7:G30)</f>
        <v>0</v>
      </c>
      <c r="H31" s="697">
        <f>SUM(H7:H30)</f>
        <v>2</v>
      </c>
    </row>
    <row r="32" spans="1:10" x14ac:dyDescent="0.2">
      <c r="F32" s="689"/>
      <c r="G32" s="690"/>
      <c r="H32" s="912"/>
    </row>
    <row r="33" spans="6:8" ht="14.25" x14ac:dyDescent="0.2">
      <c r="F33" s="1153" t="s">
        <v>8</v>
      </c>
      <c r="G33" s="1154"/>
      <c r="H33" s="701">
        <f>G31-H31</f>
        <v>-2</v>
      </c>
    </row>
  </sheetData>
  <mergeCells count="3">
    <mergeCell ref="C1:H5"/>
    <mergeCell ref="J1:J3"/>
    <mergeCell ref="F33:G33"/>
  </mergeCells>
  <hyperlinks>
    <hyperlink ref="J6" location="'ANA SAYFA'!A1" display="AnaSayfa"/>
    <hyperlink ref="J1:J3" location="'ANA SAYFA'!A1" display="ANA SAYFA"/>
  </hyperlinks>
  <pageMargins left="0.7" right="0.7" top="0.75" bottom="0.75" header="0.3" footer="0.3"/>
  <pageSetup paperSize="9" scale="5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146</vt:i4>
      </vt:variant>
      <vt:variant>
        <vt:lpstr>Adlandırılmış Aralıklar</vt:lpstr>
      </vt:variant>
      <vt:variant>
        <vt:i4>123</vt:i4>
      </vt:variant>
    </vt:vector>
  </HeadingPairs>
  <TitlesOfParts>
    <vt:vector size="269" baseType="lpstr">
      <vt:lpstr>ANA SAYFA</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lpstr>Sayfa1</vt:lpstr>
      <vt:lpstr>75</vt:lpstr>
      <vt:lpstr>76</vt:lpstr>
      <vt:lpstr>77</vt:lpstr>
      <vt:lpstr>78</vt:lpstr>
      <vt:lpstr>79</vt:lpstr>
      <vt:lpstr>80</vt:lpstr>
      <vt:lpstr>81</vt:lpstr>
      <vt:lpstr>82</vt:lpstr>
      <vt:lpstr>83</vt:lpstr>
      <vt:lpstr>84</vt:lpstr>
      <vt:lpstr>85</vt:lpstr>
      <vt:lpstr>86</vt:lpstr>
      <vt:lpstr>87</vt:lpstr>
      <vt:lpstr>88</vt:lpstr>
      <vt:lpstr>89</vt:lpstr>
      <vt:lpstr>90</vt:lpstr>
      <vt:lpstr>91</vt:lpstr>
      <vt:lpstr>92</vt:lpstr>
      <vt:lpstr>93</vt:lpstr>
      <vt:lpstr>94</vt:lpstr>
      <vt:lpstr>95</vt:lpstr>
      <vt:lpstr>96</vt:lpstr>
      <vt:lpstr>97</vt:lpstr>
      <vt:lpstr>98</vt:lpstr>
      <vt:lpstr>99</vt:lpstr>
      <vt:lpstr>100</vt:lpstr>
      <vt:lpstr>101</vt:lpstr>
      <vt:lpstr>102</vt:lpstr>
      <vt:lpstr>103.</vt:lpstr>
      <vt:lpstr>104.</vt:lpstr>
      <vt:lpstr>105.</vt:lpstr>
      <vt:lpstr>106.</vt:lpstr>
      <vt:lpstr>108</vt:lpstr>
      <vt:lpstr>109</vt:lpstr>
      <vt:lpstr>107</vt:lpstr>
      <vt:lpstr>110</vt:lpstr>
      <vt:lpstr>111.</vt:lpstr>
      <vt:lpstr>112</vt:lpstr>
      <vt:lpstr>113</vt:lpstr>
      <vt:lpstr>114</vt:lpstr>
      <vt:lpstr>115</vt:lpstr>
      <vt:lpstr>116</vt:lpstr>
      <vt:lpstr>117</vt:lpstr>
      <vt:lpstr>118</vt:lpstr>
      <vt:lpstr>119</vt:lpstr>
      <vt:lpstr>120</vt:lpstr>
      <vt:lpstr>121</vt:lpstr>
      <vt:lpstr>122</vt:lpstr>
      <vt:lpstr>123</vt:lpstr>
      <vt:lpstr>124</vt:lpstr>
      <vt:lpstr>125</vt:lpstr>
      <vt:lpstr>126</vt:lpstr>
      <vt:lpstr>127</vt:lpstr>
      <vt:lpstr>128</vt:lpstr>
      <vt:lpstr>129</vt:lpstr>
      <vt:lpstr>130</vt:lpstr>
      <vt:lpstr>131</vt:lpstr>
      <vt:lpstr>132</vt:lpstr>
      <vt:lpstr>133</vt:lpstr>
      <vt:lpstr>134</vt:lpstr>
      <vt:lpstr>135</vt:lpstr>
      <vt:lpstr>136</vt:lpstr>
      <vt:lpstr>137</vt:lpstr>
      <vt:lpstr>138</vt:lpstr>
      <vt:lpstr>139</vt:lpstr>
      <vt:lpstr>140</vt:lpstr>
      <vt:lpstr>141</vt:lpstr>
      <vt:lpstr>142</vt:lpstr>
      <vt:lpstr>143</vt:lpstr>
      <vt:lpstr>144</vt:lpstr>
      <vt:lpstr>ÇALIŞILAN_FİRMA__SEÇ</vt:lpstr>
      <vt:lpstr>ÇALIŞILAN_FİRMA_SEÇ</vt:lpstr>
      <vt:lpstr>'10'!Yazdırma_Alanı</vt:lpstr>
      <vt:lpstr>'100'!Yazdırma_Alanı</vt:lpstr>
      <vt:lpstr>'102'!Yazdırma_Alanı</vt:lpstr>
      <vt:lpstr>'103.'!Yazdırma_Alanı</vt:lpstr>
      <vt:lpstr>'104.'!Yazdırma_Alanı</vt:lpstr>
      <vt:lpstr>'105.'!Yazdırma_Alanı</vt:lpstr>
      <vt:lpstr>'107'!Yazdırma_Alanı</vt:lpstr>
      <vt:lpstr>'108'!Yazdırma_Alanı</vt:lpstr>
      <vt:lpstr>'109'!Yazdırma_Alanı</vt:lpstr>
      <vt:lpstr>'11'!Yazdırma_Alanı</vt:lpstr>
      <vt:lpstr>'110'!Yazdırma_Alanı</vt:lpstr>
      <vt:lpstr>'111.'!Yazdırma_Alanı</vt:lpstr>
      <vt:lpstr>'112'!Yazdırma_Alanı</vt:lpstr>
      <vt:lpstr>'113'!Yazdırma_Alanı</vt:lpstr>
      <vt:lpstr>'114'!Yazdırma_Alanı</vt:lpstr>
      <vt:lpstr>'115'!Yazdırma_Alanı</vt:lpstr>
      <vt:lpstr>'116'!Yazdırma_Alanı</vt:lpstr>
      <vt:lpstr>'117'!Yazdırma_Alanı</vt:lpstr>
      <vt:lpstr>'118'!Yazdırma_Alanı</vt:lpstr>
      <vt:lpstr>'119'!Yazdırma_Alanı</vt:lpstr>
      <vt:lpstr>'12'!Yazdırma_Alanı</vt:lpstr>
      <vt:lpstr>'120'!Yazdırma_Alanı</vt:lpstr>
      <vt:lpstr>'121'!Yazdırma_Alanı</vt:lpstr>
      <vt:lpstr>'122'!Yazdırma_Alanı</vt:lpstr>
      <vt:lpstr>'123'!Yazdırma_Alanı</vt:lpstr>
      <vt:lpstr>'124'!Yazdırma_Alanı</vt:lpstr>
      <vt:lpstr>'125'!Yazdırma_Alanı</vt:lpstr>
      <vt:lpstr>'126'!Yazdırma_Alanı</vt:lpstr>
      <vt:lpstr>'127'!Yazdırma_Alanı</vt:lpstr>
      <vt:lpstr>'128'!Yazdırma_Alanı</vt:lpstr>
      <vt:lpstr>'129'!Yazdırma_Alanı</vt:lpstr>
      <vt:lpstr>'13'!Yazdırma_Alanı</vt:lpstr>
      <vt:lpstr>'130'!Yazdırma_Alanı</vt:lpstr>
      <vt:lpstr>'131'!Yazdırma_Alanı</vt:lpstr>
      <vt:lpstr>'132'!Yazdırma_Alanı</vt:lpstr>
      <vt:lpstr>'133'!Yazdırma_Alanı</vt:lpstr>
      <vt:lpstr>'134'!Yazdırma_Alanı</vt:lpstr>
      <vt:lpstr>'14'!Yazdırma_Alanı</vt:lpstr>
      <vt:lpstr>'15'!Yazdırma_Alanı</vt:lpstr>
      <vt:lpstr>'16'!Yazdırma_Alanı</vt:lpstr>
      <vt:lpstr>'18'!Yazdırma_Alanı</vt:lpstr>
      <vt:lpstr>'19'!Yazdırma_Alanı</vt:lpstr>
      <vt:lpstr>'20'!Yazdırma_Alanı</vt:lpstr>
      <vt:lpstr>'21'!Yazdırma_Alanı</vt:lpstr>
      <vt:lpstr>'22'!Yazdırma_Alanı</vt:lpstr>
      <vt:lpstr>'23'!Yazdırma_Alanı</vt:lpstr>
      <vt:lpstr>'24'!Yazdırma_Alanı</vt:lpstr>
      <vt:lpstr>'25'!Yazdırma_Alanı</vt:lpstr>
      <vt:lpstr>'26'!Yazdırma_Alanı</vt:lpstr>
      <vt:lpstr>'27'!Yazdırma_Alanı</vt:lpstr>
      <vt:lpstr>'28'!Yazdırma_Alanı</vt:lpstr>
      <vt:lpstr>'29'!Yazdırma_Alanı</vt:lpstr>
      <vt:lpstr>'30'!Yazdırma_Alanı</vt:lpstr>
      <vt:lpstr>'31'!Yazdırma_Alanı</vt:lpstr>
      <vt:lpstr>'32'!Yazdırma_Alanı</vt:lpstr>
      <vt:lpstr>'33'!Yazdırma_Alanı</vt:lpstr>
      <vt:lpstr>'34'!Yazdırma_Alanı</vt:lpstr>
      <vt:lpstr>'35'!Yazdırma_Alanı</vt:lpstr>
      <vt:lpstr>'36'!Yazdırma_Alanı</vt:lpstr>
      <vt:lpstr>'37'!Yazdırma_Alanı</vt:lpstr>
      <vt:lpstr>'38'!Yazdırma_Alanı</vt:lpstr>
      <vt:lpstr>'39'!Yazdırma_Alanı</vt:lpstr>
      <vt:lpstr>'4'!Yazdırma_Alanı</vt:lpstr>
      <vt:lpstr>'40'!Yazdırma_Alanı</vt:lpstr>
      <vt:lpstr>'42'!Yazdırma_Alanı</vt:lpstr>
      <vt:lpstr>'43'!Yazdırma_Alanı</vt:lpstr>
      <vt:lpstr>'44'!Yazdırma_Alanı</vt:lpstr>
      <vt:lpstr>'45'!Yazdırma_Alanı</vt:lpstr>
      <vt:lpstr>'46'!Yazdırma_Alanı</vt:lpstr>
      <vt:lpstr>'47'!Yazdırma_Alanı</vt:lpstr>
      <vt:lpstr>'48'!Yazdırma_Alanı</vt:lpstr>
      <vt:lpstr>'49'!Yazdırma_Alanı</vt:lpstr>
      <vt:lpstr>'50'!Yazdırma_Alanı</vt:lpstr>
      <vt:lpstr>'51'!Yazdırma_Alanı</vt:lpstr>
      <vt:lpstr>'52'!Yazdırma_Alanı</vt:lpstr>
      <vt:lpstr>'53'!Yazdırma_Alanı</vt:lpstr>
      <vt:lpstr>'54'!Yazdırma_Alanı</vt:lpstr>
      <vt:lpstr>'55'!Yazdırma_Alanı</vt:lpstr>
      <vt:lpstr>'56'!Yazdırma_Alanı</vt:lpstr>
      <vt:lpstr>'57'!Yazdırma_Alanı</vt:lpstr>
      <vt:lpstr>'58'!Yazdırma_Alanı</vt:lpstr>
      <vt:lpstr>'59'!Yazdırma_Alanı</vt:lpstr>
      <vt:lpstr>'61'!Yazdırma_Alanı</vt:lpstr>
      <vt:lpstr>'62'!Yazdırma_Alanı</vt:lpstr>
      <vt:lpstr>'63'!Yazdırma_Alanı</vt:lpstr>
      <vt:lpstr>'64'!Yazdırma_Alanı</vt:lpstr>
      <vt:lpstr>'65'!Yazdırma_Alanı</vt:lpstr>
      <vt:lpstr>'66'!Yazdırma_Alanı</vt:lpstr>
      <vt:lpstr>'67'!Yazdırma_Alanı</vt:lpstr>
      <vt:lpstr>'68'!Yazdırma_Alanı</vt:lpstr>
      <vt:lpstr>'69'!Yazdırma_Alanı</vt:lpstr>
      <vt:lpstr>'70'!Yazdırma_Alanı</vt:lpstr>
      <vt:lpstr>'71'!Yazdırma_Alanı</vt:lpstr>
      <vt:lpstr>'75'!Yazdırma_Alanı</vt:lpstr>
      <vt:lpstr>'76'!Yazdırma_Alanı</vt:lpstr>
      <vt:lpstr>'77'!Yazdırma_Alanı</vt:lpstr>
      <vt:lpstr>'78'!Yazdırma_Alanı</vt:lpstr>
      <vt:lpstr>'79'!Yazdırma_Alanı</vt:lpstr>
      <vt:lpstr>'80'!Yazdırma_Alanı</vt:lpstr>
      <vt:lpstr>'81'!Yazdırma_Alanı</vt:lpstr>
      <vt:lpstr>'82'!Yazdırma_Alanı</vt:lpstr>
      <vt:lpstr>'83'!Yazdırma_Alanı</vt:lpstr>
      <vt:lpstr>'84'!Yazdırma_Alanı</vt:lpstr>
      <vt:lpstr>'85'!Yazdırma_Alanı</vt:lpstr>
      <vt:lpstr>'86'!Yazdırma_Alanı</vt:lpstr>
      <vt:lpstr>'87'!Yazdırma_Alanı</vt:lpstr>
      <vt:lpstr>'88'!Yazdırma_Alanı</vt:lpstr>
      <vt:lpstr>'89'!Yazdırma_Alanı</vt:lpstr>
      <vt:lpstr>'9'!Yazdırma_Alanı</vt:lpstr>
      <vt:lpstr>'90'!Yazdırma_Alanı</vt:lpstr>
      <vt:lpstr>'91'!Yazdırma_Alanı</vt:lpstr>
      <vt:lpstr>'92'!Yazdırma_Alanı</vt:lpstr>
      <vt:lpstr>'93'!Yazdırma_Alanı</vt:lpstr>
      <vt:lpstr>'94'!Yazdırma_Alanı</vt:lpstr>
      <vt:lpstr>'95'!Yazdırma_Alanı</vt:lpstr>
      <vt:lpstr>'96'!Yazdırma_Alanı</vt:lpstr>
      <vt:lpstr>'97'!Yazdırma_Alanı</vt:lpstr>
      <vt:lpstr>'98'!Yazdırma_Alanı</vt:lpstr>
      <vt:lpstr>'99'!Yazdırma_Alanı</vt:lpstr>
      <vt:lpstr>'ANA SAYFA'!Yazdırma_Alanı</vt:lpstr>
      <vt:lpstr>'20'!Yazdırma_Başlıkları</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Muhasebe</dc:creator>
  <cp:lastModifiedBy>MELTEM POLAT</cp:lastModifiedBy>
  <cp:lastPrinted>2026-06-23T13:09:12Z</cp:lastPrinted>
  <dcterms:created xsi:type="dcterms:W3CDTF">2013-03-06T08:50:33Z</dcterms:created>
  <dcterms:modified xsi:type="dcterms:W3CDTF">2026-07-08T08:36:42Z</dcterms:modified>
</cp:coreProperties>
</file>